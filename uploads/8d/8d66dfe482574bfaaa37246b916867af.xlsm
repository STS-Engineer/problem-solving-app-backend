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7.xml" ContentType="application/vnd.openxmlformats-officedocument.drawing+xml"/>
  <Override PartName="/xl/ctrlProps/ctrlProp8.xml" ContentType="application/vnd.ms-excel.controlproperties+xml"/>
  <Override PartName="/xl/comments4.xml" ContentType="application/vnd.openxmlformats-officedocument.spreadsheetml.comments+xml"/>
  <Override PartName="/xl/drawings/drawing8.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9231" codeName="{DD97A8EA-9A9A-E61F-A557-7D5A7D7259CE}"/>
  <workbookPr codeName="Ten_skoroszyt" defaultThemeVersion="124226"/>
  <mc:AlternateContent xmlns:mc="http://schemas.openxmlformats.org/markup-compatibility/2006">
    <mc:Choice Requires="x15">
      <x15ac:absPath xmlns:x15ac="http://schemas.microsoft.com/office/spreadsheetml/2010/11/ac" url="C:\Users\lassaad.charaabi\Downloads\"/>
    </mc:Choice>
  </mc:AlternateContent>
  <xr:revisionPtr revIDLastSave="0" documentId="8_{F6E3218E-957D-4EC1-A0FF-6F31604D2C5C}" xr6:coauthVersionLast="47" xr6:coauthVersionMax="47" xr10:uidLastSave="{00000000-0000-0000-0000-000000000000}"/>
  <bookViews>
    <workbookView xWindow="-108" yWindow="-108" windowWidth="23256" windowHeight="12456" xr2:uid="{00000000-000D-0000-FFFF-FFFF00000000}"/>
  </bookViews>
  <sheets>
    <sheet name="Quick Response" sheetId="2" r:id="rId1"/>
    <sheet name="Sorting approval" sheetId="3" r:id="rId2"/>
    <sheet name="Ishikawa" sheetId="4" r:id="rId3"/>
    <sheet name="FTA" sheetId="5" r:id="rId4"/>
    <sheet name="5 why's" sheetId="6" r:id="rId5"/>
    <sheet name="LLC" sheetId="7" r:id="rId6"/>
    <sheet name="D4-D8" sheetId="8" r:id="rId7"/>
    <sheet name="8D Eval Nidec" sheetId="1" r:id="rId8"/>
  </sheets>
  <definedNames>
    <definedName name="_xlnm._FilterDatabase" localSheetId="3" hidden="1">FTA!$A$7:$M$26</definedName>
    <definedName name="HTML_CodePage" hidden="1">1252</definedName>
    <definedName name="HTML_Control" localSheetId="2" hidden="1">{"'Verr-enseig-ex'!$M$22:$M$23"}</definedName>
    <definedName name="HTML_Control" localSheetId="0" hidden="1">{"'Verr-enseig-ex'!$M$22:$M$23"}</definedName>
    <definedName name="HTML_Control" localSheetId="1" hidden="1">{"'Verr-enseig-ex'!$M$22:$M$23"}</definedName>
    <definedName name="HTML_Control" hidden="1">{"'Verr-enseig-ex'!$M$22:$M$23"}</definedName>
    <definedName name="HTML_Description" hidden="1">""</definedName>
    <definedName name="HTML_Email" hidden="1">""</definedName>
    <definedName name="HTML_Header" hidden="1">"Verr-enseig-ex"</definedName>
    <definedName name="HTML_LastUpdate" hidden="1">"28/07/99"</definedName>
    <definedName name="HTML_LineAfter" hidden="1">FALSE</definedName>
    <definedName name="HTML_LineBefore" hidden="1">FALSE</definedName>
    <definedName name="HTML_Name" hidden="1">"Lee H. Troup"</definedName>
    <definedName name="HTML_OBDlg2" hidden="1">TRUE</definedName>
    <definedName name="HTML_OBDlg4" hidden="1">TRUE</definedName>
    <definedName name="HTML_OS" hidden="1">0</definedName>
    <definedName name="HTML_PathFile" hidden="1">"C:\Mes documents\MonHTML.htm"</definedName>
    <definedName name="HTML_Title" hidden="1">"Problem-solving"</definedName>
    <definedName name="_xlnm.Print_Titles" localSheetId="4">'5 why''s'!$1:$8</definedName>
    <definedName name="_xlnm.Print_Titles" localSheetId="3">FTA!$1:$7</definedName>
    <definedName name="Percentage" localSheetId="7">'8D Eval Nidec'!$O$28</definedName>
    <definedName name="Score_D1B" localSheetId="7">'8D Eval Nidec'!$O$13</definedName>
    <definedName name="Score_D1D" localSheetId="7">'8D Eval Nidec'!$O$14</definedName>
    <definedName name="Score_D2" localSheetId="7">'8D Eval Nidec'!$O$15</definedName>
    <definedName name="Score_D3" localSheetId="7">'8D Eval Nidec'!$O$16</definedName>
    <definedName name="Score_D4">'8D Eval Nidec'!$O$17</definedName>
    <definedName name="Score_D5">'8D Eval Nidec'!$O$18</definedName>
    <definedName name="Score_D6a">'8D Eval Nidec'!$O$19</definedName>
    <definedName name="Score_D6b">'8D Eval Nidec'!$O$20</definedName>
    <definedName name="Score_D7a">'8D Eval Nidec'!$O$21</definedName>
    <definedName name="Score_D7b">'8D Eval Nidec'!$O$22</definedName>
    <definedName name="Score_D81">'8D Eval Nidec'!$O$23</definedName>
    <definedName name="Score_D84">'8D Eval Nidec'!$O$24</definedName>
    <definedName name="Score_OVRL">'8D Eval Nidec'!$O$25</definedName>
    <definedName name="_xlnm.Print_Area" localSheetId="4">'5 why''s'!$A$1:$L$23</definedName>
    <definedName name="_xlnm.Print_Area" localSheetId="7">'8D Eval Nidec'!$A$1:$Q$49</definedName>
    <definedName name="_xlnm.Print_Area" localSheetId="6">'D4-D8'!$A$1:$Y$89</definedName>
    <definedName name="_xlnm.Print_Area" localSheetId="3">FTA!$A$1:$M$26</definedName>
    <definedName name="_xlnm.Print_Area" localSheetId="2">Ishikawa!$A$1:$V$38</definedName>
    <definedName name="_xlnm.Print_Area" localSheetId="5">LLC!$A$1:$L$44</definedName>
    <definedName name="_xlnm.Print_Area" localSheetId="0">'Quick Response'!$A$1:$Y$81</definedName>
    <definedName name="_xlnm.Print_Area" localSheetId="1">'Sorting approval'!$A$1:$Y$65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5" i="8" l="1"/>
  <c r="AD83" i="8"/>
  <c r="AC83" i="8"/>
  <c r="AB83" i="8"/>
  <c r="F4" i="8" l="1"/>
  <c r="M4" i="8"/>
  <c r="V4" i="8"/>
  <c r="M5" i="8"/>
  <c r="F6" i="8"/>
  <c r="M6" i="8"/>
  <c r="R84" i="8"/>
  <c r="C4" i="7"/>
  <c r="G4" i="7"/>
  <c r="C5" i="7"/>
  <c r="G5" i="7"/>
  <c r="C6" i="7"/>
  <c r="A10" i="7"/>
  <c r="A12" i="7"/>
  <c r="A14" i="7"/>
  <c r="A16" i="7"/>
  <c r="A18" i="7"/>
  <c r="A20" i="7"/>
  <c r="A22" i="7"/>
  <c r="C2" i="6"/>
  <c r="G2" i="6"/>
  <c r="K2" i="6"/>
  <c r="C3" i="6"/>
  <c r="G3" i="6"/>
  <c r="C4" i="6"/>
  <c r="G4" i="6"/>
  <c r="C7" i="6"/>
  <c r="C2" i="5"/>
  <c r="F2" i="5"/>
  <c r="J2" i="5"/>
  <c r="C3" i="5"/>
  <c r="F3" i="5"/>
  <c r="C4" i="5"/>
  <c r="F4" i="5"/>
  <c r="C6" i="5"/>
  <c r="E2" i="4"/>
  <c r="J2" i="4"/>
  <c r="P2" i="4"/>
  <c r="E3" i="4"/>
  <c r="J3" i="4"/>
  <c r="E4" i="4"/>
  <c r="J4" i="4"/>
  <c r="F4" i="3"/>
  <c r="M4" i="3"/>
  <c r="V4" i="3"/>
  <c r="F5" i="3"/>
  <c r="M5" i="3"/>
  <c r="F6" i="3"/>
  <c r="M6" i="3"/>
  <c r="B23" i="3"/>
  <c r="I33" i="3"/>
  <c r="I34" i="3"/>
  <c r="I35" i="3"/>
  <c r="I36" i="3"/>
  <c r="R62" i="2"/>
  <c r="U62" i="2"/>
  <c r="R63" i="2"/>
  <c r="R64" i="2"/>
  <c r="R65" i="2"/>
  <c r="R66" i="2"/>
  <c r="R67" i="2"/>
  <c r="R68" i="2"/>
  <c r="O27" i="1" l="1"/>
  <c r="O28" i="1" s="1"/>
  <c r="H85" i="8" s="1"/>
  <c r="AE83" i="8" s="1"/>
  <c r="AF83" i="8" l="1"/>
  <c r="AG83" i="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Valeo</author>
    <author>Lledo, Alfons [NMAS]</author>
  </authors>
  <commentList>
    <comment ref="C20" authorId="0" shapeId="0" xr:uid="{00000000-0006-0000-0000-000001000000}">
      <text>
        <r>
          <rPr>
            <b/>
            <sz val="8"/>
            <color indexed="81"/>
            <rFont val="Tahoma"/>
            <family val="2"/>
          </rPr>
          <t>defect with same effect and same root cause</t>
        </r>
      </text>
    </comment>
    <comment ref="I62" authorId="1" shapeId="0" xr:uid="{9D74AE03-25C6-4980-88A7-AA6C1D5278FF}">
      <text>
        <r>
          <rPr>
            <b/>
            <sz val="9"/>
            <color indexed="81"/>
            <rFont val="Tahoma"/>
            <family val="2"/>
          </rPr>
          <t>Lledo, Alfons [NMAS]:</t>
        </r>
        <r>
          <rPr>
            <sz val="9"/>
            <color indexed="81"/>
            <rFont val="Tahoma"/>
            <family val="2"/>
          </rPr>
          <t xml:space="preserve">
- 167 Batch Nbr 2508292
- 436 Batch Nbr 2509112
- 67 Batch Nbr 2510031</t>
        </r>
      </text>
    </comment>
    <comment ref="I64" authorId="1" shapeId="0" xr:uid="{0719432C-DB14-4D33-A488-12062C799BAF}">
      <text>
        <r>
          <rPr>
            <b/>
            <sz val="9"/>
            <color indexed="81"/>
            <rFont val="Tahoma"/>
            <family val="2"/>
          </rPr>
          <t>Lledo, Alfons [NMAS]:</t>
        </r>
        <r>
          <rPr>
            <sz val="9"/>
            <color indexed="81"/>
            <rFont val="Tahoma"/>
            <family val="2"/>
          </rPr>
          <t xml:space="preserve">
- 28 Fan Systems assembled at vehicles – Batch 2508292
- 130 Fan Systems at Valeo Customer – Batch 2508292
- 38 Fan Systems at Valeo – Batch 2508292
- 36 Motors at Valeo – Batch 2508292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Valeo</author>
  </authors>
  <commentList>
    <comment ref="N9" authorId="0" shapeId="0" xr:uid="{00000000-0006-0000-0100-000001000000}">
      <text>
        <r>
          <rPr>
            <b/>
            <sz val="8"/>
            <color indexed="81"/>
            <rFont val="Tahoma"/>
            <family val="2"/>
          </rPr>
          <t>To be defined by Nidec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Valeo</author>
  </authors>
  <commentList>
    <comment ref="B7" authorId="0" shapeId="0" xr:uid="{00000000-0006-0000-0300-000001000000}">
      <text>
        <r>
          <rPr>
            <sz val="8"/>
            <color indexed="81"/>
            <rFont val="Tahoma"/>
            <family val="2"/>
          </rPr>
          <t>what are the influencing factors (elements, characteristics, parameter…) ?</t>
        </r>
      </text>
    </comment>
    <comment ref="C7" authorId="0" shapeId="0" xr:uid="{00000000-0006-0000-0300-000002000000}">
      <text>
        <r>
          <rPr>
            <sz val="8"/>
            <color indexed="81"/>
            <rFont val="Tahoma"/>
            <family val="2"/>
          </rPr>
          <t xml:space="preserve">Identifying the control point allows us to quickly find standard values and history/traceability on the factor. It is also a way to see if a measurement method for the factor exists.
In case there is no control point, indicate the method to be used to measure the factor.
The control point can be everywhere in the process: at the supplier, at incoming inspection, in process control stations or the final test. It can be 100% test, sampling or done at initial sample and then periodically.
</t>
        </r>
      </text>
    </comment>
    <comment ref="D7" authorId="0" shapeId="0" xr:uid="{00000000-0006-0000-0300-000003000000}">
      <text>
        <r>
          <rPr>
            <sz val="8"/>
            <color indexed="81"/>
            <rFont val="Tahoma"/>
            <family val="2"/>
          </rPr>
          <t xml:space="preserve"> What is the applicable standard ?
Answer with specific values when the factor is measurable (</t>
        </r>
        <r>
          <rPr>
            <b/>
            <sz val="8"/>
            <color indexed="81"/>
            <rFont val="Tahoma"/>
            <family val="2"/>
          </rPr>
          <t>nominal and tolerances</t>
        </r>
        <r>
          <rPr>
            <sz val="8"/>
            <color indexed="81"/>
            <rFont val="Tahoma"/>
            <family val="2"/>
          </rPr>
          <t xml:space="preserve">), for ex. process and product standards.
</t>
        </r>
      </text>
    </comment>
    <comment ref="E7" authorId="0" shapeId="0" xr:uid="{00000000-0006-0000-0300-000004000000}">
      <text>
        <r>
          <rPr>
            <sz val="8"/>
            <color indexed="81"/>
            <rFont val="Tahoma"/>
            <family val="2"/>
          </rPr>
          <t xml:space="preserve"> What is the reality for good parts ?</t>
        </r>
      </text>
    </comment>
    <comment ref="F7" authorId="0" shapeId="0" xr:uid="{00000000-0006-0000-0300-000005000000}">
      <text>
        <r>
          <rPr>
            <sz val="8"/>
            <color indexed="81"/>
            <rFont val="Tahoma"/>
            <family val="2"/>
          </rPr>
          <t>What is the reality for bad parts ?</t>
        </r>
      </text>
    </comment>
    <comment ref="G7" authorId="0" shapeId="0" xr:uid="{00000000-0006-0000-0300-000006000000}">
      <text>
        <r>
          <rPr>
            <sz val="8"/>
            <color indexed="81"/>
            <rFont val="Tahoma"/>
            <family val="2"/>
          </rPr>
          <t xml:space="preserve">Do all real data (NOK parts and OK parts) meet standard ?
</t>
        </r>
      </text>
    </comment>
    <comment ref="H7" authorId="0" shapeId="0" xr:uid="{00000000-0006-0000-0300-000007000000}">
      <text>
        <r>
          <rPr>
            <sz val="8"/>
            <color indexed="81"/>
            <rFont val="Tahoma"/>
            <family val="2"/>
          </rPr>
          <t>OK Std? Is standard updated ? Clear ? No contradictory with other standard ? No defective part produced when standard is met?</t>
        </r>
      </text>
    </comment>
    <comment ref="I7" authorId="0" shapeId="0" xr:uid="{00000000-0006-0000-0300-000008000000}">
      <text>
        <r>
          <rPr>
            <sz val="8"/>
            <color indexed="81"/>
            <rFont val="Tahoma"/>
            <family val="2"/>
          </rPr>
          <t>A factor will only be kept if we can prove that it causes the defect. To do that, we have to reproduce the defect by changing this factor.
How do we reproduce the defect?
&gt; Asking operator to create defective parts having same signature as « bad » parts.
&gt; Observe the process to capture facts/ characteristics when similar problems appear.
&gt; Exchange components to show that problem follows one component (Shainin technique: component search).
&gt; Manufacture parts with same characteristics as « bad » parts (Shainin technique: parameter search).
&gt; Manufacture parts with slightly amplified deviation on suspected process parameter.</t>
        </r>
      </text>
    </comment>
    <comment ref="L7" authorId="0" shapeId="0" xr:uid="{00000000-0006-0000-0300-000009000000}">
      <text>
        <r>
          <rPr>
            <sz val="8"/>
            <color indexed="81"/>
            <rFont val="Tahoma"/>
            <family val="2"/>
          </rPr>
          <t>Defect reproduced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Lajarige</author>
  </authors>
  <commentList>
    <comment ref="T9" authorId="0" shapeId="0" xr:uid="{00000000-0006-0000-0600-000001000000}">
      <text>
        <r>
          <rPr>
            <b/>
            <sz val="7"/>
            <color indexed="81"/>
            <rFont val="Tahoma"/>
            <family val="2"/>
          </rPr>
          <t xml:space="preserve">The commitment date is a compromise between Nidec and the supplier.
The Nidec standard is 5 working days after claim notification. But it can be more, as it is depending on the time needed by the supplier to do the analyse,
</t>
        </r>
        <r>
          <rPr>
            <b/>
            <u/>
            <sz val="7"/>
            <color indexed="81"/>
            <rFont val="Tahoma"/>
            <family val="2"/>
          </rPr>
          <t>This field shall be filled in by the supplier with the quick response.</t>
        </r>
      </text>
    </comment>
  </commentList>
</comments>
</file>

<file path=xl/sharedStrings.xml><?xml version="1.0" encoding="utf-8"?>
<sst xmlns="http://schemas.openxmlformats.org/spreadsheetml/2006/main" count="537" uniqueCount="380">
  <si>
    <t>Comments :</t>
  </si>
  <si>
    <t>Percentage</t>
  </si>
  <si>
    <t>/ 100</t>
  </si>
  <si>
    <t>Total Score</t>
  </si>
  <si>
    <t>/ 3</t>
  </si>
  <si>
    <t>- No abbreviations and terms without definition used</t>
  </si>
  <si>
    <t>- All content is understandable</t>
  </si>
  <si>
    <t>Minimum standard not reached</t>
  </si>
  <si>
    <t>Report</t>
  </si>
  <si>
    <t xml:space="preserve"> </t>
  </si>
  <si>
    <t>/ 5</t>
  </si>
  <si>
    <t>- 8D is cross-checked and approved by champion/management</t>
  </si>
  <si>
    <t>- All dates in logical order</t>
  </si>
  <si>
    <t>Validation of 8D closure from supplier management</t>
  </si>
  <si>
    <t>8.4</t>
  </si>
  <si>
    <t>/ 10</t>
  </si>
  <si>
    <t>- Analysis of generalization of countermeasures to similar lines/products performed</t>
  </si>
  <si>
    <t>- Documented lessons learned
- Relevant documents updated (FMEA, Control Plan, etc.)</t>
  </si>
  <si>
    <t>Do following documents require an update ?</t>
  </si>
  <si>
    <t>8.1</t>
  </si>
  <si>
    <t>D8</t>
  </si>
  <si>
    <t>- Containment actions successfully removed after introduction of permanent corrective action</t>
  </si>
  <si>
    <t>- Complete list of permanent corrective actions with details
- Verification of actions (statistics)</t>
  </si>
  <si>
    <t>Actions to check effectiveness actions for non-detection</t>
  </si>
  <si>
    <t>7b</t>
  </si>
  <si>
    <t>Actions to check effectiveness actions for occurence</t>
  </si>
  <si>
    <t>7a</t>
  </si>
  <si>
    <t>D7</t>
  </si>
  <si>
    <t>- Announced deadlines for closing actions respected</t>
  </si>
  <si>
    <t>- Complete list of corrective actions
per identified cause with verification
- Timline for permanent actions</t>
  </si>
  <si>
    <t>Actions for non-detection</t>
  </si>
  <si>
    <t>6b</t>
  </si>
  <si>
    <t>- Complete list of corrective actions per identified cause with verification
- Timline for permanent actions</t>
  </si>
  <si>
    <t>Actions for occurence</t>
  </si>
  <si>
    <t>6a</t>
  </si>
  <si>
    <t>D6</t>
  </si>
  <si>
    <t>- Proof for actions to reproduce the defect (e.g. pictures) provided</t>
  </si>
  <si>
    <t>- Root cause identified
- Quality tools marked (Ishikawa, FTA, 5 Why's) used for non-detection
- Appropriate methods applied</t>
  </si>
  <si>
    <t>Root cause of non detection</t>
  </si>
  <si>
    <t>D5</t>
  </si>
  <si>
    <t>- Proof for actions to reproduce the defect (e.g. pictures, records from production day) provided</t>
  </si>
  <si>
    <t>- Root cause identified
- Quality tools marked (Ishikawa, FTA, 5 Why's) used for occurence
- Appropriate methods applied</t>
  </si>
  <si>
    <t>Root cause of occurrence</t>
  </si>
  <si>
    <t>D4</t>
  </si>
  <si>
    <t>- Proof of containment effectivity via relevant documentation available</t>
  </si>
  <si>
    <t>- Overview of actions in all material postions (e.g. in transit) available
- Effectivity confirmed</t>
  </si>
  <si>
    <t>Containment</t>
  </si>
  <si>
    <t>D3</t>
  </si>
  <si>
    <t>/ 7</t>
  </si>
  <si>
    <t>- Information about risk at other parts numbers/family provided</t>
  </si>
  <si>
    <t>- Risk analysis for simmliar products/lines performed and adequate information provided</t>
  </si>
  <si>
    <t>Risk on similar products and processes</t>
  </si>
  <si>
    <t>D2</t>
  </si>
  <si>
    <t>- Relevant attachments (e.g. pictures) of possible root cause provided</t>
  </si>
  <si>
    <t>- Clear and complete description of potential root cause
- Express shipping account avaliable</t>
  </si>
  <si>
    <t>Problem description from supplier / first analysis of the problem / potential root causes</t>
  </si>
  <si>
    <t>1d</t>
  </si>
  <si>
    <t>- Names and all functions of the cross functional team are available</t>
  </si>
  <si>
    <t>- Champion named 
- Cross functional team
- Champion contact data available</t>
  </si>
  <si>
    <t>Supplier problem solving team</t>
  </si>
  <si>
    <t>1b</t>
  </si>
  <si>
    <t>D1</t>
  </si>
  <si>
    <t>Score</t>
  </si>
  <si>
    <t>Requirements fulfilled/Bonus</t>
  </si>
  <si>
    <t>Acceptable</t>
  </si>
  <si>
    <t>Unsatisfactory/Not OK</t>
  </si>
  <si>
    <t>Discipline</t>
  </si>
  <si>
    <t>D#</t>
  </si>
  <si>
    <t>10 days</t>
  </si>
  <si>
    <t>5 days</t>
  </si>
  <si>
    <t>yes</t>
  </si>
  <si>
    <t>QR</t>
  </si>
  <si>
    <t>8D on time?</t>
  </si>
  <si>
    <t xml:space="preserve">8D Supplier Ref. #: </t>
  </si>
  <si>
    <t xml:space="preserve">Nidec plant : </t>
  </si>
  <si>
    <t>Supplier Name 
Plant / Division :</t>
  </si>
  <si>
    <t>Closure date of 8D report:</t>
  </si>
  <si>
    <t xml:space="preserve">Nidec QN #: </t>
  </si>
  <si>
    <t>Evaluation done by :</t>
  </si>
  <si>
    <t>Date of Evaluation :</t>
  </si>
  <si>
    <t>no</t>
  </si>
  <si>
    <r>
      <t xml:space="preserve"> </t>
    </r>
    <r>
      <rPr>
        <b/>
        <i/>
        <sz val="18"/>
        <rFont val="Arial"/>
        <family val="2"/>
      </rPr>
      <t>Supplier 8D Report Evaluation Sheet</t>
    </r>
  </si>
  <si>
    <t>ex: Information to all related employees</t>
  </si>
  <si>
    <t>ex: Quality alert at working area</t>
  </si>
  <si>
    <t>not required</t>
  </si>
  <si>
    <t>Express delivery to Nidec  to avoid production stop</t>
  </si>
  <si>
    <t>REQUIRED</t>
  </si>
  <si>
    <t>Nidec suspect stocks to be sent to supplier</t>
  </si>
  <si>
    <t>Date clos.</t>
  </si>
  <si>
    <t>Date plan.</t>
  </si>
  <si>
    <t>Resp.</t>
  </si>
  <si>
    <t>Nidec decision</t>
  </si>
  <si>
    <t>Actions</t>
  </si>
  <si>
    <t>What are the immediate actions to prevent production/delivery of nok parts ?</t>
  </si>
  <si>
    <t>First contained shipment information</t>
  </si>
  <si>
    <t>How are the ok paletts identified ?</t>
  </si>
  <si>
    <t>How are the ok parts identified ?</t>
  </si>
  <si>
    <t>Other Nidec plant/s …(Plant Name)….</t>
  </si>
  <si>
    <t>Parts at sub-supplier</t>
  </si>
  <si>
    <t>Parts at supplier / supplier platform</t>
  </si>
  <si>
    <t>Parts in transport</t>
  </si>
  <si>
    <t>Parts at Nidec's customer (C1 claim)</t>
  </si>
  <si>
    <t>Parts at Nidec logistics platform</t>
  </si>
  <si>
    <t xml:space="preserve">Parts at Nidec plant </t>
  </si>
  <si>
    <t>Date</t>
  </si>
  <si>
    <t>ppm</t>
  </si>
  <si>
    <t>Nb nok parts</t>
  </si>
  <si>
    <t>Nb parts sorted</t>
  </si>
  <si>
    <t>Nb to be sorted</t>
  </si>
  <si>
    <t>Location in the process flow</t>
  </si>
  <si>
    <t>What are the actions to detect all non-conforming parts in the process flow ?</t>
  </si>
  <si>
    <t>see sorting approval</t>
  </si>
  <si>
    <t xml:space="preserve">D 3. Containment </t>
  </si>
  <si>
    <t>Other</t>
  </si>
  <si>
    <t>Other Nidec plants</t>
  </si>
  <si>
    <t>Other tooling</t>
  </si>
  <si>
    <t>Other machine</t>
  </si>
  <si>
    <t>Other family product</t>
  </si>
  <si>
    <t>Comments (compulsory if yes)</t>
  </si>
  <si>
    <t>Can this defect happen on similar parts ?</t>
  </si>
  <si>
    <t>D 2. Risk on similar products and processes</t>
  </si>
  <si>
    <t>Express shipping supplier account</t>
  </si>
  <si>
    <t>Samples of nok parts required at supplier location</t>
  </si>
  <si>
    <t>1.d Problem description from supplier / first analyse of problem / potential root causes</t>
  </si>
  <si>
    <t>x</t>
  </si>
  <si>
    <t>Audit</t>
  </si>
  <si>
    <t>LLC</t>
  </si>
  <si>
    <t>5why's</t>
  </si>
  <si>
    <t>FTA</t>
  </si>
  <si>
    <t>Ishikawa</t>
  </si>
  <si>
    <t>1.c Tool to use (defined by Nidec)</t>
  </si>
  <si>
    <t>Email</t>
  </si>
  <si>
    <t>Telephone</t>
  </si>
  <si>
    <t>Location</t>
  </si>
  <si>
    <t>Position</t>
  </si>
  <si>
    <t>Name</t>
  </si>
  <si>
    <t>1.b Supplier problem solving team</t>
  </si>
  <si>
    <t>ok part
picture / sketch</t>
  </si>
  <si>
    <t>nok part
picture / sketch</t>
  </si>
  <si>
    <t>yes (R/reglementation)</t>
  </si>
  <si>
    <t xml:space="preserve">How many parts ? </t>
  </si>
  <si>
    <t>Defect S/R</t>
  </si>
  <si>
    <t>yes (S/security)</t>
  </si>
  <si>
    <t xml:space="preserve">How was it detected? </t>
  </si>
  <si>
    <t>Recurrence</t>
  </si>
  <si>
    <t xml:space="preserve">Where was it detected? </t>
  </si>
  <si>
    <t>Traceability of nok parts</t>
  </si>
  <si>
    <t>no reccurent defect</t>
  </si>
  <si>
    <t>Who detected it?</t>
  </si>
  <si>
    <t>Part description</t>
  </si>
  <si>
    <t>recurrent defect</t>
  </si>
  <si>
    <t xml:space="preserve">When did it happen? </t>
  </si>
  <si>
    <t>Part number</t>
  </si>
  <si>
    <t>Incident level</t>
  </si>
  <si>
    <t>WR : Warranty</t>
  </si>
  <si>
    <t>Why is it a problem?</t>
  </si>
  <si>
    <t>C3 : Incoming inspection claim</t>
  </si>
  <si>
    <t>C2 : Production claim</t>
  </si>
  <si>
    <t>What happened?</t>
  </si>
  <si>
    <t>Problem description</t>
  </si>
  <si>
    <t>C1 : Customer claim</t>
  </si>
  <si>
    <t>1.a What is the problem ?  Use 5W+2H to describe what is the current situation.</t>
  </si>
  <si>
    <t>D 1. Description of the problem</t>
  </si>
  <si>
    <t>- This document must be validated by Nidec within 24 hours after claim notification / Blue fields filled out by Nidec -</t>
  </si>
  <si>
    <t>NMA Juarez</t>
  </si>
  <si>
    <t>QUICK RESPONSE</t>
  </si>
  <si>
    <t>NMA Niepolomice</t>
  </si>
  <si>
    <t>NMA Santa Perpetua</t>
  </si>
  <si>
    <t>Update of QR</t>
  </si>
  <si>
    <t>Author</t>
  </si>
  <si>
    <t>Claim reference</t>
  </si>
  <si>
    <t>NMA Bietigheim</t>
  </si>
  <si>
    <t>Date of QR</t>
  </si>
  <si>
    <t>SAP no.</t>
  </si>
  <si>
    <t>Customer contact</t>
  </si>
  <si>
    <t>NIND India</t>
    <phoneticPr fontId="5" type="noConversion"/>
  </si>
  <si>
    <t>Date of claim</t>
  </si>
  <si>
    <t>Supplier</t>
  </si>
  <si>
    <t>Customer plant</t>
  </si>
  <si>
    <t>NAMA Mexico</t>
    <phoneticPr fontId="5" type="noConversion"/>
  </si>
  <si>
    <t>NCDA China Dalian</t>
    <phoneticPr fontId="5" type="noConversion"/>
  </si>
  <si>
    <t>NAMS China Pinghu</t>
    <phoneticPr fontId="5" type="noConversion"/>
  </si>
  <si>
    <t>supplier logo</t>
  </si>
  <si>
    <t>Supplier 8D report</t>
  </si>
  <si>
    <t>Approvals have to be given in written format !</t>
  </si>
  <si>
    <t>Signature</t>
  </si>
  <si>
    <t>Name of authorized person</t>
  </si>
  <si>
    <t>Supplier's approval to accept responsibility for the defect and related costs</t>
  </si>
  <si>
    <t>All costs for semi-finished goods and finished goods with nok components will be invoiced to the supplier. Nok components will be returned to the supplier.</t>
  </si>
  <si>
    <t>Comments from Nidec</t>
  </si>
  <si>
    <t>Contact</t>
  </si>
  <si>
    <t>Fax</t>
  </si>
  <si>
    <t>Tel.</t>
  </si>
  <si>
    <t>Sorting company chosen to do the sorting/rework</t>
  </si>
  <si>
    <t>Parts at Nidec's customer (C1)</t>
  </si>
  <si>
    <t>Parts at Nidec plant</t>
  </si>
  <si>
    <t>Part number(s) concerned</t>
  </si>
  <si>
    <t>Quantity</t>
  </si>
  <si>
    <t>Quantity and part numbers concerned</t>
  </si>
  <si>
    <t>Description of sorting/rework</t>
  </si>
  <si>
    <t>Immediate actions required at Nidec</t>
  </si>
  <si>
    <t>Claim receiver</t>
  </si>
  <si>
    <t>Claim issuer</t>
  </si>
  <si>
    <t>hour(s) after claim notification -</t>
  </si>
  <si>
    <t>-This document must be sent to Nidec within</t>
  </si>
  <si>
    <t xml:space="preserve">APPROVAL OF SORTING / REWORK </t>
  </si>
  <si>
    <t>Update</t>
  </si>
  <si>
    <t>Date of page</t>
  </si>
  <si>
    <t>SAP no</t>
  </si>
  <si>
    <t>Measurement</t>
  </si>
  <si>
    <t>Manpower</t>
  </si>
  <si>
    <t>Machine</t>
  </si>
  <si>
    <t>Problem</t>
  </si>
  <si>
    <t>Method</t>
  </si>
  <si>
    <t>Work environment</t>
  </si>
  <si>
    <t>Material</t>
  </si>
  <si>
    <t>Update of Ishikawa</t>
  </si>
  <si>
    <t xml:space="preserve">Author </t>
  </si>
  <si>
    <t>Date of Ishikawa</t>
  </si>
  <si>
    <t xml:space="preserve">Supplier </t>
  </si>
  <si>
    <t>SUPPLIER LOGO</t>
  </si>
  <si>
    <t>Ishikawa Diagram</t>
  </si>
  <si>
    <t>All validated causes (direct link or doubt) must lead to a 5 Why's analysis</t>
  </si>
  <si>
    <t>NON DETECTION</t>
  </si>
  <si>
    <t>OCCURENCE</t>
  </si>
  <si>
    <t>Direct
link ?</t>
  </si>
  <si>
    <t>Def. rep.</t>
  </si>
  <si>
    <t>Action to reproduce the defect</t>
  </si>
  <si>
    <t>Std OK</t>
  </si>
  <si>
    <t>Std meet</t>
  </si>
  <si>
    <t>NOK parts</t>
  </si>
  <si>
    <t>OK parts</t>
  </si>
  <si>
    <t>Standard</t>
  </si>
  <si>
    <t>Control point</t>
  </si>
  <si>
    <t>Factors</t>
  </si>
  <si>
    <t>Factor
Nb</t>
  </si>
  <si>
    <t xml:space="preserve">Problem description: </t>
  </si>
  <si>
    <t>Doubt</t>
  </si>
  <si>
    <t>Update of FTA</t>
  </si>
  <si>
    <t>Date of FTA</t>
  </si>
  <si>
    <t>No</t>
  </si>
  <si>
    <t>Yes</t>
  </si>
  <si>
    <t>Factor Tree Analysis</t>
  </si>
  <si>
    <t>'Check' box: Verification is done based on tests, measurements &amp; data to confirm root cause.    &gt; : cause is confirmed       x : not root cause</t>
  </si>
  <si>
    <t>&gt;</t>
  </si>
  <si>
    <t>Check</t>
  </si>
  <si>
    <t>5th   WHY ?</t>
  </si>
  <si>
    <t>4th   WHY ?</t>
  </si>
  <si>
    <t>3rd   WHY ?</t>
  </si>
  <si>
    <t>2nd  WHY ?</t>
  </si>
  <si>
    <t>1st   WHY?</t>
  </si>
  <si>
    <t>Relevant factors
 from FTA</t>
  </si>
  <si>
    <t>Factor nb</t>
  </si>
  <si>
    <t>Problem description :</t>
  </si>
  <si>
    <t>Update of 5 why's</t>
  </si>
  <si>
    <t>Date of 5 why's</t>
  </si>
  <si>
    <t xml:space="preserve"> SUPPLIER LOGO</t>
  </si>
  <si>
    <t>5 Why's</t>
  </si>
  <si>
    <t>Plant                    :</t>
  </si>
  <si>
    <t>Line / process     :</t>
  </si>
  <si>
    <t>Product                :</t>
  </si>
  <si>
    <t>6. POTENTIAL APPLICABILITY</t>
  </si>
  <si>
    <t xml:space="preserve">l. Other: </t>
  </si>
  <si>
    <t>k. Other:</t>
  </si>
  <si>
    <t>j. Operators can correctly describe what they must do</t>
  </si>
  <si>
    <t>i. Proof of training is avalaible (records,5 ' meeting)</t>
  </si>
  <si>
    <t>h. Operators and other functions are trained</t>
  </si>
  <si>
    <t>g. Visual aids are posted</t>
  </si>
  <si>
    <t>f. Records (start-up checklists, reaction sheets, preventive maintenance...)</t>
  </si>
  <si>
    <t>e. Maintenance instructions</t>
  </si>
  <si>
    <t>d. Control Plan and PFMEA</t>
  </si>
  <si>
    <t>c. Procedures and work instructions</t>
  </si>
  <si>
    <t>b. All documents have been updated and has been validated with the operators</t>
  </si>
  <si>
    <t>a. Proces is modified according to Before/ After sheet</t>
  </si>
  <si>
    <t>5. WHAT HAS BEEN MODIFIED ?</t>
  </si>
  <si>
    <t>If measurement is out of range, red bulb is lighted and line automatically stopps</t>
  </si>
  <si>
    <t>Who? Operator 
What? Measure air pressure 
How?  Using pressure gauge Nb 123, every 2 hours</t>
  </si>
  <si>
    <t>Automatic Air pressure sensor at the stroke inlet must be between 5 and 6 bar</t>
  </si>
  <si>
    <r>
      <t xml:space="preserve">SIGNALING 
</t>
    </r>
    <r>
      <rPr>
        <sz val="9"/>
        <rFont val="Arial"/>
        <family val="2"/>
      </rPr>
      <t>What is the countermeasure supposed to do or make or hightlight when detecting a non conformity ?</t>
    </r>
  </si>
  <si>
    <r>
      <t xml:space="preserve">CHECKING
</t>
    </r>
    <r>
      <rPr>
        <sz val="9"/>
        <rFont val="Arial"/>
        <family val="2"/>
      </rPr>
      <t>What is the method  (who, what, how) for the countermeasures?</t>
    </r>
  </si>
  <si>
    <r>
      <t xml:space="preserve">ERADICATION
</t>
    </r>
    <r>
      <rPr>
        <sz val="9"/>
        <rFont val="Arial"/>
        <family val="2"/>
      </rPr>
      <t xml:space="preserve"> What is the countermeasure that was put in place to avoid recurrence  ?</t>
    </r>
  </si>
  <si>
    <t>4) WHAT WE LEARNED?</t>
  </si>
  <si>
    <t>Add a picture or a descriptive graph which explains the countermeasure on the part/process
IMPORTANT : "AFTER" picture or graph should be SIMILAR (same point of view, same size) to "BEFORE" picture</t>
  </si>
  <si>
    <t>Add a picture or a descriptive graph which explains the conditions that led to the problem</t>
  </si>
  <si>
    <t>AFTER</t>
  </si>
  <si>
    <t>BEFORE</t>
  </si>
  <si>
    <t>3. DESCRIPTION OF THE APPLIED MODIFICATION</t>
  </si>
  <si>
    <r>
      <t>How many ?</t>
    </r>
    <r>
      <rPr>
        <b/>
        <i/>
        <sz val="10"/>
        <color indexed="12"/>
        <rFont val="Arial"/>
        <family val="2"/>
      </rPr>
      <t/>
    </r>
  </si>
  <si>
    <t>How has it been detected ?</t>
  </si>
  <si>
    <t>Where has been detected ?</t>
  </si>
  <si>
    <t>Who has detected it ?</t>
  </si>
  <si>
    <t>When did it happen ?</t>
  </si>
  <si>
    <r>
      <t>Why it is a problem ?</t>
    </r>
    <r>
      <rPr>
        <sz val="10"/>
        <rFont val="Arial"/>
        <family val="2"/>
      </rPr>
      <t/>
    </r>
  </si>
  <si>
    <r>
      <t xml:space="preserve">Explain the root cause that led to the occurrence or the non detection of the problem according to the type of LLC. 
</t>
    </r>
    <r>
      <rPr>
        <i/>
        <sz val="10"/>
        <color indexed="12"/>
        <rFont val="Arial"/>
        <family val="2"/>
      </rPr>
      <t>Abstract of FTA &amp; 5 Why’s (Occurrence or non detection).
Why and How the Factor is linked the failure.
It is not the defect description</t>
    </r>
  </si>
  <si>
    <r>
      <t>What happened ?</t>
    </r>
    <r>
      <rPr>
        <sz val="10"/>
        <rFont val="Arial"/>
        <family val="2"/>
      </rPr>
      <t/>
    </r>
  </si>
  <si>
    <t>2. WHAT IS THE CAUSE?</t>
  </si>
  <si>
    <t>1. WHAT WAS THE PROBLEM? (5W + 2H)</t>
  </si>
  <si>
    <t>Product</t>
  </si>
  <si>
    <t>Management</t>
  </si>
  <si>
    <t>Date of LLC</t>
  </si>
  <si>
    <t>Date of incident</t>
  </si>
  <si>
    <t>Process</t>
  </si>
  <si>
    <t>Occurrence</t>
  </si>
  <si>
    <t>Logistics</t>
  </si>
  <si>
    <t>Detection</t>
  </si>
  <si>
    <t>LLC Type</t>
  </si>
  <si>
    <t>Lesson Learned Card</t>
  </si>
  <si>
    <t>Decision</t>
  </si>
  <si>
    <t>Validation from NIDEC management (if required)</t>
  </si>
  <si>
    <t>Nok stocks at zero</t>
  </si>
  <si>
    <t>Efficiency of 8D proven</t>
  </si>
  <si>
    <t>Chargeback</t>
  </si>
  <si>
    <t>CLOSURE OF 8D FROM NIDEC</t>
  </si>
  <si>
    <t>Name / Position</t>
  </si>
  <si>
    <t>8.4 Validation of 8D closure from supplier management</t>
  </si>
  <si>
    <t>Maintenance instruction</t>
  </si>
  <si>
    <t>Control gage</t>
  </si>
  <si>
    <t>Comments</t>
  </si>
  <si>
    <t>Procedure</t>
  </si>
  <si>
    <t>Results</t>
  </si>
  <si>
    <t>Control instruction</t>
  </si>
  <si>
    <t>8.3 Audit done by supplier (if required)</t>
  </si>
  <si>
    <t>Work instruction</t>
  </si>
  <si>
    <t>Control Plan</t>
  </si>
  <si>
    <t>PFMEA</t>
  </si>
  <si>
    <t>8.2 Generalization of countermeasures to similar lines/ products</t>
  </si>
  <si>
    <t>8.1 Do following documents require an update ?</t>
  </si>
  <si>
    <t>D 7. Effectiveness of action plan</t>
  </si>
  <si>
    <t>D 6. Countermeasure to non detection and occurrence</t>
  </si>
  <si>
    <t>Root cause of non detection :</t>
  </si>
  <si>
    <t>Work out the root causes using first Ishikawa, then FTA and finally 5 why's (Tools to use chosen by Nidec).</t>
  </si>
  <si>
    <t>5 why's</t>
  </si>
  <si>
    <t>D 5. Root cause of non detection</t>
  </si>
  <si>
    <t>How was the defect reproduced ?</t>
  </si>
  <si>
    <t>Root cause of occurrence :</t>
  </si>
  <si>
    <t>D 4. Root cause of occurrence</t>
  </si>
  <si>
    <t>dd/mm/yy</t>
  </si>
  <si>
    <t>Commitment date from the supplier to send D4-D5-D6 (to be filled in with the quick response) :</t>
  </si>
  <si>
    <t>ANALYSE AND COUNTERMEASURES (D4-D8)</t>
  </si>
  <si>
    <t>Update of D4-D8</t>
  </si>
  <si>
    <t>Date of D4-D8</t>
  </si>
  <si>
    <t>6.a Actions for occurence</t>
  </si>
  <si>
    <t>6.b Actions for non-detection</t>
  </si>
  <si>
    <t>7a Actions to check effectiveness actions for occurence</t>
  </si>
  <si>
    <t>7b Actions to check effectiveness actions for non-detection</t>
  </si>
  <si>
    <t>D 8. Action(s) to prevent recurrence</t>
  </si>
  <si>
    <t>8D eval value</t>
  </si>
  <si>
    <t>N/A</t>
  </si>
  <si>
    <t>AVOCarbon Tunsia</t>
  </si>
  <si>
    <t>I: Information Claim</t>
  </si>
  <si>
    <t>Operator</t>
  </si>
  <si>
    <t>Alfons Lledó</t>
  </si>
  <si>
    <t>yes (SR/Safety Regulated)</t>
  </si>
  <si>
    <t>NMAS/2025/006</t>
  </si>
  <si>
    <t>993496E</t>
  </si>
  <si>
    <t>Brush Card Holder 10C40</t>
  </si>
  <si>
    <t>Motor doesn't run at customer line</t>
  </si>
  <si>
    <t>Brusch Card without continuity</t>
  </si>
  <si>
    <t>Lack of functionality</t>
  </si>
  <si>
    <t>Customer Fan System Assembly Line</t>
  </si>
  <si>
    <t xml:space="preserve">Electrical Test </t>
  </si>
  <si>
    <t>167+436+67</t>
  </si>
  <si>
    <t>NMAS</t>
  </si>
  <si>
    <t>TBD</t>
  </si>
  <si>
    <t>AVO</t>
  </si>
  <si>
    <t>Lassaad Charaabi</t>
  </si>
  <si>
    <t>Quality operation manager</t>
  </si>
  <si>
    <t>Lassaad.charaabi@avocarbon.com</t>
  </si>
  <si>
    <t>Riadh Nefzi</t>
  </si>
  <si>
    <t>Production manager</t>
  </si>
  <si>
    <t>riadh.nefzi@avocarbon.com</t>
  </si>
  <si>
    <t>Baraa Boughanmi</t>
  </si>
  <si>
    <t>Quality Engineer</t>
  </si>
  <si>
    <t>baraa.boughanmi@avocarbon.com</t>
  </si>
  <si>
    <t>By regular transport, part will arrive on October 21,2025</t>
  </si>
  <si>
    <t>Baraa B</t>
  </si>
  <si>
    <t>Parts certified</t>
  </si>
  <si>
    <t>2 parts reworked</t>
  </si>
  <si>
    <t xml:space="preserve">Add specific laser marking </t>
  </si>
  <si>
    <t xml:space="preserve">Electrical welding of wires certified 100%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</si>
</sst>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dd/mm/yy;@"/>
  </numFmts>
  <fonts count="80">
    <font>
      <sz val="11"/>
      <color theme="1"/>
      <name val="Calibri"/>
      <family val="2"/>
      <charset val="238"/>
      <scheme val="minor"/>
    </font>
    <font>
      <sz val="10"/>
      <name val="Arial"/>
      <family val="2"/>
      <charset val="238"/>
    </font>
    <font>
      <b/>
      <sz val="12"/>
      <name val="Arial"/>
      <family val="2"/>
    </font>
    <font>
      <sz val="14"/>
      <name val="Arial"/>
      <family val="2"/>
    </font>
    <font>
      <b/>
      <sz val="14"/>
      <name val="Arial"/>
      <family val="2"/>
    </font>
    <font>
      <b/>
      <sz val="10"/>
      <name val="Arial"/>
      <family val="2"/>
    </font>
    <font>
      <b/>
      <i/>
      <sz val="10"/>
      <name val="Arial"/>
      <family val="2"/>
    </font>
    <font>
      <i/>
      <sz val="8"/>
      <name val="Arial"/>
      <family val="2"/>
    </font>
    <font>
      <sz val="16"/>
      <name val="Arial"/>
      <family val="2"/>
    </font>
    <font>
      <sz val="10"/>
      <color indexed="10"/>
      <name val="Arial"/>
      <family val="2"/>
    </font>
    <font>
      <sz val="10"/>
      <name val="Arial"/>
      <family val="2"/>
    </font>
    <font>
      <sz val="12"/>
      <name val="Arial"/>
      <family val="2"/>
    </font>
    <font>
      <sz val="18"/>
      <name val="Arial"/>
      <family val="2"/>
    </font>
    <font>
      <i/>
      <sz val="18"/>
      <name val="Arial"/>
      <family val="2"/>
    </font>
    <font>
      <b/>
      <sz val="18"/>
      <name val="Arial"/>
      <family val="2"/>
    </font>
    <font>
      <b/>
      <sz val="26"/>
      <name val="Arial Black"/>
      <family val="2"/>
    </font>
    <font>
      <b/>
      <i/>
      <sz val="18"/>
      <name val="Arial"/>
      <family val="2"/>
    </font>
    <font>
      <sz val="11"/>
      <color indexed="8"/>
      <name val="Czcionka tekstu podstawowego"/>
      <family val="2"/>
      <charset val="238"/>
    </font>
    <font>
      <sz val="11"/>
      <color indexed="9"/>
      <name val="Czcionka tekstu podstawowego"/>
      <family val="2"/>
      <charset val="238"/>
    </font>
    <font>
      <u/>
      <sz val="11"/>
      <color indexed="12"/>
      <name val="Arial"/>
      <family val="2"/>
    </font>
    <font>
      <sz val="11"/>
      <color indexed="10"/>
      <name val="Czcionka tekstu podstawowego"/>
      <family val="2"/>
      <charset val="238"/>
    </font>
    <font>
      <b/>
      <sz val="11"/>
      <color indexed="52"/>
      <name val="Czcionka tekstu podstawowego"/>
      <family val="2"/>
      <charset val="238"/>
    </font>
    <font>
      <sz val="11"/>
      <color indexed="20"/>
      <name val="Czcionka tekstu podstawowego"/>
      <family val="2"/>
      <charset val="238"/>
    </font>
    <font>
      <sz val="11"/>
      <color indexed="60"/>
      <name val="Czcionka tekstu podstawowego"/>
      <family val="2"/>
      <charset val="238"/>
    </font>
    <font>
      <i/>
      <sz val="11"/>
      <color indexed="23"/>
      <name val="Czcionka tekstu podstawowego"/>
      <family val="2"/>
      <charset val="238"/>
    </font>
    <font>
      <b/>
      <sz val="11"/>
      <color indexed="9"/>
      <name val="Czcionka tekstu podstawowego"/>
      <family val="2"/>
      <charset val="238"/>
    </font>
    <font>
      <sz val="11"/>
      <color indexed="52"/>
      <name val="Czcionka tekstu podstawowego"/>
      <family val="2"/>
      <charset val="238"/>
    </font>
    <font>
      <b/>
      <sz val="11"/>
      <color indexed="8"/>
      <name val="Czcionka tekstu podstawowego"/>
      <family val="2"/>
      <charset val="238"/>
    </font>
    <font>
      <sz val="11"/>
      <color indexed="62"/>
      <name val="Czcionka tekstu podstawowego"/>
      <family val="2"/>
      <charset val="238"/>
    </font>
    <font>
      <b/>
      <sz val="18"/>
      <color indexed="56"/>
      <name val="맑은 고딕"/>
      <family val="2"/>
      <charset val="129"/>
    </font>
    <font>
      <b/>
      <sz val="15"/>
      <color indexed="56"/>
      <name val="Czcionka tekstu podstawowego"/>
      <family val="2"/>
      <charset val="238"/>
    </font>
    <font>
      <b/>
      <sz val="13"/>
      <color indexed="56"/>
      <name val="Czcionka tekstu podstawowego"/>
      <family val="2"/>
      <charset val="238"/>
    </font>
    <font>
      <b/>
      <sz val="11"/>
      <color indexed="56"/>
      <name val="Czcionka tekstu podstawowego"/>
      <family val="2"/>
      <charset val="238"/>
    </font>
    <font>
      <sz val="11"/>
      <color indexed="17"/>
      <name val="Czcionka tekstu podstawowego"/>
      <family val="2"/>
      <charset val="238"/>
    </font>
    <font>
      <b/>
      <sz val="11"/>
      <color indexed="63"/>
      <name val="Czcionka tekstu podstawowego"/>
      <family val="2"/>
      <charset val="238"/>
    </font>
    <font>
      <sz val="8"/>
      <name val="Arial"/>
      <family val="2"/>
    </font>
    <font>
      <sz val="8"/>
      <color indexed="9"/>
      <name val="Arial"/>
      <family val="2"/>
    </font>
    <font>
      <sz val="8"/>
      <color indexed="12"/>
      <name val="Arial"/>
      <family val="2"/>
    </font>
    <font>
      <b/>
      <sz val="8"/>
      <color indexed="12"/>
      <name val="Arial"/>
      <family val="2"/>
    </font>
    <font>
      <b/>
      <sz val="8"/>
      <name val="Arial"/>
      <family val="2"/>
    </font>
    <font>
      <u/>
      <sz val="8"/>
      <color indexed="12"/>
      <name val="Arial"/>
      <family val="2"/>
    </font>
    <font>
      <sz val="8"/>
      <color theme="1"/>
      <name val="Arial"/>
      <family val="2"/>
    </font>
    <font>
      <sz val="10"/>
      <color indexed="12"/>
      <name val="Arial"/>
      <family val="2"/>
    </font>
    <font>
      <b/>
      <sz val="9"/>
      <color indexed="9"/>
      <name val="Arial"/>
      <family val="2"/>
    </font>
    <font>
      <b/>
      <sz val="11"/>
      <color indexed="9"/>
      <name val="Arial"/>
      <family val="2"/>
    </font>
    <font>
      <b/>
      <sz val="8"/>
      <color rgb="FFFFFF00"/>
      <name val="Arial"/>
      <family val="2"/>
      <charset val="238"/>
    </font>
    <font>
      <b/>
      <sz val="8"/>
      <color indexed="10"/>
      <name val="Arial"/>
      <family val="2"/>
    </font>
    <font>
      <b/>
      <sz val="8"/>
      <color indexed="81"/>
      <name val="Tahoma"/>
      <family val="2"/>
    </font>
    <font>
      <sz val="11"/>
      <name val="Arial"/>
      <family val="2"/>
    </font>
    <font>
      <b/>
      <sz val="10"/>
      <color indexed="12"/>
      <name val="Arial"/>
      <family val="2"/>
    </font>
    <font>
      <b/>
      <sz val="9"/>
      <color indexed="12"/>
      <name val="Arial"/>
      <family val="2"/>
    </font>
    <font>
      <b/>
      <sz val="20"/>
      <color indexed="9"/>
      <name val="Arial"/>
      <family val="2"/>
    </font>
    <font>
      <b/>
      <sz val="11"/>
      <name val="Arial"/>
      <family val="2"/>
    </font>
    <font>
      <b/>
      <sz val="9"/>
      <name val="Arial"/>
      <family val="2"/>
    </font>
    <font>
      <b/>
      <sz val="9"/>
      <color indexed="10"/>
      <name val="Arial"/>
      <family val="2"/>
    </font>
    <font>
      <sz val="9"/>
      <color indexed="12"/>
      <name val="Arial"/>
      <family val="2"/>
    </font>
    <font>
      <b/>
      <sz val="12"/>
      <color indexed="12"/>
      <name val="Arial"/>
      <family val="2"/>
    </font>
    <font>
      <sz val="10"/>
      <color indexed="9"/>
      <name val="Arial"/>
      <family val="2"/>
    </font>
    <font>
      <b/>
      <sz val="20"/>
      <name val="Arial"/>
      <family val="2"/>
    </font>
    <font>
      <sz val="8"/>
      <color indexed="81"/>
      <name val="Tahoma"/>
      <family val="2"/>
    </font>
    <font>
      <i/>
      <sz val="11"/>
      <color indexed="12"/>
      <name val="Arial"/>
      <family val="2"/>
    </font>
    <font>
      <sz val="11"/>
      <color indexed="12"/>
      <name val="Arial"/>
      <family val="2"/>
    </font>
    <font>
      <sz val="9"/>
      <name val="Arial"/>
      <family val="2"/>
    </font>
    <font>
      <b/>
      <i/>
      <sz val="10"/>
      <color indexed="12"/>
      <name val="Arial"/>
      <family val="2"/>
    </font>
    <font>
      <i/>
      <sz val="10"/>
      <color indexed="12"/>
      <name val="Arial"/>
      <family val="2"/>
    </font>
    <font>
      <b/>
      <sz val="10"/>
      <color indexed="10"/>
      <name val="Arial"/>
      <family val="2"/>
    </font>
    <font>
      <b/>
      <i/>
      <sz val="12"/>
      <name val="Arial"/>
      <family val="2"/>
    </font>
    <font>
      <b/>
      <sz val="22"/>
      <name val="Arial"/>
      <family val="2"/>
    </font>
    <font>
      <b/>
      <sz val="10"/>
      <color indexed="9"/>
      <name val="Arial"/>
      <family val="2"/>
    </font>
    <font>
      <b/>
      <sz val="8"/>
      <color indexed="9"/>
      <name val="Arial"/>
      <family val="2"/>
    </font>
    <font>
      <b/>
      <sz val="7"/>
      <color indexed="81"/>
      <name val="Tahoma"/>
      <family val="2"/>
    </font>
    <font>
      <b/>
      <u/>
      <sz val="7"/>
      <color indexed="81"/>
      <name val="Tahoma"/>
      <family val="2"/>
    </font>
    <font>
      <sz val="11"/>
      <color theme="1"/>
      <name val="Calibri"/>
      <family val="2"/>
      <charset val="238"/>
      <scheme val="minor"/>
    </font>
    <font>
      <sz val="8"/>
      <color indexed="12"/>
      <name val="Arial"/>
      <family val="2"/>
      <charset val="238"/>
    </font>
    <font>
      <sz val="8"/>
      <color theme="0" tint="-0.34998626667073579"/>
      <name val="Arial"/>
      <family val="2"/>
    </font>
    <font>
      <sz val="11"/>
      <color rgb="FF000000"/>
      <name val="Calibri"/>
      <family val="2"/>
    </font>
    <font>
      <sz val="8"/>
      <color rgb="FF000000"/>
      <name val="Tahoma"/>
      <family val="2"/>
    </font>
    <font>
      <sz val="9"/>
      <color indexed="81"/>
      <name val="Tahoma"/>
      <family val="2"/>
    </font>
    <font>
      <b/>
      <sz val="9"/>
      <color indexed="81"/>
      <name val="Tahoma"/>
      <family val="2"/>
    </font>
    <font>
      <u/>
      <sz val="11"/>
      <color theme="10"/>
      <name val="Calibri"/>
      <family val="2"/>
      <charset val="238"/>
      <scheme val="minor"/>
    </font>
  </fonts>
  <fills count="34">
    <fill>
      <patternFill patternType="none"/>
    </fill>
    <fill>
      <patternFill patternType="gray125"/>
    </fill>
    <fill>
      <patternFill patternType="solid">
        <fgColor theme="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26"/>
      </patternFill>
    </fill>
    <fill>
      <patternFill patternType="solid">
        <fgColor indexed="43"/>
      </patternFill>
    </fill>
    <fill>
      <patternFill patternType="solid">
        <fgColor indexed="55"/>
      </patternFill>
    </fill>
    <fill>
      <patternFill patternType="solid">
        <fgColor indexed="9"/>
        <bgColor indexed="64"/>
      </patternFill>
    </fill>
    <fill>
      <patternFill patternType="solid">
        <fgColor indexed="41"/>
        <bgColor indexed="64"/>
      </patternFill>
    </fill>
    <fill>
      <patternFill patternType="solid">
        <fgColor indexed="42"/>
        <bgColor indexed="64"/>
      </patternFill>
    </fill>
    <fill>
      <patternFill patternType="solid">
        <fgColor rgb="FFFFFF00"/>
        <bgColor indexed="64"/>
      </patternFill>
    </fill>
    <fill>
      <patternFill patternType="solid">
        <fgColor indexed="53"/>
        <bgColor indexed="64"/>
      </patternFill>
    </fill>
    <fill>
      <patternFill patternType="solid">
        <fgColor indexed="57"/>
        <bgColor indexed="64"/>
      </patternFill>
    </fill>
    <fill>
      <patternFill patternType="solid">
        <fgColor indexed="42"/>
        <bgColor indexed="41"/>
      </patternFill>
    </fill>
    <fill>
      <patternFill patternType="solid">
        <fgColor indexed="20"/>
        <bgColor indexed="64"/>
      </patternFill>
    </fill>
    <fill>
      <patternFill patternType="solid">
        <fgColor indexed="48"/>
        <bgColor indexed="64"/>
      </patternFill>
    </fill>
  </fills>
  <borders count="101">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indexed="63"/>
      </left>
      <right style="thin">
        <color indexed="63"/>
      </right>
      <top style="thin">
        <color indexed="63"/>
      </top>
      <bottom style="thin">
        <color indexed="63"/>
      </bottom>
      <diagonal/>
    </border>
    <border>
      <left/>
      <right/>
      <top/>
      <bottom style="thin">
        <color indexed="64"/>
      </bottom>
      <diagonal/>
    </border>
    <border>
      <left style="thin">
        <color indexed="64"/>
      </left>
      <right style="thin">
        <color indexed="64"/>
      </right>
      <top style="hair">
        <color indexed="64"/>
      </top>
      <bottom style="thin">
        <color indexed="64"/>
      </bottom>
      <diagonal/>
    </border>
    <border>
      <left/>
      <right style="thin">
        <color indexed="64"/>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right/>
      <top style="hair">
        <color indexed="64"/>
      </top>
      <bottom style="thin">
        <color indexed="64"/>
      </bottom>
      <diagonal/>
    </border>
    <border>
      <left style="thin">
        <color indexed="64"/>
      </left>
      <right/>
      <top style="hair">
        <color indexed="64"/>
      </top>
      <bottom style="thin">
        <color indexed="64"/>
      </bottom>
      <diagonal/>
    </border>
    <border>
      <left/>
      <right style="thin">
        <color indexed="64"/>
      </right>
      <top style="thin">
        <color indexed="64"/>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style="thin">
        <color indexed="64"/>
      </left>
      <right style="thin">
        <color indexed="64"/>
      </right>
      <top style="thin">
        <color indexed="64"/>
      </top>
      <bottom style="hair">
        <color indexed="64"/>
      </bottom>
      <diagonal/>
    </border>
    <border>
      <left/>
      <right/>
      <top style="medium">
        <color indexed="64"/>
      </top>
      <bottom style="medium">
        <color indexed="64"/>
      </bottom>
      <diagonal/>
    </border>
    <border>
      <left/>
      <right style="thin">
        <color indexed="64"/>
      </right>
      <top/>
      <bottom style="hair">
        <color indexed="64"/>
      </bottom>
      <diagonal/>
    </border>
    <border>
      <left/>
      <right/>
      <top/>
      <bottom style="hair">
        <color indexed="64"/>
      </bottom>
      <diagonal/>
    </border>
    <border>
      <left style="thin">
        <color indexed="64"/>
      </left>
      <right/>
      <top/>
      <bottom style="hair">
        <color indexed="64"/>
      </bottom>
      <diagonal/>
    </border>
    <border>
      <left/>
      <right style="medium">
        <color indexed="11"/>
      </right>
      <top/>
      <bottom style="medium">
        <color indexed="11"/>
      </bottom>
      <diagonal/>
    </border>
    <border>
      <left/>
      <right/>
      <top/>
      <bottom style="medium">
        <color indexed="11"/>
      </bottom>
      <diagonal/>
    </border>
    <border>
      <left style="medium">
        <color indexed="11"/>
      </left>
      <right/>
      <top/>
      <bottom style="medium">
        <color indexed="11"/>
      </bottom>
      <diagonal/>
    </border>
    <border>
      <left/>
      <right style="medium">
        <color indexed="10"/>
      </right>
      <top/>
      <bottom style="medium">
        <color indexed="10"/>
      </bottom>
      <diagonal/>
    </border>
    <border>
      <left/>
      <right/>
      <top/>
      <bottom style="medium">
        <color indexed="10"/>
      </bottom>
      <diagonal/>
    </border>
    <border>
      <left style="medium">
        <color indexed="10"/>
      </left>
      <right/>
      <top/>
      <bottom style="medium">
        <color indexed="10"/>
      </bottom>
      <diagonal/>
    </border>
    <border>
      <left/>
      <right style="medium">
        <color indexed="11"/>
      </right>
      <top/>
      <bottom/>
      <diagonal/>
    </border>
    <border>
      <left style="medium">
        <color indexed="11"/>
      </left>
      <right/>
      <top/>
      <bottom/>
      <diagonal/>
    </border>
    <border>
      <left/>
      <right style="medium">
        <color indexed="10"/>
      </right>
      <top/>
      <bottom/>
      <diagonal/>
    </border>
    <border>
      <left style="medium">
        <color indexed="10"/>
      </left>
      <right/>
      <top/>
      <bottom/>
      <diagonal/>
    </border>
    <border>
      <left/>
      <right style="medium">
        <color indexed="11"/>
      </right>
      <top style="medium">
        <color indexed="11"/>
      </top>
      <bottom/>
      <diagonal/>
    </border>
    <border>
      <left/>
      <right/>
      <top style="medium">
        <color indexed="11"/>
      </top>
      <bottom/>
      <diagonal/>
    </border>
    <border>
      <left style="medium">
        <color indexed="11"/>
      </left>
      <right/>
      <top style="medium">
        <color indexed="11"/>
      </top>
      <bottom/>
      <diagonal/>
    </border>
    <border>
      <left/>
      <right style="medium">
        <color indexed="10"/>
      </right>
      <top style="medium">
        <color indexed="10"/>
      </top>
      <bottom/>
      <diagonal/>
    </border>
    <border>
      <left/>
      <right/>
      <top style="medium">
        <color indexed="10"/>
      </top>
      <bottom/>
      <diagonal/>
    </border>
    <border>
      <left style="medium">
        <color indexed="10"/>
      </left>
      <right/>
      <top style="medium">
        <color indexed="10"/>
      </top>
      <bottom/>
      <diagonal/>
    </border>
    <border>
      <left/>
      <right style="medium">
        <color indexed="64"/>
      </right>
      <top style="hair">
        <color indexed="64"/>
      </top>
      <bottom style="medium">
        <color indexed="64"/>
      </bottom>
      <diagonal/>
    </border>
    <border>
      <left/>
      <right/>
      <top style="hair">
        <color indexed="64"/>
      </top>
      <bottom style="medium">
        <color indexed="64"/>
      </bottom>
      <diagonal/>
    </border>
    <border>
      <left style="thin">
        <color indexed="64"/>
      </left>
      <right/>
      <top style="hair">
        <color indexed="64"/>
      </top>
      <bottom style="medium">
        <color indexed="64"/>
      </bottom>
      <diagonal/>
    </border>
    <border>
      <left style="medium">
        <color indexed="64"/>
      </left>
      <right/>
      <top style="hair">
        <color indexed="64"/>
      </top>
      <bottom style="medium">
        <color indexed="64"/>
      </bottom>
      <diagonal/>
    </border>
    <border>
      <left/>
      <right style="medium">
        <color indexed="64"/>
      </right>
      <top style="hair">
        <color indexed="64"/>
      </top>
      <bottom style="hair">
        <color indexed="64"/>
      </bottom>
      <diagonal/>
    </border>
    <border>
      <left style="medium">
        <color indexed="64"/>
      </left>
      <right/>
      <top style="hair">
        <color indexed="64"/>
      </top>
      <bottom style="hair">
        <color indexed="64"/>
      </bottom>
      <diagonal/>
    </border>
    <border>
      <left/>
      <right style="medium">
        <color indexed="64"/>
      </right>
      <top style="medium">
        <color indexed="64"/>
      </top>
      <bottom style="hair">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style="medium">
        <color indexed="64"/>
      </left>
      <right/>
      <top style="medium">
        <color indexed="64"/>
      </top>
      <bottom style="hair">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bottom style="hair">
        <color indexed="64"/>
      </bottom>
      <diagonal/>
    </border>
    <border>
      <left style="thin">
        <color indexed="64"/>
      </left>
      <right style="medium">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style="medium">
        <color indexed="64"/>
      </left>
      <right style="thin">
        <color indexed="64"/>
      </right>
      <top style="hair">
        <color indexed="64"/>
      </top>
      <bottom style="medium">
        <color indexed="64"/>
      </bottom>
      <diagonal/>
    </border>
    <border>
      <left style="thin">
        <color indexed="64"/>
      </left>
      <right style="medium">
        <color indexed="64"/>
      </right>
      <top style="hair">
        <color indexed="64"/>
      </top>
      <bottom style="hair">
        <color indexed="64"/>
      </bottom>
      <diagonal/>
    </border>
    <border>
      <left style="medium">
        <color indexed="64"/>
      </left>
      <right style="thin">
        <color indexed="64"/>
      </right>
      <top style="hair">
        <color indexed="64"/>
      </top>
      <bottom style="hair">
        <color indexed="64"/>
      </bottom>
      <diagonal/>
    </border>
    <border>
      <left style="thin">
        <color indexed="64"/>
      </left>
      <right style="medium">
        <color indexed="64"/>
      </right>
      <top/>
      <bottom style="hair">
        <color indexed="64"/>
      </bottom>
      <diagonal/>
    </border>
    <border>
      <left style="thin">
        <color indexed="64"/>
      </left>
      <right style="thin">
        <color indexed="64"/>
      </right>
      <top/>
      <bottom style="hair">
        <color indexed="64"/>
      </bottom>
      <diagonal/>
    </border>
    <border>
      <left style="medium">
        <color indexed="64"/>
      </left>
      <right style="thin">
        <color indexed="64"/>
      </right>
      <top/>
      <bottom style="hair">
        <color indexed="64"/>
      </bottom>
      <diagonal/>
    </border>
    <border>
      <left style="thin">
        <color indexed="64"/>
      </left>
      <right style="thin">
        <color indexed="64"/>
      </right>
      <top style="medium">
        <color indexed="64"/>
      </top>
      <bottom style="hair">
        <color indexed="64"/>
      </bottom>
      <diagonal/>
    </border>
    <border>
      <left style="medium">
        <color indexed="64"/>
      </left>
      <right style="thin">
        <color indexed="64"/>
      </right>
      <top style="medium">
        <color indexed="64"/>
      </top>
      <bottom style="hair">
        <color indexed="64"/>
      </bottom>
      <diagonal/>
    </border>
    <border>
      <left style="thin">
        <color indexed="64"/>
      </left>
      <right style="medium">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style="medium">
        <color indexed="64"/>
      </top>
      <bottom style="hair">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s>
  <cellStyleXfs count="50">
    <xf numFmtId="0" fontId="0" fillId="0" borderId="0"/>
    <xf numFmtId="0" fontId="1" fillId="0" borderId="0"/>
    <xf numFmtId="0" fontId="17" fillId="3" borderId="0" applyNumberFormat="0" applyBorder="0" applyAlignment="0" applyProtection="0"/>
    <xf numFmtId="0" fontId="17" fillId="4" borderId="0" applyNumberFormat="0" applyBorder="0" applyAlignment="0" applyProtection="0"/>
    <xf numFmtId="0" fontId="17" fillId="5" borderId="0" applyNumberFormat="0" applyBorder="0" applyAlignment="0" applyProtection="0"/>
    <xf numFmtId="0" fontId="17" fillId="6" borderId="0" applyNumberFormat="0" applyBorder="0" applyAlignment="0" applyProtection="0"/>
    <xf numFmtId="0" fontId="17" fillId="7" borderId="0" applyNumberFormat="0" applyBorder="0" applyAlignment="0" applyProtection="0"/>
    <xf numFmtId="0" fontId="17" fillId="8" borderId="0" applyNumberFormat="0" applyBorder="0" applyAlignment="0" applyProtection="0"/>
    <xf numFmtId="0" fontId="17" fillId="9" borderId="0" applyNumberFormat="0" applyBorder="0" applyAlignment="0" applyProtection="0"/>
    <xf numFmtId="0" fontId="17" fillId="10" borderId="0" applyNumberFormat="0" applyBorder="0" applyAlignment="0" applyProtection="0"/>
    <xf numFmtId="0" fontId="17" fillId="11" borderId="0" applyNumberFormat="0" applyBorder="0" applyAlignment="0" applyProtection="0"/>
    <xf numFmtId="0" fontId="17" fillId="6" borderId="0" applyNumberFormat="0" applyBorder="0" applyAlignment="0" applyProtection="0"/>
    <xf numFmtId="0" fontId="17" fillId="9" borderId="0" applyNumberFormat="0" applyBorder="0" applyAlignment="0" applyProtection="0"/>
    <xf numFmtId="0" fontId="17" fillId="12" borderId="0" applyNumberFormat="0" applyBorder="0" applyAlignment="0" applyProtection="0"/>
    <xf numFmtId="0" fontId="18" fillId="13" borderId="0" applyNumberFormat="0" applyBorder="0" applyAlignment="0" applyProtection="0"/>
    <xf numFmtId="0" fontId="18" fillId="10" borderId="0" applyNumberFormat="0" applyBorder="0" applyAlignment="0" applyProtection="0"/>
    <xf numFmtId="0" fontId="18" fillId="11" borderId="0" applyNumberFormat="0" applyBorder="0" applyAlignment="0" applyProtection="0"/>
    <xf numFmtId="0" fontId="18" fillId="14" borderId="0" applyNumberFormat="0" applyBorder="0" applyAlignment="0" applyProtection="0"/>
    <xf numFmtId="0" fontId="18" fillId="15" borderId="0" applyNumberFormat="0" applyBorder="0" applyAlignment="0" applyProtection="0"/>
    <xf numFmtId="0" fontId="18" fillId="16" borderId="0" applyNumberFormat="0" applyBorder="0" applyAlignment="0" applyProtection="0"/>
    <xf numFmtId="0" fontId="19" fillId="0" borderId="0" applyNumberFormat="0" applyFill="0" applyBorder="0" applyAlignment="0" applyProtection="0">
      <alignment vertical="top"/>
      <protection locked="0"/>
    </xf>
    <xf numFmtId="0" fontId="10" fillId="0" borderId="0"/>
    <xf numFmtId="0" fontId="1" fillId="0" borderId="0"/>
    <xf numFmtId="0" fontId="18" fillId="17" borderId="0" applyNumberFormat="0" applyBorder="0" applyAlignment="0" applyProtection="0"/>
    <xf numFmtId="0" fontId="18" fillId="18" borderId="0" applyNumberFormat="0" applyBorder="0" applyAlignment="0" applyProtection="0"/>
    <xf numFmtId="0" fontId="18" fillId="19" borderId="0" applyNumberFormat="0" applyBorder="0" applyAlignment="0" applyProtection="0"/>
    <xf numFmtId="0" fontId="18" fillId="14" borderId="0" applyNumberFormat="0" applyBorder="0" applyAlignment="0" applyProtection="0"/>
    <xf numFmtId="0" fontId="18" fillId="15" borderId="0" applyNumberFormat="0" applyBorder="0" applyAlignment="0" applyProtection="0"/>
    <xf numFmtId="0" fontId="18" fillId="20" borderId="0" applyNumberFormat="0" applyBorder="0" applyAlignment="0" applyProtection="0"/>
    <xf numFmtId="0" fontId="20" fillId="0" borderId="0" applyNumberFormat="0" applyFill="0" applyBorder="0" applyAlignment="0" applyProtection="0"/>
    <xf numFmtId="0" fontId="21" fillId="21" borderId="24" applyNumberFormat="0" applyAlignment="0" applyProtection="0"/>
    <xf numFmtId="0" fontId="22" fillId="4" borderId="0" applyNumberFormat="0" applyBorder="0" applyAlignment="0" applyProtection="0"/>
    <xf numFmtId="0" fontId="10" fillId="22" borderId="25" applyNumberFormat="0" applyFont="0" applyAlignment="0" applyProtection="0"/>
    <xf numFmtId="0" fontId="23" fillId="23" borderId="0" applyNumberFormat="0" applyBorder="0" applyAlignment="0" applyProtection="0"/>
    <xf numFmtId="0" fontId="24" fillId="0" borderId="0" applyNumberFormat="0" applyFill="0" applyBorder="0" applyAlignment="0" applyProtection="0"/>
    <xf numFmtId="0" fontId="25" fillId="24" borderId="26" applyNumberFormat="0" applyAlignment="0" applyProtection="0"/>
    <xf numFmtId="0" fontId="26" fillId="0" borderId="27" applyNumberFormat="0" applyFill="0" applyAlignment="0" applyProtection="0"/>
    <xf numFmtId="0" fontId="27" fillId="0" borderId="28" applyNumberFormat="0" applyFill="0" applyAlignment="0" applyProtection="0"/>
    <xf numFmtId="0" fontId="28" fillId="8" borderId="24" applyNumberFormat="0" applyAlignment="0" applyProtection="0"/>
    <xf numFmtId="0" fontId="29" fillId="0" borderId="0" applyNumberFormat="0" applyFill="0" applyBorder="0" applyAlignment="0" applyProtection="0"/>
    <xf numFmtId="0" fontId="30" fillId="0" borderId="29" applyNumberFormat="0" applyFill="0" applyAlignment="0" applyProtection="0"/>
    <xf numFmtId="0" fontId="31" fillId="0" borderId="30" applyNumberFormat="0" applyFill="0" applyAlignment="0" applyProtection="0"/>
    <xf numFmtId="0" fontId="32" fillId="0" borderId="31" applyNumberFormat="0" applyFill="0" applyAlignment="0" applyProtection="0"/>
    <xf numFmtId="0" fontId="32" fillId="0" borderId="0" applyNumberFormat="0" applyFill="0" applyBorder="0" applyAlignment="0" applyProtection="0"/>
    <xf numFmtId="0" fontId="33" fillId="5" borderId="0" applyNumberFormat="0" applyBorder="0" applyAlignment="0" applyProtection="0"/>
    <xf numFmtId="0" fontId="34" fillId="21" borderId="32" applyNumberFormat="0" applyAlignment="0" applyProtection="0"/>
    <xf numFmtId="0" fontId="48" fillId="0" borderId="0"/>
    <xf numFmtId="0" fontId="48" fillId="0" borderId="0"/>
    <xf numFmtId="9" fontId="72" fillId="0" borderId="0" applyFont="0" applyFill="0" applyBorder="0" applyAlignment="0" applyProtection="0"/>
    <xf numFmtId="0" fontId="79" fillId="0" borderId="0" applyNumberFormat="0" applyFill="0" applyBorder="0" applyAlignment="0" applyProtection="0"/>
  </cellStyleXfs>
  <cellXfs count="742">
    <xf numFmtId="0" fontId="0" fillId="0" borderId="0" xfId="0"/>
    <xf numFmtId="0" fontId="1" fillId="0" borderId="0" xfId="1"/>
    <xf numFmtId="0" fontId="1" fillId="0" borderId="0" xfId="1" applyAlignment="1">
      <alignment horizontal="center"/>
    </xf>
    <xf numFmtId="0" fontId="1" fillId="0" borderId="4" xfId="1" applyBorder="1"/>
    <xf numFmtId="0" fontId="2" fillId="0" borderId="5" xfId="1" applyFont="1" applyBorder="1"/>
    <xf numFmtId="0" fontId="1" fillId="0" borderId="6" xfId="1" applyBorder="1"/>
    <xf numFmtId="0" fontId="1" fillId="0" borderId="7" xfId="1" applyBorder="1"/>
    <xf numFmtId="0" fontId="1" fillId="0" borderId="7" xfId="1" applyBorder="1" applyAlignment="1">
      <alignment horizontal="center"/>
    </xf>
    <xf numFmtId="0" fontId="1" fillId="0" borderId="8" xfId="1" applyBorder="1"/>
    <xf numFmtId="0" fontId="1" fillId="0" borderId="0" xfId="1" applyAlignment="1">
      <alignment vertical="center"/>
    </xf>
    <xf numFmtId="0" fontId="1" fillId="0" borderId="1" xfId="1" applyBorder="1" applyAlignment="1">
      <alignment vertical="center"/>
    </xf>
    <xf numFmtId="0" fontId="1" fillId="0" borderId="2" xfId="1" applyBorder="1" applyAlignment="1">
      <alignment vertical="center"/>
    </xf>
    <xf numFmtId="0" fontId="1" fillId="0" borderId="2" xfId="1" applyBorder="1" applyAlignment="1">
      <alignment vertical="center" wrapText="1"/>
    </xf>
    <xf numFmtId="0" fontId="1" fillId="0" borderId="2" xfId="1" applyBorder="1" applyAlignment="1">
      <alignment horizontal="center" vertical="center"/>
    </xf>
    <xf numFmtId="0" fontId="1" fillId="0" borderId="3" xfId="1" applyBorder="1" applyAlignment="1">
      <alignment vertical="center"/>
    </xf>
    <xf numFmtId="0" fontId="1" fillId="0" borderId="4" xfId="1" applyBorder="1" applyAlignment="1">
      <alignment vertical="center"/>
    </xf>
    <xf numFmtId="0" fontId="5" fillId="0" borderId="0" xfId="1" applyFont="1" applyAlignment="1">
      <alignment horizontal="right" vertical="center" wrapText="1"/>
    </xf>
    <xf numFmtId="0" fontId="6" fillId="0" borderId="0" xfId="1" applyFont="1" applyAlignment="1">
      <alignment vertical="center" wrapText="1"/>
    </xf>
    <xf numFmtId="0" fontId="7" fillId="0" borderId="0" xfId="1" applyFont="1" applyAlignment="1">
      <alignment vertical="center" wrapText="1"/>
    </xf>
    <xf numFmtId="0" fontId="6" fillId="0" borderId="0" xfId="1" applyFont="1" applyAlignment="1">
      <alignment vertical="top" wrapText="1"/>
    </xf>
    <xf numFmtId="0" fontId="1" fillId="0" borderId="5" xfId="1" applyBorder="1" applyAlignment="1">
      <alignment vertical="center"/>
    </xf>
    <xf numFmtId="0" fontId="1" fillId="0" borderId="0" xfId="1" applyAlignment="1">
      <alignment horizontal="center" vertical="center"/>
    </xf>
    <xf numFmtId="0" fontId="1" fillId="0" borderId="0" xfId="1" applyAlignment="1">
      <alignment vertical="center" wrapText="1"/>
    </xf>
    <xf numFmtId="0" fontId="1" fillId="0" borderId="0" xfId="1" quotePrefix="1" applyAlignment="1">
      <alignment horizontal="center" vertical="center"/>
    </xf>
    <xf numFmtId="0" fontId="1" fillId="0" borderId="0" xfId="1" applyAlignment="1">
      <alignment horizontal="center" vertical="center" wrapText="1"/>
    </xf>
    <xf numFmtId="0" fontId="8" fillId="0" borderId="0" xfId="1" applyFont="1" applyAlignment="1">
      <alignment horizontal="center" vertical="center"/>
    </xf>
    <xf numFmtId="0" fontId="9" fillId="0" borderId="12" xfId="1" applyFont="1" applyBorder="1" applyAlignment="1" applyProtection="1">
      <alignment vertical="center" wrapText="1"/>
      <protection locked="0"/>
    </xf>
    <xf numFmtId="0" fontId="4" fillId="0" borderId="15" xfId="1" applyFont="1" applyBorder="1" applyAlignment="1">
      <alignment horizontal="center" vertical="center"/>
    </xf>
    <xf numFmtId="0" fontId="4" fillId="0" borderId="16" xfId="1" applyFont="1" applyBorder="1" applyAlignment="1">
      <alignment horizontal="center" vertical="center"/>
    </xf>
    <xf numFmtId="0" fontId="10" fillId="0" borderId="0" xfId="1" applyFont="1" applyAlignment="1">
      <alignment vertical="center"/>
    </xf>
    <xf numFmtId="0" fontId="9" fillId="0" borderId="20" xfId="1" applyFont="1" applyBorder="1" applyAlignment="1" applyProtection="1">
      <alignment vertical="center" wrapText="1"/>
      <protection locked="0"/>
    </xf>
    <xf numFmtId="0" fontId="1" fillId="0" borderId="5" xfId="1" applyBorder="1"/>
    <xf numFmtId="49" fontId="1" fillId="0" borderId="0" xfId="1" applyNumberFormat="1" applyAlignment="1" applyProtection="1">
      <alignment horizontal="center" vertical="center"/>
      <protection locked="0"/>
    </xf>
    <xf numFmtId="1" fontId="1" fillId="0" borderId="0" xfId="1" applyNumberFormat="1" applyAlignment="1" applyProtection="1">
      <alignment horizontal="center" vertical="center"/>
      <protection locked="0"/>
    </xf>
    <xf numFmtId="0" fontId="1" fillId="0" borderId="0" xfId="1" applyAlignment="1" applyProtection="1">
      <alignment vertical="center"/>
      <protection locked="0"/>
    </xf>
    <xf numFmtId="0" fontId="1" fillId="0" borderId="0" xfId="1" applyAlignment="1">
      <alignment horizontal="left" vertical="center"/>
    </xf>
    <xf numFmtId="0" fontId="1" fillId="0" borderId="0" xfId="1" applyAlignment="1" applyProtection="1">
      <alignment horizontal="center" vertical="center"/>
      <protection locked="0"/>
    </xf>
    <xf numFmtId="0" fontId="1" fillId="0" borderId="0" xfId="1" applyAlignment="1">
      <alignment horizontal="left" vertical="center" wrapText="1"/>
    </xf>
    <xf numFmtId="0" fontId="1" fillId="0" borderId="22" xfId="1" applyBorder="1" applyAlignment="1" applyProtection="1">
      <alignment horizontal="center" vertical="center"/>
      <protection locked="0"/>
    </xf>
    <xf numFmtId="0" fontId="1" fillId="0" borderId="14" xfId="1" applyBorder="1" applyAlignment="1" applyProtection="1">
      <alignment horizontal="center" vertical="center"/>
      <protection locked="0"/>
    </xf>
    <xf numFmtId="0" fontId="1" fillId="0" borderId="19" xfId="1" applyBorder="1" applyAlignment="1" applyProtection="1">
      <alignment horizontal="center" vertical="center"/>
      <protection locked="0"/>
    </xf>
    <xf numFmtId="0" fontId="12" fillId="0" borderId="0" xfId="1" applyFont="1" applyAlignment="1">
      <alignment horizontal="center" vertical="center" wrapText="1"/>
    </xf>
    <xf numFmtId="0" fontId="13" fillId="0" borderId="0" xfId="1" applyFont="1" applyAlignment="1">
      <alignment horizontal="center" vertical="center" wrapText="1"/>
    </xf>
    <xf numFmtId="0" fontId="1" fillId="0" borderId="16" xfId="1" applyBorder="1" applyAlignment="1" applyProtection="1">
      <alignment horizontal="center" vertical="center"/>
      <protection locked="0"/>
    </xf>
    <xf numFmtId="0" fontId="1" fillId="0" borderId="15" xfId="1" applyBorder="1" applyAlignment="1">
      <alignment vertical="center"/>
    </xf>
    <xf numFmtId="0" fontId="1" fillId="0" borderId="12" xfId="1" applyBorder="1" applyAlignment="1">
      <alignment vertical="center"/>
    </xf>
    <xf numFmtId="0" fontId="35" fillId="25" borderId="0" xfId="21" applyFont="1" applyFill="1" applyAlignment="1">
      <alignment vertical="center"/>
    </xf>
    <xf numFmtId="0" fontId="36" fillId="25" borderId="0" xfId="21" applyFont="1" applyFill="1" applyAlignment="1">
      <alignment vertical="center"/>
    </xf>
    <xf numFmtId="0" fontId="35" fillId="25" borderId="1" xfId="21" applyFont="1" applyFill="1" applyBorder="1" applyAlignment="1">
      <alignment vertical="center"/>
    </xf>
    <xf numFmtId="0" fontId="35" fillId="25" borderId="2" xfId="21" applyFont="1" applyFill="1" applyBorder="1" applyAlignment="1">
      <alignment vertical="center"/>
    </xf>
    <xf numFmtId="0" fontId="35" fillId="25" borderId="3" xfId="21" applyFont="1" applyFill="1" applyBorder="1" applyAlignment="1">
      <alignment vertical="center"/>
    </xf>
    <xf numFmtId="0" fontId="35" fillId="25" borderId="4" xfId="21" applyFont="1" applyFill="1" applyBorder="1" applyAlignment="1">
      <alignment vertical="center"/>
    </xf>
    <xf numFmtId="0" fontId="35" fillId="25" borderId="5" xfId="21" applyFont="1" applyFill="1" applyBorder="1" applyAlignment="1">
      <alignment vertical="center"/>
    </xf>
    <xf numFmtId="0" fontId="39" fillId="25" borderId="0" xfId="21" applyFont="1" applyFill="1" applyAlignment="1">
      <alignment vertical="center"/>
    </xf>
    <xf numFmtId="0" fontId="35" fillId="0" borderId="0" xfId="21" applyFont="1" applyAlignment="1">
      <alignment vertical="center"/>
    </xf>
    <xf numFmtId="0" fontId="39" fillId="25" borderId="7" xfId="21" applyFont="1" applyFill="1" applyBorder="1" applyAlignment="1">
      <alignment vertical="center"/>
    </xf>
    <xf numFmtId="0" fontId="35" fillId="27" borderId="9" xfId="21" applyFont="1" applyFill="1" applyBorder="1" applyAlignment="1">
      <alignment vertical="center"/>
    </xf>
    <xf numFmtId="0" fontId="35" fillId="27" borderId="46" xfId="21" applyFont="1" applyFill="1" applyBorder="1" applyAlignment="1">
      <alignment vertical="center"/>
    </xf>
    <xf numFmtId="0" fontId="40" fillId="27" borderId="46" xfId="20" applyFont="1" applyFill="1" applyBorder="1" applyAlignment="1" applyProtection="1">
      <alignment vertical="center"/>
    </xf>
    <xf numFmtId="0" fontId="5" fillId="27" borderId="10" xfId="21" applyFont="1" applyFill="1" applyBorder="1" applyAlignment="1">
      <alignment vertical="center"/>
    </xf>
    <xf numFmtId="0" fontId="41" fillId="28" borderId="0" xfId="21" applyFont="1" applyFill="1" applyAlignment="1">
      <alignment vertical="center"/>
    </xf>
    <xf numFmtId="0" fontId="35" fillId="25" borderId="0" xfId="21" applyFont="1" applyFill="1" applyAlignment="1">
      <alignment horizontal="right" vertical="top"/>
    </xf>
    <xf numFmtId="0" fontId="35" fillId="25" borderId="0" xfId="21" applyFont="1" applyFill="1" applyAlignment="1">
      <alignment horizontal="left" vertical="top"/>
    </xf>
    <xf numFmtId="0" fontId="35" fillId="25" borderId="0" xfId="21" applyFont="1" applyFill="1" applyAlignment="1">
      <alignment horizontal="left" vertical="top" wrapText="1"/>
    </xf>
    <xf numFmtId="0" fontId="35" fillId="25" borderId="0" xfId="21" applyFont="1" applyFill="1" applyAlignment="1">
      <alignment vertical="top" wrapText="1"/>
    </xf>
    <xf numFmtId="0" fontId="37" fillId="25" borderId="0" xfId="21" applyFont="1" applyFill="1" applyAlignment="1">
      <alignment horizontal="left" vertical="top" wrapText="1"/>
    </xf>
    <xf numFmtId="0" fontId="35" fillId="25" borderId="0" xfId="21" applyFont="1" applyFill="1" applyAlignment="1" applyProtection="1">
      <alignment vertical="center"/>
      <protection locked="0"/>
    </xf>
    <xf numFmtId="0" fontId="39" fillId="26" borderId="16" xfId="21" applyFont="1" applyFill="1" applyBorder="1" applyAlignment="1" applyProtection="1">
      <alignment horizontal="center" vertical="center"/>
      <protection locked="0"/>
    </xf>
    <xf numFmtId="0" fontId="35" fillId="25" borderId="50" xfId="21" applyFont="1" applyFill="1" applyBorder="1" applyAlignment="1" applyProtection="1">
      <alignment vertical="center"/>
      <protection locked="0"/>
    </xf>
    <xf numFmtId="0" fontId="35" fillId="25" borderId="51" xfId="21" applyFont="1" applyFill="1" applyBorder="1" applyAlignment="1" applyProtection="1">
      <alignment vertical="center"/>
      <protection locked="0"/>
    </xf>
    <xf numFmtId="0" fontId="35" fillId="25" borderId="53" xfId="21" applyFont="1" applyFill="1" applyBorder="1" applyAlignment="1" applyProtection="1">
      <alignment vertical="center"/>
      <protection locked="0"/>
    </xf>
    <xf numFmtId="0" fontId="35" fillId="25" borderId="54" xfId="21" applyFont="1" applyFill="1" applyBorder="1" applyAlignment="1" applyProtection="1">
      <alignment vertical="center"/>
      <protection locked="0"/>
    </xf>
    <xf numFmtId="0" fontId="35" fillId="25" borderId="56" xfId="21" applyFont="1" applyFill="1" applyBorder="1" applyAlignment="1" applyProtection="1">
      <alignment vertical="center"/>
      <protection locked="0"/>
    </xf>
    <xf numFmtId="0" fontId="35" fillId="25" borderId="58" xfId="21" applyFont="1" applyFill="1" applyBorder="1" applyAlignment="1" applyProtection="1">
      <alignment vertical="center"/>
      <protection locked="0"/>
    </xf>
    <xf numFmtId="0" fontId="35" fillId="25" borderId="60" xfId="21" applyFont="1" applyFill="1" applyBorder="1" applyAlignment="1" applyProtection="1">
      <alignment vertical="center"/>
      <protection locked="0"/>
    </xf>
    <xf numFmtId="0" fontId="35" fillId="25" borderId="61" xfId="21" applyFont="1" applyFill="1" applyBorder="1" applyAlignment="1" applyProtection="1">
      <alignment vertical="center"/>
      <protection locked="0"/>
    </xf>
    <xf numFmtId="0" fontId="35" fillId="25" borderId="63" xfId="21" applyFont="1" applyFill="1" applyBorder="1" applyAlignment="1" applyProtection="1">
      <alignment vertical="center"/>
      <protection locked="0"/>
    </xf>
    <xf numFmtId="0" fontId="35" fillId="25" borderId="64" xfId="21" applyFont="1" applyFill="1" applyBorder="1" applyAlignment="1" applyProtection="1">
      <alignment vertical="center"/>
      <protection locked="0"/>
    </xf>
    <xf numFmtId="0" fontId="45" fillId="25" borderId="0" xfId="21" applyFont="1" applyFill="1" applyAlignment="1">
      <alignment vertical="center"/>
    </xf>
    <xf numFmtId="0" fontId="35" fillId="27" borderId="2" xfId="21" applyFont="1" applyFill="1" applyBorder="1" applyAlignment="1">
      <alignment vertical="center"/>
    </xf>
    <xf numFmtId="0" fontId="46" fillId="27" borderId="2" xfId="21" applyFont="1" applyFill="1" applyBorder="1" applyAlignment="1">
      <alignment vertical="center"/>
    </xf>
    <xf numFmtId="0" fontId="39" fillId="27" borderId="2" xfId="21" applyFont="1" applyFill="1" applyBorder="1" applyAlignment="1">
      <alignment vertical="center"/>
    </xf>
    <xf numFmtId="0" fontId="39" fillId="27" borderId="3" xfId="21" applyFont="1" applyFill="1" applyBorder="1" applyAlignment="1">
      <alignment vertical="center"/>
    </xf>
    <xf numFmtId="0" fontId="35" fillId="27" borderId="0" xfId="21" applyFont="1" applyFill="1" applyAlignment="1">
      <alignment vertical="center"/>
    </xf>
    <xf numFmtId="0" fontId="39" fillId="27" borderId="0" xfId="21" applyFont="1" applyFill="1" applyAlignment="1">
      <alignment vertical="center"/>
    </xf>
    <xf numFmtId="0" fontId="39" fillId="27" borderId="5" xfId="21" applyFont="1" applyFill="1" applyBorder="1" applyAlignment="1">
      <alignment vertical="center"/>
    </xf>
    <xf numFmtId="0" fontId="35" fillId="27" borderId="7" xfId="21" applyFont="1" applyFill="1" applyBorder="1" applyAlignment="1">
      <alignment vertical="center"/>
    </xf>
    <xf numFmtId="0" fontId="39" fillId="27" borderId="7" xfId="21" applyFont="1" applyFill="1" applyBorder="1" applyAlignment="1">
      <alignment vertical="center"/>
    </xf>
    <xf numFmtId="0" fontId="39" fillId="27" borderId="8" xfId="21" applyFont="1" applyFill="1" applyBorder="1" applyAlignment="1">
      <alignment vertical="center"/>
    </xf>
    <xf numFmtId="0" fontId="10" fillId="25" borderId="1" xfId="21" applyFill="1" applyBorder="1" applyAlignment="1">
      <alignment vertical="center"/>
    </xf>
    <xf numFmtId="0" fontId="10" fillId="25" borderId="2" xfId="21" applyFill="1" applyBorder="1" applyAlignment="1">
      <alignment vertical="center"/>
    </xf>
    <xf numFmtId="0" fontId="10" fillId="25" borderId="3" xfId="21" applyFill="1" applyBorder="1" applyAlignment="1">
      <alignment vertical="center"/>
    </xf>
    <xf numFmtId="0" fontId="10" fillId="25" borderId="4" xfId="21" applyFill="1" applyBorder="1" applyAlignment="1">
      <alignment vertical="center"/>
    </xf>
    <xf numFmtId="0" fontId="10" fillId="25" borderId="5" xfId="21" applyFill="1" applyBorder="1" applyAlignment="1">
      <alignment vertical="center"/>
    </xf>
    <xf numFmtId="0" fontId="10" fillId="25" borderId="0" xfId="21" applyFill="1" applyAlignment="1">
      <alignment vertical="center"/>
    </xf>
    <xf numFmtId="0" fontId="10" fillId="25" borderId="46" xfId="21" applyFill="1" applyBorder="1" applyAlignment="1">
      <alignment vertical="center"/>
    </xf>
    <xf numFmtId="0" fontId="5" fillId="25" borderId="0" xfId="21" applyFont="1" applyFill="1" applyAlignment="1">
      <alignment vertical="center"/>
    </xf>
    <xf numFmtId="0" fontId="10" fillId="25" borderId="6" xfId="21" applyFill="1" applyBorder="1" applyAlignment="1">
      <alignment vertical="center"/>
    </xf>
    <xf numFmtId="0" fontId="10" fillId="25" borderId="7" xfId="21" applyFill="1" applyBorder="1" applyAlignment="1">
      <alignment vertical="center"/>
    </xf>
    <xf numFmtId="0" fontId="10" fillId="25" borderId="8" xfId="21" applyFill="1" applyBorder="1" applyAlignment="1">
      <alignment vertical="center"/>
    </xf>
    <xf numFmtId="0" fontId="43" fillId="30" borderId="1" xfId="21" applyFont="1" applyFill="1" applyBorder="1" applyAlignment="1">
      <alignment vertical="center"/>
    </xf>
    <xf numFmtId="0" fontId="44" fillId="30" borderId="2" xfId="21" applyFont="1" applyFill="1" applyBorder="1" applyAlignment="1">
      <alignment horizontal="center" vertical="center"/>
    </xf>
    <xf numFmtId="0" fontId="43" fillId="30" borderId="3" xfId="21" quotePrefix="1" applyFont="1" applyFill="1" applyBorder="1" applyAlignment="1">
      <alignment vertical="center"/>
    </xf>
    <xf numFmtId="0" fontId="10" fillId="0" borderId="0" xfId="21" applyAlignment="1">
      <alignment vertical="center"/>
    </xf>
    <xf numFmtId="0" fontId="35" fillId="0" borderId="0" xfId="21" applyFont="1" applyAlignment="1">
      <alignment horizontal="center" vertical="center"/>
    </xf>
    <xf numFmtId="9" fontId="35" fillId="0" borderId="0" xfId="21" applyNumberFormat="1" applyFont="1" applyAlignment="1">
      <alignment horizontal="center" vertical="center"/>
    </xf>
    <xf numFmtId="0" fontId="10" fillId="0" borderId="1" xfId="21" applyBorder="1" applyAlignment="1">
      <alignment vertical="center"/>
    </xf>
    <xf numFmtId="0" fontId="10" fillId="0" borderId="2" xfId="21" applyBorder="1" applyAlignment="1">
      <alignment vertical="center"/>
    </xf>
    <xf numFmtId="9" fontId="35" fillId="0" borderId="2" xfId="21" applyNumberFormat="1" applyFont="1" applyBorder="1" applyAlignment="1">
      <alignment horizontal="center" vertical="center"/>
    </xf>
    <xf numFmtId="0" fontId="10" fillId="0" borderId="3" xfId="21" applyBorder="1" applyAlignment="1">
      <alignment vertical="center"/>
    </xf>
    <xf numFmtId="0" fontId="10" fillId="0" borderId="4" xfId="21" applyBorder="1" applyAlignment="1">
      <alignment vertical="center"/>
    </xf>
    <xf numFmtId="0" fontId="2" fillId="0" borderId="0" xfId="21" applyFont="1" applyAlignment="1">
      <alignment horizontal="center" vertical="center"/>
    </xf>
    <xf numFmtId="9" fontId="2" fillId="0" borderId="0" xfId="21" applyNumberFormat="1" applyFont="1" applyAlignment="1">
      <alignment horizontal="center" vertical="center"/>
    </xf>
    <xf numFmtId="0" fontId="10" fillId="0" borderId="5" xfId="21" applyBorder="1" applyAlignment="1">
      <alignment vertical="center"/>
    </xf>
    <xf numFmtId="0" fontId="37" fillId="0" borderId="48" xfId="21" applyFont="1" applyBorder="1" applyAlignment="1" applyProtection="1">
      <alignment vertical="center"/>
      <protection locked="0"/>
    </xf>
    <xf numFmtId="9" fontId="37" fillId="0" borderId="48" xfId="21" applyNumberFormat="1" applyFont="1" applyBorder="1" applyAlignment="1" applyProtection="1">
      <alignment horizontal="center" vertical="center"/>
      <protection locked="0"/>
    </xf>
    <xf numFmtId="0" fontId="37" fillId="0" borderId="36" xfId="21" applyFont="1" applyBorder="1" applyAlignment="1" applyProtection="1">
      <alignment vertical="center"/>
      <protection locked="0"/>
    </xf>
    <xf numFmtId="9" fontId="37" fillId="0" borderId="36" xfId="21" applyNumberFormat="1" applyFont="1" applyBorder="1" applyAlignment="1" applyProtection="1">
      <alignment horizontal="center" vertical="center"/>
      <protection locked="0"/>
    </xf>
    <xf numFmtId="0" fontId="37" fillId="0" borderId="0" xfId="21" applyFont="1" applyAlignment="1" applyProtection="1">
      <alignment vertical="center"/>
      <protection locked="0"/>
    </xf>
    <xf numFmtId="0" fontId="37" fillId="0" borderId="36" xfId="21" applyFont="1" applyBorder="1" applyAlignment="1" applyProtection="1">
      <alignment horizontal="right" vertical="center"/>
      <protection locked="0"/>
    </xf>
    <xf numFmtId="0" fontId="37" fillId="0" borderId="70" xfId="21" applyFont="1" applyBorder="1" applyAlignment="1" applyProtection="1">
      <alignment vertical="center"/>
      <protection locked="0"/>
    </xf>
    <xf numFmtId="0" fontId="37" fillId="0" borderId="79" xfId="21" applyFont="1" applyBorder="1" applyAlignment="1" applyProtection="1">
      <alignment vertical="center"/>
      <protection locked="0"/>
    </xf>
    <xf numFmtId="9" fontId="37" fillId="0" borderId="0" xfId="21" applyNumberFormat="1" applyFont="1" applyAlignment="1" applyProtection="1">
      <alignment horizontal="center" vertical="center"/>
      <protection locked="0"/>
    </xf>
    <xf numFmtId="0" fontId="37" fillId="0" borderId="36" xfId="21" applyFont="1" applyBorder="1" applyAlignment="1" applyProtection="1">
      <alignment horizontal="left" vertical="center"/>
      <protection locked="0"/>
    </xf>
    <xf numFmtId="0" fontId="35" fillId="0" borderId="48" xfId="21" applyFont="1" applyBorder="1" applyAlignment="1" applyProtection="1">
      <alignment vertical="center"/>
      <protection locked="0"/>
    </xf>
    <xf numFmtId="9" fontId="35" fillId="0" borderId="48" xfId="21" applyNumberFormat="1" applyFont="1" applyBorder="1" applyAlignment="1" applyProtection="1">
      <alignment horizontal="center" vertical="center"/>
      <protection locked="0"/>
    </xf>
    <xf numFmtId="0" fontId="52" fillId="0" borderId="0" xfId="21" applyFont="1" applyAlignment="1">
      <alignment vertical="center"/>
    </xf>
    <xf numFmtId="0" fontId="52" fillId="0" borderId="4" xfId="21" applyFont="1" applyBorder="1" applyAlignment="1">
      <alignment vertical="center"/>
    </xf>
    <xf numFmtId="0" fontId="52" fillId="0" borderId="0" xfId="21" applyFont="1" applyAlignment="1">
      <alignment horizontal="center" vertical="center"/>
    </xf>
    <xf numFmtId="0" fontId="52" fillId="0" borderId="5" xfId="21" applyFont="1" applyBorder="1" applyAlignment="1">
      <alignment vertical="center"/>
    </xf>
    <xf numFmtId="0" fontId="35" fillId="25" borderId="0" xfId="21" applyFont="1" applyFill="1" applyAlignment="1">
      <alignment horizontal="center" vertical="center"/>
    </xf>
    <xf numFmtId="0" fontId="53" fillId="27" borderId="1" xfId="21" applyFont="1" applyFill="1" applyBorder="1" applyAlignment="1">
      <alignment horizontal="left" vertical="center"/>
    </xf>
    <xf numFmtId="0" fontId="53" fillId="27" borderId="2" xfId="21" applyFont="1" applyFill="1" applyBorder="1" applyAlignment="1">
      <alignment horizontal="left" vertical="center"/>
    </xf>
    <xf numFmtId="0" fontId="53" fillId="27" borderId="3" xfId="21" applyFont="1" applyFill="1" applyBorder="1" applyAlignment="1">
      <alignment horizontal="left" vertical="center"/>
    </xf>
    <xf numFmtId="0" fontId="53" fillId="27" borderId="4" xfId="21" applyFont="1" applyFill="1" applyBorder="1" applyAlignment="1">
      <alignment horizontal="left" vertical="center"/>
    </xf>
    <xf numFmtId="0" fontId="50" fillId="27" borderId="0" xfId="21" applyFont="1" applyFill="1" applyAlignment="1">
      <alignment horizontal="left" vertical="center"/>
    </xf>
    <xf numFmtId="0" fontId="53" fillId="27" borderId="0" xfId="21" applyFont="1" applyFill="1" applyAlignment="1">
      <alignment horizontal="left" vertical="center"/>
    </xf>
    <xf numFmtId="0" fontId="53" fillId="27" borderId="5" xfId="21" applyFont="1" applyFill="1" applyBorder="1" applyAlignment="1">
      <alignment horizontal="left" vertical="center"/>
    </xf>
    <xf numFmtId="0" fontId="53" fillId="27" borderId="6" xfId="21" applyFont="1" applyFill="1" applyBorder="1" applyAlignment="1">
      <alignment horizontal="left" vertical="center"/>
    </xf>
    <xf numFmtId="0" fontId="50" fillId="27" borderId="7" xfId="21" applyFont="1" applyFill="1" applyBorder="1" applyAlignment="1">
      <alignment horizontal="left" vertical="center"/>
    </xf>
    <xf numFmtId="0" fontId="53" fillId="27" borderId="7" xfId="21" applyFont="1" applyFill="1" applyBorder="1" applyAlignment="1">
      <alignment horizontal="left" vertical="center"/>
    </xf>
    <xf numFmtId="0" fontId="53" fillId="27" borderId="8" xfId="21" applyFont="1" applyFill="1" applyBorder="1" applyAlignment="1">
      <alignment horizontal="left" vertical="center"/>
    </xf>
    <xf numFmtId="0" fontId="14" fillId="25" borderId="0" xfId="21" applyFont="1" applyFill="1" applyAlignment="1">
      <alignment vertical="center"/>
    </xf>
    <xf numFmtId="0" fontId="10" fillId="25" borderId="0" xfId="21" applyFill="1" applyAlignment="1">
      <alignment horizontal="center" vertical="center"/>
    </xf>
    <xf numFmtId="0" fontId="5" fillId="25" borderId="0" xfId="21" applyFont="1" applyFill="1" applyAlignment="1">
      <alignment horizontal="right" vertical="center"/>
    </xf>
    <xf numFmtId="0" fontId="53" fillId="25" borderId="0" xfId="21" applyFont="1" applyFill="1" applyAlignment="1">
      <alignment vertical="center"/>
    </xf>
    <xf numFmtId="0" fontId="37" fillId="25" borderId="66" xfId="21" applyFont="1" applyFill="1" applyBorder="1" applyAlignment="1" applyProtection="1">
      <alignment horizontal="center" vertical="center" wrapText="1"/>
      <protection locked="0"/>
    </xf>
    <xf numFmtId="0" fontId="37" fillId="25" borderId="80" xfId="21" applyFont="1" applyFill="1" applyBorder="1" applyAlignment="1" applyProtection="1">
      <alignment horizontal="center" vertical="center" wrapText="1"/>
      <protection locked="0"/>
    </xf>
    <xf numFmtId="165" fontId="37" fillId="25" borderId="81" xfId="21" applyNumberFormat="1" applyFont="1" applyFill="1" applyBorder="1" applyAlignment="1" applyProtection="1">
      <alignment horizontal="center" vertical="center" wrapText="1"/>
      <protection locked="0"/>
    </xf>
    <xf numFmtId="0" fontId="37" fillId="25" borderId="81" xfId="21" applyFont="1" applyFill="1" applyBorder="1" applyAlignment="1" applyProtection="1">
      <alignment horizontal="center" vertical="center" wrapText="1"/>
      <protection locked="0"/>
    </xf>
    <xf numFmtId="0" fontId="37" fillId="25" borderId="82" xfId="21" applyFont="1" applyFill="1" applyBorder="1" applyAlignment="1" applyProtection="1">
      <alignment vertical="center" wrapText="1"/>
      <protection locked="0"/>
    </xf>
    <xf numFmtId="0" fontId="37" fillId="25" borderId="68" xfId="21" applyFont="1" applyFill="1" applyBorder="1" applyAlignment="1" applyProtection="1">
      <alignment horizontal="center" vertical="center" wrapText="1"/>
      <protection locked="0"/>
    </xf>
    <xf numFmtId="0" fontId="37" fillId="25" borderId="81" xfId="21" applyFont="1" applyFill="1" applyBorder="1" applyAlignment="1" applyProtection="1">
      <alignment vertical="center" wrapText="1"/>
      <protection locked="0"/>
    </xf>
    <xf numFmtId="0" fontId="38" fillId="25" borderId="82" xfId="21" applyFont="1" applyFill="1" applyBorder="1" applyAlignment="1" applyProtection="1">
      <alignment horizontal="center" vertical="center" wrapText="1"/>
      <protection locked="0"/>
    </xf>
    <xf numFmtId="0" fontId="37" fillId="25" borderId="70" xfId="21" applyFont="1" applyFill="1" applyBorder="1" applyAlignment="1" applyProtection="1">
      <alignment horizontal="center" vertical="center" wrapText="1"/>
      <protection locked="0"/>
    </xf>
    <xf numFmtId="0" fontId="37" fillId="25" borderId="83" xfId="21" applyFont="1" applyFill="1" applyBorder="1" applyAlignment="1" applyProtection="1">
      <alignment horizontal="center" vertical="center" wrapText="1"/>
      <protection locked="0"/>
    </xf>
    <xf numFmtId="165" fontId="37" fillId="25" borderId="38" xfId="21" applyNumberFormat="1" applyFont="1" applyFill="1" applyBorder="1" applyAlignment="1" applyProtection="1">
      <alignment horizontal="center" vertical="center" wrapText="1"/>
      <protection locked="0"/>
    </xf>
    <xf numFmtId="0" fontId="37" fillId="25" borderId="38" xfId="21" applyFont="1" applyFill="1" applyBorder="1" applyAlignment="1" applyProtection="1">
      <alignment horizontal="center" vertical="center" wrapText="1"/>
      <protection locked="0"/>
    </xf>
    <xf numFmtId="0" fontId="37" fillId="25" borderId="84" xfId="21" applyFont="1" applyFill="1" applyBorder="1" applyAlignment="1" applyProtection="1">
      <alignment vertical="center" wrapText="1"/>
      <protection locked="0"/>
    </xf>
    <xf numFmtId="0" fontId="37" fillId="25" borderId="37" xfId="21" applyFont="1" applyFill="1" applyBorder="1" applyAlignment="1" applyProtection="1">
      <alignment horizontal="center" vertical="center" wrapText="1"/>
      <protection locked="0"/>
    </xf>
    <xf numFmtId="0" fontId="37" fillId="25" borderId="38" xfId="21" applyFont="1" applyFill="1" applyBorder="1" applyAlignment="1" applyProtection="1">
      <alignment vertical="center" wrapText="1"/>
      <protection locked="0"/>
    </xf>
    <xf numFmtId="0" fontId="38" fillId="25" borderId="84" xfId="21" applyFont="1" applyFill="1" applyBorder="1" applyAlignment="1" applyProtection="1">
      <alignment horizontal="center" vertical="center" wrapText="1"/>
      <protection locked="0"/>
    </xf>
    <xf numFmtId="0" fontId="53" fillId="27" borderId="9" xfId="21" applyFont="1" applyFill="1" applyBorder="1" applyAlignment="1">
      <alignment horizontal="center" vertical="center" wrapText="1"/>
    </xf>
    <xf numFmtId="0" fontId="53" fillId="27" borderId="46" xfId="21" applyFont="1" applyFill="1" applyBorder="1" applyAlignment="1">
      <alignment horizontal="center" vertical="center" wrapText="1"/>
    </xf>
    <xf numFmtId="0" fontId="53" fillId="27" borderId="46" xfId="21" applyFont="1" applyFill="1" applyBorder="1" applyAlignment="1">
      <alignment horizontal="center" vertical="center"/>
    </xf>
    <xf numFmtId="0" fontId="53" fillId="27" borderId="10" xfId="21" applyFont="1" applyFill="1" applyBorder="1" applyAlignment="1">
      <alignment horizontal="left" vertical="center"/>
    </xf>
    <xf numFmtId="0" fontId="37" fillId="25" borderId="79" xfId="21" applyFont="1" applyFill="1" applyBorder="1" applyAlignment="1" applyProtection="1">
      <alignment horizontal="center" vertical="center" wrapText="1"/>
      <protection locked="0"/>
    </xf>
    <xf numFmtId="0" fontId="37" fillId="25" borderId="85" xfId="21" applyFont="1" applyFill="1" applyBorder="1" applyAlignment="1" applyProtection="1">
      <alignment horizontal="center" vertical="center" wrapText="1"/>
      <protection locked="0"/>
    </xf>
    <xf numFmtId="165" fontId="37" fillId="25" borderId="86" xfId="21" applyNumberFormat="1" applyFont="1" applyFill="1" applyBorder="1" applyAlignment="1" applyProtection="1">
      <alignment horizontal="center" vertical="center" wrapText="1"/>
      <protection locked="0"/>
    </xf>
    <xf numFmtId="0" fontId="37" fillId="25" borderId="86" xfId="21" applyFont="1" applyFill="1" applyBorder="1" applyAlignment="1" applyProtection="1">
      <alignment horizontal="center" vertical="center" wrapText="1"/>
      <protection locked="0"/>
    </xf>
    <xf numFmtId="0" fontId="37" fillId="25" borderId="87" xfId="21" applyFont="1" applyFill="1" applyBorder="1" applyAlignment="1" applyProtection="1">
      <alignment vertical="center" wrapText="1"/>
      <protection locked="0"/>
    </xf>
    <xf numFmtId="0" fontId="37" fillId="25" borderId="49" xfId="21" applyFont="1" applyFill="1" applyBorder="1" applyAlignment="1" applyProtection="1">
      <alignment horizontal="center" vertical="center" wrapText="1"/>
      <protection locked="0"/>
    </xf>
    <xf numFmtId="0" fontId="37" fillId="25" borderId="86" xfId="21" applyFont="1" applyFill="1" applyBorder="1" applyAlignment="1" applyProtection="1">
      <alignment vertical="center" wrapText="1"/>
      <protection locked="0"/>
    </xf>
    <xf numFmtId="0" fontId="37" fillId="25" borderId="88" xfId="21" applyFont="1" applyFill="1" applyBorder="1" applyAlignment="1" applyProtection="1">
      <alignment vertical="center" wrapText="1"/>
      <protection locked="0"/>
    </xf>
    <xf numFmtId="0" fontId="38" fillId="25" borderId="89" xfId="21" applyFont="1" applyFill="1" applyBorder="1" applyAlignment="1" applyProtection="1">
      <alignment horizontal="center" vertical="center" wrapText="1"/>
      <protection locked="0"/>
    </xf>
    <xf numFmtId="0" fontId="53" fillId="27" borderId="6" xfId="21" applyFont="1" applyFill="1" applyBorder="1" applyAlignment="1">
      <alignment horizontal="center" vertical="center" wrapText="1"/>
    </xf>
    <xf numFmtId="0" fontId="53" fillId="27" borderId="90" xfId="21" applyFont="1" applyFill="1" applyBorder="1" applyAlignment="1">
      <alignment horizontal="center" vertical="center" wrapText="1"/>
    </xf>
    <xf numFmtId="0" fontId="53" fillId="27" borderId="91" xfId="21" applyFont="1" applyFill="1" applyBorder="1" applyAlignment="1">
      <alignment horizontal="center" vertical="center"/>
    </xf>
    <xf numFmtId="0" fontId="53" fillId="27" borderId="92" xfId="21" applyFont="1" applyFill="1" applyBorder="1" applyAlignment="1">
      <alignment horizontal="center" vertical="center" wrapText="1"/>
    </xf>
    <xf numFmtId="0" fontId="53" fillId="27" borderId="93" xfId="21" applyFont="1" applyFill="1" applyBorder="1" applyAlignment="1">
      <alignment horizontal="center" vertical="center" wrapText="1"/>
    </xf>
    <xf numFmtId="0" fontId="53" fillId="27" borderId="91" xfId="21" applyFont="1" applyFill="1" applyBorder="1" applyAlignment="1">
      <alignment horizontal="center" vertical="center" wrapText="1"/>
    </xf>
    <xf numFmtId="0" fontId="53" fillId="27" borderId="92" xfId="21" applyFont="1" applyFill="1" applyBorder="1" applyAlignment="1">
      <alignment horizontal="center" vertical="center"/>
    </xf>
    <xf numFmtId="0" fontId="57" fillId="25" borderId="0" xfId="21" applyFont="1" applyFill="1" applyAlignment="1">
      <alignment vertical="center"/>
    </xf>
    <xf numFmtId="165" fontId="50" fillId="27" borderId="1" xfId="21" applyNumberFormat="1" applyFont="1" applyFill="1" applyBorder="1" applyAlignment="1">
      <alignment horizontal="left" vertical="center"/>
    </xf>
    <xf numFmtId="0" fontId="53" fillId="27" borderId="2" xfId="21" applyFont="1" applyFill="1" applyBorder="1" applyAlignment="1">
      <alignment vertical="center"/>
    </xf>
    <xf numFmtId="0" fontId="54" fillId="27" borderId="2" xfId="21" applyFont="1" applyFill="1" applyBorder="1" applyAlignment="1">
      <alignment horizontal="left" vertical="center"/>
    </xf>
    <xf numFmtId="0" fontId="53" fillId="27" borderId="4" xfId="21" applyFont="1" applyFill="1" applyBorder="1" applyAlignment="1">
      <alignment vertical="center"/>
    </xf>
    <xf numFmtId="0" fontId="53" fillId="27" borderId="0" xfId="21" applyFont="1" applyFill="1" applyAlignment="1">
      <alignment vertical="center"/>
    </xf>
    <xf numFmtId="0" fontId="53" fillId="27" borderId="6" xfId="21" applyFont="1" applyFill="1" applyBorder="1" applyAlignment="1">
      <alignment vertical="center"/>
    </xf>
    <xf numFmtId="0" fontId="53" fillId="27" borderId="7" xfId="21" applyFont="1" applyFill="1" applyBorder="1" applyAlignment="1">
      <alignment vertical="center"/>
    </xf>
    <xf numFmtId="0" fontId="58" fillId="25" borderId="0" xfId="21" applyFont="1" applyFill="1" applyAlignment="1">
      <alignment vertical="center"/>
    </xf>
    <xf numFmtId="0" fontId="10" fillId="25" borderId="0" xfId="21" applyFill="1" applyAlignment="1">
      <alignment horizontal="left" vertical="center"/>
    </xf>
    <xf numFmtId="0" fontId="5" fillId="25" borderId="7" xfId="21" applyFont="1" applyFill="1" applyBorder="1" applyAlignment="1">
      <alignment vertical="center"/>
    </xf>
    <xf numFmtId="0" fontId="5" fillId="25" borderId="0" xfId="21" quotePrefix="1" applyFont="1" applyFill="1" applyAlignment="1">
      <alignment vertical="center"/>
    </xf>
    <xf numFmtId="0" fontId="38" fillId="25" borderId="80" xfId="21" applyFont="1" applyFill="1" applyBorder="1" applyAlignment="1">
      <alignment horizontal="center" vertical="center" wrapText="1"/>
    </xf>
    <xf numFmtId="0" fontId="37" fillId="25" borderId="81" xfId="21" applyFont="1" applyFill="1" applyBorder="1" applyAlignment="1">
      <alignment horizontal="left" vertical="center" wrapText="1"/>
    </xf>
    <xf numFmtId="0" fontId="38" fillId="25" borderId="81" xfId="21" applyFont="1" applyFill="1" applyBorder="1" applyAlignment="1">
      <alignment horizontal="center" vertical="center" wrapText="1"/>
    </xf>
    <xf numFmtId="0" fontId="37" fillId="25" borderId="82" xfId="21" applyFont="1" applyFill="1" applyBorder="1" applyAlignment="1">
      <alignment horizontal="center" vertical="center" wrapText="1"/>
    </xf>
    <xf numFmtId="0" fontId="38" fillId="25" borderId="83" xfId="21" applyFont="1" applyFill="1" applyBorder="1" applyAlignment="1">
      <alignment horizontal="center" vertical="center" wrapText="1"/>
    </xf>
    <xf numFmtId="0" fontId="37" fillId="25" borderId="38" xfId="21" applyFont="1" applyFill="1" applyBorder="1" applyAlignment="1">
      <alignment horizontal="left" vertical="center" wrapText="1"/>
    </xf>
    <xf numFmtId="0" fontId="38" fillId="25" borderId="38" xfId="21" applyFont="1" applyFill="1" applyBorder="1" applyAlignment="1">
      <alignment horizontal="center" vertical="center" wrapText="1"/>
    </xf>
    <xf numFmtId="0" fontId="37" fillId="25" borderId="84" xfId="21" applyFont="1" applyFill="1" applyBorder="1" applyAlignment="1">
      <alignment horizontal="center" vertical="center" wrapText="1"/>
    </xf>
    <xf numFmtId="0" fontId="38" fillId="25" borderId="94" xfId="21" applyFont="1" applyFill="1" applyBorder="1" applyAlignment="1">
      <alignment horizontal="center" vertical="center" wrapText="1"/>
    </xf>
    <xf numFmtId="0" fontId="37" fillId="25" borderId="88" xfId="21" applyFont="1" applyFill="1" applyBorder="1" applyAlignment="1">
      <alignment horizontal="left" vertical="center" wrapText="1"/>
    </xf>
    <xf numFmtId="0" fontId="38" fillId="25" borderId="88" xfId="21" applyFont="1" applyFill="1" applyBorder="1" applyAlignment="1">
      <alignment horizontal="center" vertical="center" wrapText="1"/>
    </xf>
    <xf numFmtId="0" fontId="37" fillId="25" borderId="89" xfId="21" applyFont="1" applyFill="1" applyBorder="1" applyAlignment="1">
      <alignment horizontal="center" vertical="center" wrapText="1"/>
    </xf>
    <xf numFmtId="0" fontId="49" fillId="27" borderId="9" xfId="21" applyFont="1" applyFill="1" applyBorder="1" applyAlignment="1">
      <alignment horizontal="center" vertical="center"/>
    </xf>
    <xf numFmtId="0" fontId="42" fillId="27" borderId="46" xfId="21" applyFont="1" applyFill="1" applyBorder="1" applyAlignment="1">
      <alignment horizontal="left" vertical="center" wrapText="1"/>
    </xf>
    <xf numFmtId="0" fontId="49" fillId="27" borderId="46" xfId="21" applyFont="1" applyFill="1" applyBorder="1" applyAlignment="1">
      <alignment horizontal="center" vertical="center" wrapText="1"/>
    </xf>
    <xf numFmtId="0" fontId="10" fillId="27" borderId="46" xfId="21" applyFill="1" applyBorder="1" applyAlignment="1">
      <alignment horizontal="left" vertical="center"/>
    </xf>
    <xf numFmtId="0" fontId="37" fillId="25" borderId="81" xfId="21" applyFont="1" applyFill="1" applyBorder="1" applyAlignment="1">
      <alignment horizontal="center" vertical="center" wrapText="1"/>
    </xf>
    <xf numFmtId="0" fontId="37" fillId="25" borderId="38" xfId="21" applyFont="1" applyFill="1" applyBorder="1" applyAlignment="1">
      <alignment horizontal="center" vertical="center" wrapText="1"/>
    </xf>
    <xf numFmtId="0" fontId="57" fillId="25" borderId="0" xfId="21" applyFont="1" applyFill="1" applyAlignment="1">
      <alignment horizontal="left" vertical="center"/>
    </xf>
    <xf numFmtId="0" fontId="37" fillId="25" borderId="88" xfId="21" applyFont="1" applyFill="1" applyBorder="1" applyAlignment="1">
      <alignment horizontal="center" vertical="center" wrapText="1"/>
    </xf>
    <xf numFmtId="0" fontId="49" fillId="27" borderId="9" xfId="21" applyFont="1" applyFill="1" applyBorder="1" applyAlignment="1">
      <alignment vertical="center"/>
    </xf>
    <xf numFmtId="0" fontId="42" fillId="27" borderId="46" xfId="21" applyFont="1" applyFill="1" applyBorder="1" applyAlignment="1">
      <alignment vertical="center" wrapText="1"/>
    </xf>
    <xf numFmtId="0" fontId="49" fillId="27" borderId="46" xfId="21" applyFont="1" applyFill="1" applyBorder="1" applyAlignment="1">
      <alignment vertical="center" wrapText="1"/>
    </xf>
    <xf numFmtId="0" fontId="10" fillId="27" borderId="46" xfId="21" applyFill="1" applyBorder="1" applyAlignment="1">
      <alignment vertical="center"/>
    </xf>
    <xf numFmtId="0" fontId="35" fillId="27" borderId="95" xfId="21" applyFont="1" applyFill="1" applyBorder="1" applyAlignment="1">
      <alignment horizontal="center" vertical="center" textRotation="90"/>
    </xf>
    <xf numFmtId="0" fontId="53" fillId="27" borderId="96" xfId="21" applyFont="1" applyFill="1" applyBorder="1" applyAlignment="1">
      <alignment horizontal="center" vertical="center"/>
    </xf>
    <xf numFmtId="0" fontId="35" fillId="27" borderId="96" xfId="21" applyFont="1" applyFill="1" applyBorder="1" applyAlignment="1">
      <alignment horizontal="center" vertical="center" textRotation="90"/>
    </xf>
    <xf numFmtId="0" fontId="53" fillId="27" borderId="96" xfId="21" applyFont="1" applyFill="1" applyBorder="1" applyAlignment="1">
      <alignment horizontal="center" vertical="center" wrapText="1"/>
    </xf>
    <xf numFmtId="0" fontId="53" fillId="27" borderId="97" xfId="21" applyFont="1" applyFill="1" applyBorder="1" applyAlignment="1">
      <alignment horizontal="center" vertical="center" wrapText="1"/>
    </xf>
    <xf numFmtId="0" fontId="57" fillId="25" borderId="0" xfId="21" applyFont="1" applyFill="1" applyAlignment="1">
      <alignment horizontal="center" vertical="center" wrapText="1"/>
    </xf>
    <xf numFmtId="0" fontId="2" fillId="25" borderId="0" xfId="21" applyFont="1" applyFill="1" applyAlignment="1">
      <alignment horizontal="right" vertical="top"/>
    </xf>
    <xf numFmtId="0" fontId="53" fillId="27" borderId="1" xfId="21" applyFont="1" applyFill="1" applyBorder="1" applyAlignment="1">
      <alignment vertical="center"/>
    </xf>
    <xf numFmtId="14" fontId="50" fillId="27" borderId="2" xfId="21" applyNumberFormat="1" applyFont="1" applyFill="1" applyBorder="1" applyAlignment="1" applyProtection="1">
      <alignment horizontal="left" vertical="center"/>
      <protection locked="0"/>
    </xf>
    <xf numFmtId="0" fontId="50" fillId="27" borderId="2" xfId="21" applyFont="1" applyFill="1" applyBorder="1" applyAlignment="1">
      <alignment vertical="center"/>
    </xf>
    <xf numFmtId="0" fontId="54" fillId="27" borderId="2" xfId="21" applyFont="1" applyFill="1" applyBorder="1" applyAlignment="1">
      <alignment horizontal="right" vertical="center"/>
    </xf>
    <xf numFmtId="0" fontId="55" fillId="27" borderId="2" xfId="21" applyFont="1" applyFill="1" applyBorder="1" applyAlignment="1">
      <alignment horizontal="left" vertical="center"/>
    </xf>
    <xf numFmtId="0" fontId="53" fillId="27" borderId="2" xfId="21" applyFont="1" applyFill="1" applyBorder="1" applyAlignment="1">
      <alignment horizontal="right" vertical="center"/>
    </xf>
    <xf numFmtId="14" fontId="50" fillId="27" borderId="2" xfId="21" applyNumberFormat="1" applyFont="1" applyFill="1" applyBorder="1" applyAlignment="1">
      <alignment vertical="center"/>
    </xf>
    <xf numFmtId="14" fontId="55" fillId="27" borderId="0" xfId="21" applyNumberFormat="1" applyFont="1" applyFill="1" applyAlignment="1">
      <alignment horizontal="left" vertical="center"/>
    </xf>
    <xf numFmtId="0" fontId="50" fillId="27" borderId="0" xfId="21" applyFont="1" applyFill="1" applyAlignment="1">
      <alignment vertical="center"/>
    </xf>
    <xf numFmtId="0" fontId="53" fillId="27" borderId="0" xfId="21" applyFont="1" applyFill="1" applyAlignment="1">
      <alignment horizontal="right" vertical="center"/>
    </xf>
    <xf numFmtId="0" fontId="5" fillId="27" borderId="0" xfId="21" applyFont="1" applyFill="1" applyAlignment="1">
      <alignment vertical="center"/>
    </xf>
    <xf numFmtId="0" fontId="55" fillId="27" borderId="0" xfId="21" applyFont="1" applyFill="1" applyAlignment="1">
      <alignment horizontal="left" vertical="center"/>
    </xf>
    <xf numFmtId="14" fontId="55" fillId="27" borderId="7" xfId="21" applyNumberFormat="1" applyFont="1" applyFill="1" applyBorder="1" applyAlignment="1">
      <alignment horizontal="left" vertical="center"/>
    </xf>
    <xf numFmtId="0" fontId="50" fillId="27" borderId="7" xfId="21" applyFont="1" applyFill="1" applyBorder="1" applyAlignment="1">
      <alignment vertical="center"/>
    </xf>
    <xf numFmtId="0" fontId="53" fillId="27" borderId="7" xfId="21" applyFont="1" applyFill="1" applyBorder="1" applyAlignment="1">
      <alignment horizontal="right" vertical="center"/>
    </xf>
    <xf numFmtId="0" fontId="5" fillId="27" borderId="7" xfId="21" applyFont="1" applyFill="1" applyBorder="1" applyAlignment="1">
      <alignment vertical="center"/>
    </xf>
    <xf numFmtId="0" fontId="55" fillId="27" borderId="7" xfId="21" applyFont="1" applyFill="1" applyBorder="1" applyAlignment="1">
      <alignment horizontal="left" vertical="center"/>
    </xf>
    <xf numFmtId="0" fontId="48" fillId="25" borderId="0" xfId="47" applyFill="1" applyAlignment="1">
      <alignment vertical="center"/>
    </xf>
    <xf numFmtId="0" fontId="48" fillId="25" borderId="76" xfId="46" applyFill="1" applyBorder="1" applyAlignment="1" applyProtection="1">
      <alignment horizontal="left" vertical="justify"/>
      <protection locked="0"/>
    </xf>
    <xf numFmtId="0" fontId="48" fillId="25" borderId="77" xfId="46" applyFill="1" applyBorder="1" applyAlignment="1" applyProtection="1">
      <alignment horizontal="left" vertical="justify"/>
      <protection locked="0"/>
    </xf>
    <xf numFmtId="0" fontId="10" fillId="25" borderId="77" xfId="21" applyFill="1" applyBorder="1" applyAlignment="1" applyProtection="1">
      <alignment vertical="justify"/>
      <protection locked="0"/>
    </xf>
    <xf numFmtId="0" fontId="48" fillId="25" borderId="77" xfId="46" applyFill="1" applyBorder="1" applyAlignment="1" applyProtection="1">
      <alignment vertical="justify"/>
      <protection locked="0"/>
    </xf>
    <xf numFmtId="0" fontId="61" fillId="25" borderId="78" xfId="46" applyFont="1" applyFill="1" applyBorder="1" applyAlignment="1" applyProtection="1">
      <alignment horizontal="center" vertical="justify"/>
      <protection locked="0"/>
    </xf>
    <xf numFmtId="0" fontId="62" fillId="25" borderId="6" xfId="21" applyFont="1" applyFill="1" applyBorder="1" applyAlignment="1" applyProtection="1">
      <alignment horizontal="center" textRotation="90" wrapText="1"/>
      <protection locked="0"/>
    </xf>
    <xf numFmtId="0" fontId="62" fillId="25" borderId="7" xfId="21" applyFont="1" applyFill="1" applyBorder="1" applyAlignment="1" applyProtection="1">
      <alignment horizontal="center" textRotation="90" wrapText="1"/>
      <protection locked="0"/>
    </xf>
    <xf numFmtId="0" fontId="62" fillId="25" borderId="7" xfId="21" applyFont="1" applyFill="1" applyBorder="1" applyAlignment="1">
      <alignment horizontal="center" textRotation="90" wrapText="1"/>
    </xf>
    <xf numFmtId="0" fontId="62" fillId="25" borderId="8" xfId="21" applyFont="1" applyFill="1" applyBorder="1" applyAlignment="1">
      <alignment horizontal="center" textRotation="90" wrapText="1"/>
    </xf>
    <xf numFmtId="0" fontId="4" fillId="25" borderId="0" xfId="47" applyFont="1" applyFill="1" applyAlignment="1">
      <alignment vertical="center"/>
    </xf>
    <xf numFmtId="0" fontId="48" fillId="25" borderId="4" xfId="47" applyFill="1" applyBorder="1" applyAlignment="1">
      <alignment vertical="center" wrapText="1"/>
    </xf>
    <xf numFmtId="0" fontId="48" fillId="25" borderId="0" xfId="47" applyFill="1" applyAlignment="1">
      <alignment vertical="center" wrapText="1"/>
    </xf>
    <xf numFmtId="0" fontId="48" fillId="25" borderId="4" xfId="47" applyFill="1" applyBorder="1" applyAlignment="1">
      <alignment horizontal="left" vertical="center" wrapText="1"/>
    </xf>
    <xf numFmtId="0" fontId="48" fillId="25" borderId="6" xfId="47" applyFill="1" applyBorder="1" applyAlignment="1">
      <alignment horizontal="left" vertical="center" wrapText="1"/>
    </xf>
    <xf numFmtId="0" fontId="48" fillId="27" borderId="1" xfId="47" applyFill="1" applyBorder="1" applyAlignment="1">
      <alignment vertical="center"/>
    </xf>
    <xf numFmtId="0" fontId="48" fillId="27" borderId="2" xfId="47" applyFill="1" applyBorder="1" applyAlignment="1">
      <alignment vertical="center"/>
    </xf>
    <xf numFmtId="0" fontId="10" fillId="27" borderId="2" xfId="47" applyFont="1" applyFill="1" applyBorder="1" applyAlignment="1">
      <alignment vertical="center"/>
    </xf>
    <xf numFmtId="0" fontId="10" fillId="27" borderId="3" xfId="47" applyFont="1" applyFill="1" applyBorder="1" applyAlignment="1">
      <alignment vertical="center"/>
    </xf>
    <xf numFmtId="0" fontId="35" fillId="25" borderId="0" xfId="47" applyFont="1" applyFill="1" applyAlignment="1">
      <alignment vertical="center"/>
    </xf>
    <xf numFmtId="0" fontId="35" fillId="27" borderId="4" xfId="47" applyFont="1" applyFill="1" applyBorder="1" applyAlignment="1">
      <alignment horizontal="left"/>
    </xf>
    <xf numFmtId="0" fontId="10" fillId="27" borderId="0" xfId="47" applyFont="1" applyFill="1" applyAlignment="1">
      <alignment horizontal="right"/>
    </xf>
    <xf numFmtId="0" fontId="66" fillId="31" borderId="6" xfId="47" applyFont="1" applyFill="1" applyBorder="1" applyAlignment="1">
      <alignment horizontal="center" vertical="center"/>
    </xf>
    <xf numFmtId="0" fontId="66" fillId="31" borderId="7" xfId="47" applyFont="1" applyFill="1" applyBorder="1" applyAlignment="1">
      <alignment horizontal="center" vertical="center"/>
    </xf>
    <xf numFmtId="0" fontId="67" fillId="27" borderId="7" xfId="47" applyFont="1" applyFill="1" applyBorder="1" applyAlignment="1">
      <alignment horizontal="center" vertical="center" wrapText="1"/>
    </xf>
    <xf numFmtId="0" fontId="10" fillId="27" borderId="7" xfId="47" applyFont="1" applyFill="1" applyBorder="1" applyAlignment="1">
      <alignment horizontal="center" vertical="center"/>
    </xf>
    <xf numFmtId="0" fontId="10" fillId="27" borderId="8" xfId="47" applyFont="1" applyFill="1" applyBorder="1" applyAlignment="1">
      <alignment horizontal="center" vertical="center"/>
    </xf>
    <xf numFmtId="0" fontId="35" fillId="25" borderId="0" xfId="21" applyFont="1" applyFill="1" applyAlignment="1">
      <alignment horizontal="right" vertical="center"/>
    </xf>
    <xf numFmtId="0" fontId="37" fillId="26" borderId="16" xfId="21" applyFont="1" applyFill="1" applyBorder="1" applyAlignment="1" applyProtection="1">
      <alignment horizontal="center" vertical="center"/>
      <protection locked="0"/>
    </xf>
    <xf numFmtId="14" fontId="35" fillId="25" borderId="0" xfId="21" applyNumberFormat="1" applyFont="1" applyFill="1" applyAlignment="1">
      <alignment vertical="center"/>
    </xf>
    <xf numFmtId="0" fontId="40" fillId="25" borderId="0" xfId="20" applyFont="1" applyFill="1" applyAlignment="1" applyProtection="1">
      <alignment vertical="center"/>
    </xf>
    <xf numFmtId="0" fontId="35" fillId="25" borderId="0" xfId="21" applyFont="1" applyFill="1" applyAlignment="1" applyProtection="1">
      <alignment horizontal="right" vertical="top"/>
      <protection locked="0"/>
    </xf>
    <xf numFmtId="0" fontId="35" fillId="25" borderId="0" xfId="21" applyFont="1" applyFill="1" applyAlignment="1" applyProtection="1">
      <alignment vertical="top" wrapText="1"/>
      <protection locked="0"/>
    </xf>
    <xf numFmtId="9" fontId="35" fillId="25" borderId="0" xfId="21" applyNumberFormat="1" applyFont="1" applyFill="1" applyAlignment="1" applyProtection="1">
      <alignment vertical="top" wrapText="1"/>
      <protection locked="0"/>
    </xf>
    <xf numFmtId="14" fontId="35" fillId="25" borderId="2" xfId="21" applyNumberFormat="1" applyFont="1" applyFill="1" applyBorder="1" applyAlignment="1">
      <alignment vertical="center"/>
    </xf>
    <xf numFmtId="0" fontId="35" fillId="25" borderId="0" xfId="21" applyFont="1" applyFill="1" applyAlignment="1">
      <alignment vertical="center" wrapText="1"/>
    </xf>
    <xf numFmtId="0" fontId="43" fillId="33" borderId="1" xfId="21" applyFont="1" applyFill="1" applyBorder="1" applyAlignment="1">
      <alignment vertical="center"/>
    </xf>
    <xf numFmtId="0" fontId="43" fillId="33" borderId="2" xfId="21" applyFont="1" applyFill="1" applyBorder="1" applyAlignment="1">
      <alignment vertical="center"/>
    </xf>
    <xf numFmtId="0" fontId="69" fillId="33" borderId="2" xfId="21" applyFont="1" applyFill="1" applyBorder="1" applyAlignment="1">
      <alignment horizontal="right" vertical="center"/>
    </xf>
    <xf numFmtId="0" fontId="43" fillId="33" borderId="2" xfId="21" applyFont="1" applyFill="1" applyBorder="1" applyAlignment="1">
      <alignment horizontal="right" vertical="center"/>
    </xf>
    <xf numFmtId="0" fontId="35" fillId="33" borderId="2" xfId="21" applyFont="1" applyFill="1" applyBorder="1" applyAlignment="1">
      <alignment vertical="center"/>
    </xf>
    <xf numFmtId="0" fontId="43" fillId="33" borderId="3" xfId="21" quotePrefix="1" applyFont="1" applyFill="1" applyBorder="1" applyAlignment="1">
      <alignment vertical="center"/>
    </xf>
    <xf numFmtId="0" fontId="41" fillId="0" borderId="4" xfId="21" applyFont="1" applyBorder="1" applyAlignment="1">
      <alignment vertical="center"/>
    </xf>
    <xf numFmtId="0" fontId="73" fillId="25" borderId="0" xfId="21" applyFont="1" applyFill="1" applyAlignment="1" applyProtection="1">
      <alignment horizontal="left" vertical="center"/>
      <protection locked="0"/>
    </xf>
    <xf numFmtId="0" fontId="73" fillId="25" borderId="0" xfId="21" applyFont="1" applyFill="1" applyAlignment="1" applyProtection="1">
      <alignment horizontal="center" vertical="center"/>
      <protection locked="0"/>
    </xf>
    <xf numFmtId="14" fontId="73" fillId="25" borderId="0" xfId="21" applyNumberFormat="1" applyFont="1" applyFill="1" applyAlignment="1" applyProtection="1">
      <alignment horizontal="center" vertical="center"/>
      <protection locked="0"/>
    </xf>
    <xf numFmtId="0" fontId="1" fillId="0" borderId="19" xfId="1" quotePrefix="1" applyBorder="1" applyAlignment="1">
      <alignment horizontal="left" vertical="center"/>
    </xf>
    <xf numFmtId="0" fontId="1" fillId="0" borderId="11" xfId="1" quotePrefix="1" applyBorder="1" applyAlignment="1">
      <alignment horizontal="left" vertical="center"/>
    </xf>
    <xf numFmtId="0" fontId="37" fillId="2" borderId="0" xfId="21" applyFont="1" applyFill="1" applyAlignment="1" applyProtection="1">
      <alignment horizontal="center" vertical="center"/>
      <protection locked="0"/>
    </xf>
    <xf numFmtId="0" fontId="35" fillId="2" borderId="0" xfId="21" applyFont="1" applyFill="1" applyAlignment="1">
      <alignment vertical="center"/>
    </xf>
    <xf numFmtId="165" fontId="37" fillId="2" borderId="0" xfId="21" applyNumberFormat="1" applyFont="1" applyFill="1" applyAlignment="1" applyProtection="1">
      <alignment horizontal="center" vertical="center"/>
      <protection locked="0"/>
    </xf>
    <xf numFmtId="9" fontId="37" fillId="26" borderId="16" xfId="48" applyFont="1" applyFill="1" applyBorder="1" applyAlignment="1" applyProtection="1">
      <alignment horizontal="center" vertical="center"/>
      <protection locked="0"/>
    </xf>
    <xf numFmtId="0" fontId="35" fillId="25" borderId="8" xfId="21" applyFont="1" applyFill="1" applyBorder="1" applyAlignment="1">
      <alignment vertical="center"/>
    </xf>
    <xf numFmtId="0" fontId="35" fillId="25" borderId="7" xfId="21" applyFont="1" applyFill="1" applyBorder="1" applyAlignment="1">
      <alignment vertical="center"/>
    </xf>
    <xf numFmtId="0" fontId="35" fillId="25" borderId="6" xfId="21" applyFont="1" applyFill="1" applyBorder="1" applyAlignment="1">
      <alignment vertical="center"/>
    </xf>
    <xf numFmtId="0" fontId="74" fillId="25" borderId="0" xfId="21" applyFont="1" applyFill="1" applyAlignment="1">
      <alignment vertical="center"/>
    </xf>
    <xf numFmtId="0" fontId="41" fillId="25" borderId="0" xfId="21" applyFont="1" applyFill="1" applyAlignment="1">
      <alignment vertical="center"/>
    </xf>
    <xf numFmtId="0" fontId="41" fillId="0" borderId="0" xfId="21" applyFont="1" applyAlignment="1">
      <alignment vertical="center"/>
    </xf>
    <xf numFmtId="0" fontId="41" fillId="0" borderId="5" xfId="21" applyFont="1" applyBorder="1" applyAlignment="1">
      <alignment vertical="center"/>
    </xf>
    <xf numFmtId="0" fontId="35" fillId="0" borderId="46" xfId="21" applyFont="1" applyBorder="1" applyAlignment="1">
      <alignment vertical="center"/>
    </xf>
    <xf numFmtId="14" fontId="37" fillId="0" borderId="34" xfId="21" applyNumberFormat="1" applyFont="1" applyBorder="1" applyAlignment="1" applyProtection="1">
      <alignment horizontal="center" vertical="center"/>
      <protection locked="0"/>
    </xf>
    <xf numFmtId="0" fontId="37" fillId="26" borderId="45" xfId="21" applyFont="1" applyFill="1" applyBorder="1" applyAlignment="1" applyProtection="1">
      <alignment horizontal="center" vertical="center"/>
      <protection locked="0"/>
    </xf>
    <xf numFmtId="0" fontId="37" fillId="26" borderId="38" xfId="21" applyFont="1" applyFill="1" applyBorder="1" applyAlignment="1" applyProtection="1">
      <alignment horizontal="center" vertical="center"/>
      <protection locked="0"/>
    </xf>
    <xf numFmtId="14" fontId="37" fillId="26" borderId="45" xfId="21" applyNumberFormat="1" applyFont="1" applyFill="1" applyBorder="1" applyAlignment="1" applyProtection="1">
      <alignment horizontal="center" vertical="center"/>
      <protection locked="0"/>
    </xf>
    <xf numFmtId="14" fontId="37" fillId="26" borderId="38" xfId="21" applyNumberFormat="1" applyFont="1" applyFill="1" applyBorder="1" applyAlignment="1" applyProtection="1">
      <alignment horizontal="center" vertical="center"/>
      <protection locked="0"/>
    </xf>
    <xf numFmtId="0" fontId="35" fillId="25" borderId="33" xfId="21" applyFont="1" applyFill="1" applyBorder="1" applyAlignment="1">
      <alignment horizontal="center" vertical="center"/>
    </xf>
    <xf numFmtId="0" fontId="37" fillId="25" borderId="37" xfId="21" applyFont="1" applyFill="1" applyBorder="1" applyAlignment="1" applyProtection="1">
      <alignment horizontal="left" vertical="center"/>
      <protection locked="0"/>
    </xf>
    <xf numFmtId="0" fontId="37" fillId="25" borderId="36" xfId="21" applyFont="1" applyFill="1" applyBorder="1" applyAlignment="1" applyProtection="1">
      <alignment horizontal="left" vertical="center"/>
      <protection locked="0"/>
    </xf>
    <xf numFmtId="0" fontId="37" fillId="25" borderId="35" xfId="21" applyFont="1" applyFill="1" applyBorder="1" applyAlignment="1" applyProtection="1">
      <alignment horizontal="left" vertical="center"/>
      <protection locked="0"/>
    </xf>
    <xf numFmtId="0" fontId="37" fillId="25" borderId="38" xfId="21" applyFont="1" applyFill="1" applyBorder="1" applyAlignment="1" applyProtection="1">
      <alignment horizontal="center" vertical="center"/>
      <protection locked="0"/>
    </xf>
    <xf numFmtId="3" fontId="37" fillId="25" borderId="37" xfId="21" applyNumberFormat="1" applyFont="1" applyFill="1" applyBorder="1" applyAlignment="1" applyProtection="1">
      <alignment horizontal="center" vertical="center"/>
      <protection locked="0"/>
    </xf>
    <xf numFmtId="3" fontId="37" fillId="25" borderId="36" xfId="21" applyNumberFormat="1" applyFont="1" applyFill="1" applyBorder="1" applyAlignment="1" applyProtection="1">
      <alignment horizontal="center" vertical="center"/>
      <protection locked="0"/>
    </xf>
    <xf numFmtId="3" fontId="37" fillId="25" borderId="35" xfId="21" applyNumberFormat="1" applyFont="1" applyFill="1" applyBorder="1" applyAlignment="1" applyProtection="1">
      <alignment horizontal="center" vertical="center"/>
      <protection locked="0"/>
    </xf>
    <xf numFmtId="3" fontId="37" fillId="0" borderId="41" xfId="21" applyNumberFormat="1" applyFont="1" applyBorder="1" applyAlignment="1" applyProtection="1">
      <alignment horizontal="center" vertical="center"/>
      <protection locked="0"/>
    </xf>
    <xf numFmtId="3" fontId="37" fillId="0" borderId="40" xfId="21" applyNumberFormat="1" applyFont="1" applyBorder="1" applyAlignment="1" applyProtection="1">
      <alignment horizontal="center" vertical="center"/>
      <protection locked="0"/>
    </xf>
    <xf numFmtId="3" fontId="37" fillId="0" borderId="39" xfId="21" applyNumberFormat="1" applyFont="1" applyBorder="1" applyAlignment="1" applyProtection="1">
      <alignment horizontal="center" vertical="center"/>
      <protection locked="0"/>
    </xf>
    <xf numFmtId="14" fontId="37" fillId="25" borderId="38" xfId="21" applyNumberFormat="1" applyFont="1" applyFill="1" applyBorder="1" applyAlignment="1" applyProtection="1">
      <alignment horizontal="center" vertical="center"/>
      <protection locked="0"/>
    </xf>
    <xf numFmtId="0" fontId="35" fillId="26" borderId="37" xfId="21" applyFont="1" applyFill="1" applyBorder="1" applyAlignment="1" applyProtection="1">
      <alignment horizontal="left" vertical="center"/>
      <protection locked="0"/>
    </xf>
    <xf numFmtId="0" fontId="35" fillId="26" borderId="36" xfId="21" applyFont="1" applyFill="1" applyBorder="1" applyAlignment="1" applyProtection="1">
      <alignment horizontal="left" vertical="center"/>
      <protection locked="0"/>
    </xf>
    <xf numFmtId="0" fontId="38" fillId="26" borderId="37" xfId="21" applyFont="1" applyFill="1" applyBorder="1" applyAlignment="1" applyProtection="1">
      <alignment horizontal="center" vertical="center"/>
      <protection locked="0"/>
    </xf>
    <xf numFmtId="0" fontId="38" fillId="26" borderId="36" xfId="21" applyFont="1" applyFill="1" applyBorder="1" applyAlignment="1" applyProtection="1">
      <alignment horizontal="center" vertical="center"/>
      <protection locked="0"/>
    </xf>
    <xf numFmtId="0" fontId="38" fillId="26" borderId="35" xfId="21" applyFont="1" applyFill="1" applyBorder="1" applyAlignment="1" applyProtection="1">
      <alignment horizontal="center" vertical="center"/>
      <protection locked="0"/>
    </xf>
    <xf numFmtId="0" fontId="38" fillId="26" borderId="21" xfId="21" applyFont="1" applyFill="1" applyBorder="1" applyAlignment="1" applyProtection="1">
      <alignment horizontal="center" vertical="center"/>
      <protection locked="0"/>
    </xf>
    <xf numFmtId="0" fontId="38" fillId="26" borderId="20" xfId="21" applyFont="1" applyFill="1" applyBorder="1" applyAlignment="1" applyProtection="1">
      <alignment horizontal="center" vertical="center"/>
      <protection locked="0"/>
    </xf>
    <xf numFmtId="0" fontId="38" fillId="26" borderId="19" xfId="21" applyFont="1" applyFill="1" applyBorder="1" applyAlignment="1" applyProtection="1">
      <alignment horizontal="center" vertical="center"/>
      <protection locked="0"/>
    </xf>
    <xf numFmtId="0" fontId="35" fillId="26" borderId="21" xfId="21" applyFont="1" applyFill="1" applyBorder="1" applyAlignment="1" applyProtection="1">
      <alignment horizontal="left" vertical="center"/>
      <protection locked="0"/>
    </xf>
    <xf numFmtId="0" fontId="35" fillId="26" borderId="20" xfId="21" applyFont="1" applyFill="1" applyBorder="1" applyAlignment="1" applyProtection="1">
      <alignment horizontal="left" vertical="center"/>
      <protection locked="0"/>
    </xf>
    <xf numFmtId="14" fontId="37" fillId="0" borderId="38" xfId="21" applyNumberFormat="1" applyFont="1" applyBorder="1" applyAlignment="1" applyProtection="1">
      <alignment horizontal="center" vertical="center"/>
      <protection locked="0"/>
    </xf>
    <xf numFmtId="14" fontId="37" fillId="0" borderId="18" xfId="21" applyNumberFormat="1" applyFont="1" applyBorder="1" applyAlignment="1" applyProtection="1">
      <alignment horizontal="center" vertical="center"/>
      <protection locked="0"/>
    </xf>
    <xf numFmtId="14" fontId="37" fillId="26" borderId="18" xfId="21" applyNumberFormat="1" applyFont="1" applyFill="1" applyBorder="1" applyAlignment="1" applyProtection="1">
      <alignment horizontal="center" vertical="center"/>
      <protection locked="0"/>
    </xf>
    <xf numFmtId="0" fontId="37" fillId="26" borderId="18" xfId="21" applyFont="1" applyFill="1" applyBorder="1" applyAlignment="1" applyProtection="1">
      <alignment horizontal="center" vertical="center"/>
      <protection locked="0"/>
    </xf>
    <xf numFmtId="0" fontId="37" fillId="25" borderId="34" xfId="21" applyFont="1" applyFill="1" applyBorder="1" applyAlignment="1" applyProtection="1">
      <alignment horizontal="center" vertical="center"/>
      <protection locked="0"/>
    </xf>
    <xf numFmtId="14" fontId="37" fillId="25" borderId="34" xfId="21" applyNumberFormat="1" applyFont="1" applyFill="1" applyBorder="1" applyAlignment="1" applyProtection="1">
      <alignment horizontal="center" vertical="center"/>
      <protection locked="0"/>
    </xf>
    <xf numFmtId="14" fontId="37" fillId="25" borderId="37" xfId="21" applyNumberFormat="1" applyFont="1" applyFill="1" applyBorder="1" applyAlignment="1" applyProtection="1">
      <alignment horizontal="center" vertical="center"/>
      <protection locked="0"/>
    </xf>
    <xf numFmtId="14" fontId="37" fillId="25" borderId="36" xfId="21" applyNumberFormat="1" applyFont="1" applyFill="1" applyBorder="1" applyAlignment="1" applyProtection="1">
      <alignment horizontal="center" vertical="center"/>
      <protection locked="0"/>
    </xf>
    <xf numFmtId="14" fontId="37" fillId="25" borderId="35" xfId="21" applyNumberFormat="1" applyFont="1" applyFill="1" applyBorder="1" applyAlignment="1" applyProtection="1">
      <alignment horizontal="center" vertical="center"/>
      <protection locked="0"/>
    </xf>
    <xf numFmtId="0" fontId="37" fillId="25" borderId="37" xfId="21" applyFont="1" applyFill="1" applyBorder="1" applyAlignment="1" applyProtection="1">
      <alignment horizontal="center" vertical="center"/>
      <protection locked="0"/>
    </xf>
    <xf numFmtId="0" fontId="37" fillId="25" borderId="36" xfId="21" applyFont="1" applyFill="1" applyBorder="1" applyAlignment="1" applyProtection="1">
      <alignment horizontal="center" vertical="center"/>
      <protection locked="0"/>
    </xf>
    <xf numFmtId="0" fontId="37" fillId="25" borderId="35" xfId="21" applyFont="1" applyFill="1" applyBorder="1" applyAlignment="1" applyProtection="1">
      <alignment horizontal="center" vertical="center"/>
      <protection locked="0"/>
    </xf>
    <xf numFmtId="0" fontId="37" fillId="26" borderId="37" xfId="21" quotePrefix="1" applyFont="1" applyFill="1" applyBorder="1" applyAlignment="1" applyProtection="1">
      <alignment horizontal="left" vertical="center" wrapText="1"/>
      <protection locked="0"/>
    </xf>
    <xf numFmtId="0" fontId="37" fillId="26" borderId="36" xfId="21" applyFont="1" applyFill="1" applyBorder="1" applyAlignment="1" applyProtection="1">
      <alignment horizontal="left" vertical="center"/>
      <protection locked="0"/>
    </xf>
    <xf numFmtId="0" fontId="37" fillId="26" borderId="35" xfId="21" applyFont="1" applyFill="1" applyBorder="1" applyAlignment="1" applyProtection="1">
      <alignment horizontal="left" vertical="center"/>
      <protection locked="0"/>
    </xf>
    <xf numFmtId="0" fontId="37" fillId="25" borderId="48" xfId="21" quotePrefix="1" applyFont="1" applyFill="1" applyBorder="1" applyAlignment="1" applyProtection="1">
      <alignment horizontal="left" vertical="center"/>
      <protection locked="0"/>
    </xf>
    <xf numFmtId="0" fontId="37" fillId="25" borderId="23" xfId="21" applyFont="1" applyFill="1" applyBorder="1" applyAlignment="1" applyProtection="1">
      <alignment horizontal="left" vertical="center"/>
      <protection locked="0"/>
    </xf>
    <xf numFmtId="0" fontId="37" fillId="25" borderId="33" xfId="21" applyFont="1" applyFill="1" applyBorder="1" applyAlignment="1" applyProtection="1">
      <alignment horizontal="left" vertical="center"/>
      <protection locked="0"/>
    </xf>
    <xf numFmtId="0" fontId="37" fillId="25" borderId="33" xfId="21" quotePrefix="1" applyFont="1" applyFill="1" applyBorder="1" applyAlignment="1" applyProtection="1">
      <alignment horizontal="left" vertical="center"/>
      <protection locked="0"/>
    </xf>
    <xf numFmtId="0" fontId="37" fillId="25" borderId="48" xfId="21" applyFont="1" applyFill="1" applyBorder="1" applyAlignment="1" applyProtection="1">
      <alignment horizontal="left" vertical="center"/>
      <protection locked="0"/>
    </xf>
    <xf numFmtId="0" fontId="37" fillId="26" borderId="41" xfId="21" applyFont="1" applyFill="1" applyBorder="1" applyAlignment="1" applyProtection="1">
      <alignment horizontal="left" vertical="center"/>
      <protection locked="0"/>
    </xf>
    <xf numFmtId="0" fontId="37" fillId="26" borderId="40" xfId="21" applyFont="1" applyFill="1" applyBorder="1" applyAlignment="1" applyProtection="1">
      <alignment horizontal="left" vertical="center"/>
      <protection locked="0"/>
    </xf>
    <xf numFmtId="0" fontId="37" fillId="26" borderId="39" xfId="21" applyFont="1" applyFill="1" applyBorder="1" applyAlignment="1" applyProtection="1">
      <alignment horizontal="left" vertical="center"/>
      <protection locked="0"/>
    </xf>
    <xf numFmtId="0" fontId="37" fillId="25" borderId="22" xfId="21" applyFont="1" applyFill="1" applyBorder="1" applyAlignment="1" applyProtection="1">
      <alignment horizontal="left" vertical="center"/>
      <protection locked="0"/>
    </xf>
    <xf numFmtId="0" fontId="39" fillId="25" borderId="12" xfId="21" applyFont="1" applyFill="1" applyBorder="1" applyAlignment="1">
      <alignment horizontal="left" vertical="center"/>
    </xf>
    <xf numFmtId="0" fontId="39" fillId="25" borderId="11" xfId="21" applyFont="1" applyFill="1" applyBorder="1" applyAlignment="1">
      <alignment horizontal="left" vertical="center"/>
    </xf>
    <xf numFmtId="0" fontId="41" fillId="0" borderId="0" xfId="21" applyFont="1" applyAlignment="1">
      <alignment horizontal="left" vertical="center"/>
    </xf>
    <xf numFmtId="0" fontId="39" fillId="25" borderId="38" xfId="21" applyFont="1" applyFill="1" applyBorder="1" applyAlignment="1" applyProtection="1">
      <alignment horizontal="center" vertical="center"/>
      <protection locked="0"/>
    </xf>
    <xf numFmtId="0" fontId="35" fillId="25" borderId="33" xfId="21" applyFont="1" applyFill="1" applyBorder="1" applyAlignment="1">
      <alignment horizontal="left" vertical="center"/>
    </xf>
    <xf numFmtId="0" fontId="37" fillId="0" borderId="34" xfId="21" applyFont="1" applyBorder="1" applyAlignment="1" applyProtection="1">
      <alignment horizontal="center" vertical="center"/>
      <protection locked="0"/>
    </xf>
    <xf numFmtId="0" fontId="37" fillId="0" borderId="41" xfId="21" applyFont="1" applyBorder="1" applyAlignment="1" applyProtection="1">
      <alignment horizontal="center" vertical="center"/>
      <protection locked="0"/>
    </xf>
    <xf numFmtId="0" fontId="37" fillId="0" borderId="39" xfId="21" applyFont="1" applyBorder="1" applyAlignment="1" applyProtection="1">
      <alignment horizontal="center" vertical="center"/>
      <protection locked="0"/>
    </xf>
    <xf numFmtId="3" fontId="37" fillId="26" borderId="37" xfId="21" applyNumberFormat="1" applyFont="1" applyFill="1" applyBorder="1" applyAlignment="1" applyProtection="1">
      <alignment horizontal="center" vertical="center"/>
      <protection locked="0"/>
    </xf>
    <xf numFmtId="3" fontId="37" fillId="26" borderId="36" xfId="21" applyNumberFormat="1" applyFont="1" applyFill="1" applyBorder="1" applyAlignment="1" applyProtection="1">
      <alignment horizontal="center" vertical="center"/>
      <protection locked="0"/>
    </xf>
    <xf numFmtId="3" fontId="37" fillId="26" borderId="35" xfId="21" applyNumberFormat="1" applyFont="1" applyFill="1" applyBorder="1" applyAlignment="1" applyProtection="1">
      <alignment horizontal="center" vertical="center"/>
      <protection locked="0"/>
    </xf>
    <xf numFmtId="0" fontId="39" fillId="26" borderId="38" xfId="21" applyFont="1" applyFill="1" applyBorder="1" applyAlignment="1" applyProtection="1">
      <alignment horizontal="center" vertical="center"/>
      <protection locked="0"/>
    </xf>
    <xf numFmtId="0" fontId="35" fillId="25" borderId="0" xfId="21" applyFont="1" applyFill="1" applyAlignment="1">
      <alignment horizontal="center" vertical="center"/>
    </xf>
    <xf numFmtId="0" fontId="39" fillId="26" borderId="45" xfId="21" applyFont="1" applyFill="1" applyBorder="1" applyAlignment="1" applyProtection="1">
      <alignment horizontal="center" vertical="center"/>
      <protection locked="0"/>
    </xf>
    <xf numFmtId="3" fontId="37" fillId="26" borderId="44" xfId="21" applyNumberFormat="1" applyFont="1" applyFill="1" applyBorder="1" applyAlignment="1" applyProtection="1">
      <alignment horizontal="center" vertical="center"/>
      <protection locked="0"/>
    </xf>
    <xf numFmtId="3" fontId="37" fillId="26" borderId="43" xfId="21" applyNumberFormat="1" applyFont="1" applyFill="1" applyBorder="1" applyAlignment="1" applyProtection="1">
      <alignment horizontal="center" vertical="center"/>
      <protection locked="0"/>
    </xf>
    <xf numFmtId="3" fontId="37" fillId="26" borderId="42" xfId="21" applyNumberFormat="1" applyFont="1" applyFill="1" applyBorder="1" applyAlignment="1" applyProtection="1">
      <alignment horizontal="center" vertical="center"/>
      <protection locked="0"/>
    </xf>
    <xf numFmtId="0" fontId="39" fillId="0" borderId="34" xfId="21" applyFont="1" applyBorder="1" applyAlignment="1" applyProtection="1">
      <alignment horizontal="center" vertical="center"/>
      <protection locked="0"/>
    </xf>
    <xf numFmtId="0" fontId="37" fillId="0" borderId="21" xfId="21" applyFont="1" applyBorder="1" applyAlignment="1" applyProtection="1">
      <alignment horizontal="center" vertical="center"/>
      <protection locked="0"/>
    </xf>
    <xf numFmtId="0" fontId="37" fillId="0" borderId="20" xfId="21" applyFont="1" applyBorder="1" applyAlignment="1" applyProtection="1">
      <alignment horizontal="center" vertical="center"/>
      <protection locked="0"/>
    </xf>
    <xf numFmtId="0" fontId="37" fillId="0" borderId="19" xfId="21" applyFont="1" applyBorder="1" applyAlignment="1" applyProtection="1">
      <alignment horizontal="center" vertical="center"/>
      <protection locked="0"/>
    </xf>
    <xf numFmtId="0" fontId="37" fillId="0" borderId="13" xfId="21" applyFont="1" applyBorder="1" applyAlignment="1" applyProtection="1">
      <alignment horizontal="center" vertical="center"/>
      <protection locked="0"/>
    </xf>
    <xf numFmtId="0" fontId="37" fillId="0" borderId="0" xfId="21" applyFont="1" applyAlignment="1" applyProtection="1">
      <alignment horizontal="center" vertical="center"/>
      <protection locked="0"/>
    </xf>
    <xf numFmtId="0" fontId="37" fillId="0" borderId="14" xfId="21" applyFont="1" applyBorder="1" applyAlignment="1" applyProtection="1">
      <alignment horizontal="center" vertical="center"/>
      <protection locked="0"/>
    </xf>
    <xf numFmtId="0" fontId="37" fillId="0" borderId="23" xfId="21" applyFont="1" applyBorder="1" applyAlignment="1" applyProtection="1">
      <alignment horizontal="center" vertical="center"/>
      <protection locked="0"/>
    </xf>
    <xf numFmtId="0" fontId="37" fillId="0" borderId="33" xfId="21" applyFont="1" applyBorder="1" applyAlignment="1" applyProtection="1">
      <alignment horizontal="center" vertical="center"/>
      <protection locked="0"/>
    </xf>
    <xf numFmtId="0" fontId="37" fillId="0" borderId="22" xfId="21" applyFont="1" applyBorder="1" applyAlignment="1" applyProtection="1">
      <alignment horizontal="center" vertical="center"/>
      <protection locked="0"/>
    </xf>
    <xf numFmtId="14" fontId="37" fillId="26" borderId="37" xfId="21" applyNumberFormat="1" applyFont="1" applyFill="1" applyBorder="1" applyAlignment="1" applyProtection="1">
      <alignment horizontal="left" vertical="center"/>
      <protection locked="0"/>
    </xf>
    <xf numFmtId="14" fontId="42" fillId="26" borderId="36" xfId="21" applyNumberFormat="1" applyFont="1" applyFill="1" applyBorder="1" applyProtection="1">
      <protection locked="0"/>
    </xf>
    <xf numFmtId="14" fontId="42" fillId="26" borderId="35" xfId="21" applyNumberFormat="1" applyFont="1" applyFill="1" applyBorder="1" applyProtection="1">
      <protection locked="0"/>
    </xf>
    <xf numFmtId="0" fontId="37" fillId="26" borderId="37" xfId="21" applyFont="1" applyFill="1" applyBorder="1" applyAlignment="1" applyProtection="1">
      <alignment horizontal="left" vertical="center"/>
      <protection locked="0"/>
    </xf>
    <xf numFmtId="0" fontId="37" fillId="25" borderId="38" xfId="21" applyFont="1" applyFill="1" applyBorder="1" applyAlignment="1" applyProtection="1">
      <alignment horizontal="left" vertical="center"/>
      <protection locked="0"/>
    </xf>
    <xf numFmtId="14" fontId="37" fillId="25" borderId="41" xfId="21" applyNumberFormat="1" applyFont="1" applyFill="1" applyBorder="1" applyAlignment="1" applyProtection="1">
      <alignment horizontal="left" vertical="center"/>
      <protection locked="0"/>
    </xf>
    <xf numFmtId="0" fontId="37" fillId="25" borderId="40" xfId="21" applyFont="1" applyFill="1" applyBorder="1" applyAlignment="1" applyProtection="1">
      <alignment horizontal="left" vertical="center"/>
      <protection locked="0"/>
    </xf>
    <xf numFmtId="0" fontId="37" fillId="25" borderId="39" xfId="21" applyFont="1" applyFill="1" applyBorder="1" applyAlignment="1" applyProtection="1">
      <alignment horizontal="left" vertical="center"/>
      <protection locked="0"/>
    </xf>
    <xf numFmtId="0" fontId="37" fillId="25" borderId="44" xfId="21" applyFont="1" applyFill="1" applyBorder="1" applyAlignment="1" applyProtection="1">
      <alignment horizontal="left" vertical="center"/>
      <protection locked="0"/>
    </xf>
    <xf numFmtId="0" fontId="37" fillId="25" borderId="43" xfId="21" applyFont="1" applyFill="1" applyBorder="1" applyAlignment="1" applyProtection="1">
      <alignment horizontal="left" vertical="center"/>
      <protection locked="0"/>
    </xf>
    <xf numFmtId="0" fontId="37" fillId="25" borderId="42" xfId="21" applyFont="1" applyFill="1" applyBorder="1" applyAlignment="1" applyProtection="1">
      <alignment horizontal="left" vertical="center"/>
      <protection locked="0"/>
    </xf>
    <xf numFmtId="0" fontId="37" fillId="25" borderId="49" xfId="21" applyFont="1" applyFill="1" applyBorder="1" applyAlignment="1" applyProtection="1">
      <alignment horizontal="left" vertical="center"/>
      <protection locked="0"/>
    </xf>
    <xf numFmtId="0" fontId="37" fillId="26" borderId="37" xfId="21" applyFont="1" applyFill="1" applyBorder="1" applyAlignment="1" applyProtection="1">
      <alignment horizontal="left" vertical="center" wrapText="1"/>
      <protection locked="0"/>
    </xf>
    <xf numFmtId="0" fontId="37" fillId="26" borderId="36" xfId="21" applyFont="1" applyFill="1" applyBorder="1" applyAlignment="1" applyProtection="1">
      <alignment horizontal="left" vertical="center" wrapText="1"/>
      <protection locked="0"/>
    </xf>
    <xf numFmtId="0" fontId="37" fillId="26" borderId="35" xfId="21" applyFont="1" applyFill="1" applyBorder="1" applyAlignment="1" applyProtection="1">
      <alignment horizontal="left" vertical="center" wrapText="1"/>
      <protection locked="0"/>
    </xf>
    <xf numFmtId="0" fontId="37" fillId="26" borderId="44" xfId="21" applyFont="1" applyFill="1" applyBorder="1" applyAlignment="1" applyProtection="1">
      <alignment horizontal="left" vertical="center" wrapText="1"/>
      <protection locked="0"/>
    </xf>
    <xf numFmtId="0" fontId="37" fillId="26" borderId="43" xfId="21" applyFont="1" applyFill="1" applyBorder="1" applyAlignment="1" applyProtection="1">
      <alignment horizontal="left" vertical="center" wrapText="1"/>
      <protection locked="0"/>
    </xf>
    <xf numFmtId="0" fontId="37" fillId="26" borderId="42" xfId="21" applyFont="1" applyFill="1" applyBorder="1" applyAlignment="1" applyProtection="1">
      <alignment horizontal="left" vertical="center" wrapText="1"/>
      <protection locked="0"/>
    </xf>
    <xf numFmtId="0" fontId="39" fillId="25" borderId="15" xfId="21" applyFont="1" applyFill="1" applyBorder="1" applyAlignment="1">
      <alignment horizontal="left" vertical="center"/>
    </xf>
    <xf numFmtId="0" fontId="79" fillId="25" borderId="48" xfId="49" applyFill="1" applyBorder="1" applyAlignment="1" applyProtection="1">
      <alignment horizontal="left" vertical="center"/>
      <protection locked="0"/>
    </xf>
    <xf numFmtId="0" fontId="37" fillId="25" borderId="47" xfId="21" applyFont="1" applyFill="1" applyBorder="1" applyAlignment="1" applyProtection="1">
      <alignment horizontal="left" vertical="center"/>
      <protection locked="0"/>
    </xf>
    <xf numFmtId="0" fontId="39" fillId="25" borderId="65" xfId="21" applyFont="1" applyFill="1" applyBorder="1" applyAlignment="1" applyProtection="1">
      <alignment horizontal="left" vertical="center" textRotation="90" wrapText="1"/>
      <protection locked="0"/>
    </xf>
    <xf numFmtId="0" fontId="10" fillId="0" borderId="64" xfId="21" applyBorder="1" applyAlignment="1">
      <alignment horizontal="left"/>
    </xf>
    <xf numFmtId="0" fontId="10" fillId="0" borderId="59" xfId="21" applyBorder="1" applyAlignment="1">
      <alignment horizontal="left"/>
    </xf>
    <xf numFmtId="0" fontId="10" fillId="0" borderId="0" xfId="21" applyAlignment="1">
      <alignment horizontal="left"/>
    </xf>
    <xf numFmtId="0" fontId="10" fillId="0" borderId="55" xfId="21" applyBorder="1" applyAlignment="1">
      <alignment horizontal="left"/>
    </xf>
    <xf numFmtId="0" fontId="10" fillId="0" borderId="54" xfId="21" applyBorder="1" applyAlignment="1">
      <alignment horizontal="left"/>
    </xf>
    <xf numFmtId="0" fontId="39" fillId="25" borderId="62" xfId="21" applyFont="1" applyFill="1" applyBorder="1" applyAlignment="1" applyProtection="1">
      <alignment horizontal="left" vertical="center" textRotation="90" wrapText="1"/>
      <protection locked="0"/>
    </xf>
    <xf numFmtId="0" fontId="39" fillId="25" borderId="61" xfId="21" applyFont="1" applyFill="1" applyBorder="1" applyAlignment="1" applyProtection="1">
      <alignment horizontal="left" vertical="center" textRotation="90" wrapText="1"/>
      <protection locked="0"/>
    </xf>
    <xf numFmtId="0" fontId="39" fillId="25" borderId="57" xfId="21" applyFont="1" applyFill="1" applyBorder="1" applyAlignment="1" applyProtection="1">
      <alignment horizontal="left" vertical="center" textRotation="90" wrapText="1"/>
      <protection locked="0"/>
    </xf>
    <xf numFmtId="0" fontId="39" fillId="25" borderId="0" xfId="21" applyFont="1" applyFill="1" applyAlignment="1" applyProtection="1">
      <alignment horizontal="left" vertical="center" textRotation="90" wrapText="1"/>
      <protection locked="0"/>
    </xf>
    <xf numFmtId="0" fontId="39" fillId="25" borderId="52" xfId="21" applyFont="1" applyFill="1" applyBorder="1" applyAlignment="1" applyProtection="1">
      <alignment horizontal="left" vertical="center" textRotation="90" wrapText="1"/>
      <protection locked="0"/>
    </xf>
    <xf numFmtId="0" fontId="39" fillId="25" borderId="51" xfId="21" applyFont="1" applyFill="1" applyBorder="1" applyAlignment="1" applyProtection="1">
      <alignment horizontal="left" vertical="center" textRotation="90" wrapText="1"/>
      <protection locked="0"/>
    </xf>
    <xf numFmtId="0" fontId="37" fillId="0" borderId="37" xfId="21" applyFont="1" applyBorder="1" applyAlignment="1" applyProtection="1">
      <alignment horizontal="center" vertical="center"/>
      <protection locked="0"/>
    </xf>
    <xf numFmtId="0" fontId="37" fillId="0" borderId="35" xfId="21" applyFont="1" applyBorder="1" applyAlignment="1" applyProtection="1">
      <alignment horizontal="center" vertical="center"/>
      <protection locked="0"/>
    </xf>
    <xf numFmtId="0" fontId="37" fillId="25" borderId="34" xfId="21" applyFont="1" applyFill="1" applyBorder="1" applyAlignment="1" applyProtection="1">
      <alignment horizontal="left" vertical="center"/>
      <protection locked="0"/>
    </xf>
    <xf numFmtId="0" fontId="35" fillId="25" borderId="2" xfId="21" applyFont="1" applyFill="1" applyBorder="1" applyAlignment="1">
      <alignment horizontal="center" vertical="center"/>
    </xf>
    <xf numFmtId="0" fontId="35" fillId="25" borderId="0" xfId="21" applyFont="1" applyFill="1" applyAlignment="1" applyProtection="1">
      <alignment horizontal="center" vertical="center"/>
      <protection locked="0"/>
    </xf>
    <xf numFmtId="0" fontId="4" fillId="25" borderId="0" xfId="21" applyFont="1" applyFill="1" applyAlignment="1">
      <alignment horizontal="left" vertical="center"/>
    </xf>
    <xf numFmtId="0" fontId="4" fillId="25" borderId="2" xfId="21" applyFont="1" applyFill="1" applyBorder="1" applyAlignment="1">
      <alignment horizontal="left" vertical="center"/>
    </xf>
    <xf numFmtId="0" fontId="37" fillId="27" borderId="7" xfId="21" applyFont="1" applyFill="1" applyBorder="1" applyAlignment="1" applyProtection="1">
      <alignment horizontal="left" vertical="center"/>
      <protection locked="0"/>
    </xf>
    <xf numFmtId="14" fontId="37" fillId="27" borderId="0" xfId="21" applyNumberFormat="1" applyFont="1" applyFill="1" applyAlignment="1" applyProtection="1">
      <alignment horizontal="left" vertical="center"/>
      <protection locked="0"/>
    </xf>
    <xf numFmtId="14" fontId="37" fillId="27" borderId="4" xfId="21" applyNumberFormat="1" applyFont="1" applyFill="1" applyBorder="1" applyAlignment="1" applyProtection="1">
      <alignment horizontal="left" vertical="center"/>
      <protection locked="0"/>
    </xf>
    <xf numFmtId="14" fontId="37" fillId="27" borderId="7" xfId="21" applyNumberFormat="1" applyFont="1" applyFill="1" applyBorder="1" applyAlignment="1" applyProtection="1">
      <alignment horizontal="left" vertical="center"/>
      <protection locked="0"/>
    </xf>
    <xf numFmtId="14" fontId="37" fillId="27" borderId="6" xfId="21" applyNumberFormat="1" applyFont="1" applyFill="1" applyBorder="1" applyAlignment="1" applyProtection="1">
      <alignment horizontal="left" vertical="center"/>
      <protection locked="0"/>
    </xf>
    <xf numFmtId="14" fontId="38" fillId="27" borderId="2" xfId="21" applyNumberFormat="1" applyFont="1" applyFill="1" applyBorder="1" applyAlignment="1" applyProtection="1">
      <alignment horizontal="left" vertical="center"/>
      <protection locked="0"/>
    </xf>
    <xf numFmtId="14" fontId="38" fillId="27" borderId="1" xfId="21" applyNumberFormat="1" applyFont="1" applyFill="1" applyBorder="1" applyAlignment="1" applyProtection="1">
      <alignment horizontal="left" vertical="center"/>
      <protection locked="0"/>
    </xf>
    <xf numFmtId="0" fontId="37" fillId="27" borderId="2" xfId="21" applyFont="1" applyFill="1" applyBorder="1" applyAlignment="1" applyProtection="1">
      <alignment horizontal="left" vertical="center"/>
      <protection locked="0"/>
    </xf>
    <xf numFmtId="0" fontId="37" fillId="27" borderId="0" xfId="21" applyFont="1" applyFill="1" applyAlignment="1" applyProtection="1">
      <alignment horizontal="left" vertical="center"/>
      <protection locked="0"/>
    </xf>
    <xf numFmtId="0" fontId="37" fillId="25" borderId="16" xfId="21" applyFont="1" applyFill="1" applyBorder="1" applyAlignment="1">
      <alignment horizontal="left" vertical="center"/>
    </xf>
    <xf numFmtId="0" fontId="37" fillId="25" borderId="15" xfId="21" applyFont="1" applyFill="1" applyBorder="1" applyAlignment="1" applyProtection="1">
      <alignment horizontal="left" vertical="top" wrapText="1"/>
      <protection locked="0"/>
    </xf>
    <xf numFmtId="0" fontId="37" fillId="25" borderId="12" xfId="21" applyFont="1" applyFill="1" applyBorder="1" applyAlignment="1" applyProtection="1">
      <alignment horizontal="left" vertical="top" wrapText="1"/>
      <protection locked="0"/>
    </xf>
    <xf numFmtId="0" fontId="37" fillId="25" borderId="11" xfId="21" applyFont="1" applyFill="1" applyBorder="1" applyAlignment="1" applyProtection="1">
      <alignment horizontal="left" vertical="top" wrapText="1"/>
      <protection locked="0"/>
    </xf>
    <xf numFmtId="0" fontId="37" fillId="25" borderId="15" xfId="21" applyFont="1" applyFill="1" applyBorder="1" applyAlignment="1" applyProtection="1">
      <alignment horizontal="center" vertical="top" wrapText="1"/>
      <protection locked="0"/>
    </xf>
    <xf numFmtId="0" fontId="37" fillId="25" borderId="11" xfId="21" applyFont="1" applyFill="1" applyBorder="1" applyAlignment="1" applyProtection="1">
      <alignment horizontal="center" vertical="top" wrapText="1"/>
      <protection locked="0"/>
    </xf>
    <xf numFmtId="0" fontId="37" fillId="25" borderId="15" xfId="21" applyFont="1" applyFill="1" applyBorder="1" applyAlignment="1" applyProtection="1">
      <alignment horizontal="left" vertical="center"/>
      <protection locked="0"/>
    </xf>
    <xf numFmtId="0" fontId="37" fillId="25" borderId="12" xfId="21" applyFont="1" applyFill="1" applyBorder="1" applyAlignment="1" applyProtection="1">
      <alignment horizontal="left" vertical="center"/>
      <protection locked="0"/>
    </xf>
    <xf numFmtId="0" fontId="37" fillId="25" borderId="11" xfId="21" applyFont="1" applyFill="1" applyBorder="1" applyAlignment="1" applyProtection="1">
      <alignment horizontal="left" vertical="center"/>
      <protection locked="0"/>
    </xf>
    <xf numFmtId="0" fontId="37" fillId="0" borderId="44" xfId="21" applyFont="1" applyBorder="1" applyAlignment="1" applyProtection="1">
      <alignment horizontal="center" vertical="center"/>
      <protection locked="0"/>
    </xf>
    <xf numFmtId="0" fontId="37" fillId="0" borderId="42" xfId="21" applyFont="1" applyBorder="1" applyAlignment="1" applyProtection="1">
      <alignment horizontal="center" vertical="center"/>
      <protection locked="0"/>
    </xf>
    <xf numFmtId="0" fontId="44" fillId="29" borderId="8" xfId="21" applyFont="1" applyFill="1" applyBorder="1" applyAlignment="1">
      <alignment horizontal="center" vertical="center"/>
    </xf>
    <xf numFmtId="0" fontId="44" fillId="29" borderId="7" xfId="21" applyFont="1" applyFill="1" applyBorder="1" applyAlignment="1">
      <alignment horizontal="center" vertical="center"/>
    </xf>
    <xf numFmtId="0" fontId="44" fillId="29" borderId="6" xfId="21" applyFont="1" applyFill="1" applyBorder="1" applyAlignment="1">
      <alignment horizontal="center" vertical="center"/>
    </xf>
    <xf numFmtId="0" fontId="43" fillId="29" borderId="3" xfId="21" quotePrefix="1" applyFont="1" applyFill="1" applyBorder="1" applyAlignment="1">
      <alignment horizontal="center" vertical="center"/>
    </xf>
    <xf numFmtId="0" fontId="43" fillId="29" borderId="2" xfId="21" applyFont="1" applyFill="1" applyBorder="1" applyAlignment="1">
      <alignment horizontal="center" vertical="center"/>
    </xf>
    <xf numFmtId="0" fontId="43" fillId="29" borderId="1" xfId="21" applyFont="1" applyFill="1" applyBorder="1" applyAlignment="1">
      <alignment horizontal="center" vertical="center"/>
    </xf>
    <xf numFmtId="0" fontId="35" fillId="25" borderId="0" xfId="21" applyFont="1" applyFill="1" applyAlignment="1">
      <alignment horizontal="left" vertical="center"/>
    </xf>
    <xf numFmtId="0" fontId="35" fillId="25" borderId="14" xfId="21" applyFont="1" applyFill="1" applyBorder="1" applyAlignment="1">
      <alignment horizontal="left" vertical="center"/>
    </xf>
    <xf numFmtId="0" fontId="10" fillId="25" borderId="75" xfId="21" applyFill="1" applyBorder="1" applyAlignment="1">
      <alignment horizontal="left" vertical="center"/>
    </xf>
    <xf numFmtId="0" fontId="10" fillId="25" borderId="73" xfId="21" applyFill="1" applyBorder="1" applyAlignment="1">
      <alignment horizontal="left" vertical="center"/>
    </xf>
    <xf numFmtId="0" fontId="5" fillId="27" borderId="78" xfId="21" applyFont="1" applyFill="1" applyBorder="1" applyAlignment="1">
      <alignment horizontal="center" vertical="center"/>
    </xf>
    <xf numFmtId="0" fontId="5" fillId="27" borderId="77" xfId="21" applyFont="1" applyFill="1" applyBorder="1" applyAlignment="1">
      <alignment horizontal="center" vertical="center"/>
    </xf>
    <xf numFmtId="0" fontId="5" fillId="27" borderId="76" xfId="21" applyFont="1" applyFill="1" applyBorder="1" applyAlignment="1">
      <alignment horizontal="center" vertical="center"/>
    </xf>
    <xf numFmtId="0" fontId="5" fillId="27" borderId="10" xfId="21" applyFont="1" applyFill="1" applyBorder="1" applyAlignment="1">
      <alignment horizontal="center" vertical="center"/>
    </xf>
    <xf numFmtId="0" fontId="5" fillId="27" borderId="46" xfId="21" applyFont="1" applyFill="1" applyBorder="1" applyAlignment="1">
      <alignment horizontal="center" vertical="center"/>
    </xf>
    <xf numFmtId="0" fontId="5" fillId="27" borderId="9" xfId="21" applyFont="1" applyFill="1" applyBorder="1" applyAlignment="1">
      <alignment horizontal="center" vertical="center"/>
    </xf>
    <xf numFmtId="0" fontId="44" fillId="30" borderId="2" xfId="21" quotePrefix="1" applyFont="1" applyFill="1" applyBorder="1" applyAlignment="1">
      <alignment horizontal="right" vertical="center"/>
    </xf>
    <xf numFmtId="0" fontId="44" fillId="30" borderId="2" xfId="21" applyFont="1" applyFill="1" applyBorder="1" applyAlignment="1">
      <alignment horizontal="right" vertical="center"/>
    </xf>
    <xf numFmtId="0" fontId="37" fillId="27" borderId="7" xfId="21" applyFont="1" applyFill="1" applyBorder="1" applyAlignment="1">
      <alignment horizontal="left" vertical="center"/>
    </xf>
    <xf numFmtId="0" fontId="37" fillId="27" borderId="0" xfId="21" applyFont="1" applyFill="1" applyAlignment="1">
      <alignment horizontal="left" vertical="center"/>
    </xf>
    <xf numFmtId="0" fontId="51" fillId="30" borderId="8" xfId="21" applyFont="1" applyFill="1" applyBorder="1" applyAlignment="1">
      <alignment horizontal="center" vertical="center"/>
    </xf>
    <xf numFmtId="0" fontId="51" fillId="30" borderId="7" xfId="21" applyFont="1" applyFill="1" applyBorder="1" applyAlignment="1">
      <alignment horizontal="center" vertical="center"/>
    </xf>
    <xf numFmtId="0" fontId="51" fillId="30" borderId="6" xfId="21" applyFont="1" applyFill="1" applyBorder="1" applyAlignment="1">
      <alignment horizontal="center" vertical="center"/>
    </xf>
    <xf numFmtId="14" fontId="37" fillId="27" borderId="7" xfId="21" applyNumberFormat="1" applyFont="1" applyFill="1" applyBorder="1" applyAlignment="1">
      <alignment horizontal="left" vertical="center"/>
    </xf>
    <xf numFmtId="14" fontId="37" fillId="27" borderId="6" xfId="21" applyNumberFormat="1" applyFont="1" applyFill="1" applyBorder="1" applyAlignment="1">
      <alignment horizontal="left" vertical="center"/>
    </xf>
    <xf numFmtId="0" fontId="37" fillId="27" borderId="2" xfId="21" applyFont="1" applyFill="1" applyBorder="1" applyAlignment="1">
      <alignment horizontal="left" vertical="center"/>
    </xf>
    <xf numFmtId="0" fontId="5" fillId="25" borderId="0" xfId="21" applyFont="1" applyFill="1" applyAlignment="1">
      <alignment horizontal="center" vertical="center"/>
    </xf>
    <xf numFmtId="0" fontId="10" fillId="25" borderId="0" xfId="21" applyFill="1" applyAlignment="1">
      <alignment horizontal="center" vertical="center"/>
    </xf>
    <xf numFmtId="0" fontId="42" fillId="25" borderId="45" xfId="21" applyFont="1" applyFill="1" applyBorder="1" applyAlignment="1" applyProtection="1">
      <alignment horizontal="center" vertical="center"/>
      <protection locked="0"/>
    </xf>
    <xf numFmtId="0" fontId="42" fillId="25" borderId="38" xfId="21" applyFont="1" applyFill="1" applyBorder="1" applyAlignment="1" applyProtection="1">
      <alignment horizontal="center" vertical="center"/>
      <protection locked="0"/>
    </xf>
    <xf numFmtId="0" fontId="42" fillId="25" borderId="34" xfId="21" applyFont="1" applyFill="1" applyBorder="1" applyAlignment="1" applyProtection="1">
      <alignment horizontal="center" vertical="center"/>
      <protection locked="0"/>
    </xf>
    <xf numFmtId="0" fontId="5" fillId="25" borderId="20" xfId="21" applyFont="1" applyFill="1" applyBorder="1" applyAlignment="1">
      <alignment horizontal="center" vertical="center"/>
    </xf>
    <xf numFmtId="0" fontId="49" fillId="25" borderId="0" xfId="21" applyFont="1" applyFill="1" applyAlignment="1" applyProtection="1">
      <alignment horizontal="center" vertical="center"/>
      <protection locked="0"/>
    </xf>
    <xf numFmtId="0" fontId="49" fillId="25" borderId="33" xfId="21" applyFont="1" applyFill="1" applyBorder="1" applyAlignment="1" applyProtection="1">
      <alignment horizontal="center" vertical="center"/>
      <protection locked="0"/>
    </xf>
    <xf numFmtId="0" fontId="42" fillId="25" borderId="40" xfId="21" applyFont="1" applyFill="1" applyBorder="1" applyAlignment="1" applyProtection="1">
      <alignment horizontal="left" vertical="center" wrapText="1"/>
      <protection locked="0"/>
    </xf>
    <xf numFmtId="0" fontId="42" fillId="25" borderId="39" xfId="21" applyFont="1" applyFill="1" applyBorder="1" applyAlignment="1" applyProtection="1">
      <alignment horizontal="left" vertical="center" wrapText="1"/>
      <protection locked="0"/>
    </xf>
    <xf numFmtId="0" fontId="10" fillId="25" borderId="37" xfId="21" applyFill="1" applyBorder="1" applyAlignment="1">
      <alignment horizontal="left" vertical="center"/>
    </xf>
    <xf numFmtId="0" fontId="10" fillId="25" borderId="36" xfId="21" applyFill="1" applyBorder="1" applyAlignment="1">
      <alignment horizontal="left" vertical="center"/>
    </xf>
    <xf numFmtId="0" fontId="10" fillId="25" borderId="35" xfId="21" applyFill="1" applyBorder="1" applyAlignment="1">
      <alignment horizontal="left" vertical="center"/>
    </xf>
    <xf numFmtId="0" fontId="10" fillId="25" borderId="41" xfId="21" applyFill="1" applyBorder="1" applyAlignment="1">
      <alignment horizontal="left" vertical="center"/>
    </xf>
    <xf numFmtId="0" fontId="10" fillId="25" borderId="40" xfId="21" applyFill="1" applyBorder="1" applyAlignment="1">
      <alignment horizontal="left" vertical="center"/>
    </xf>
    <xf numFmtId="0" fontId="10" fillId="25" borderId="39" xfId="21" applyFill="1" applyBorder="1" applyAlignment="1">
      <alignment horizontal="left" vertical="center"/>
    </xf>
    <xf numFmtId="0" fontId="42" fillId="25" borderId="36" xfId="21" applyFont="1" applyFill="1" applyBorder="1" applyAlignment="1" applyProtection="1">
      <alignment horizontal="left" vertical="center" wrapText="1"/>
      <protection locked="0"/>
    </xf>
    <xf numFmtId="0" fontId="42" fillId="25" borderId="35" xfId="21" applyFont="1" applyFill="1" applyBorder="1" applyAlignment="1" applyProtection="1">
      <alignment horizontal="left" vertical="center" wrapText="1"/>
      <protection locked="0"/>
    </xf>
    <xf numFmtId="0" fontId="10" fillId="25" borderId="33" xfId="21" applyFill="1" applyBorder="1" applyAlignment="1">
      <alignment horizontal="left" vertical="center"/>
    </xf>
    <xf numFmtId="14" fontId="49" fillId="25" borderId="0" xfId="21" applyNumberFormat="1" applyFont="1" applyFill="1" applyAlignment="1" applyProtection="1">
      <alignment horizontal="center" vertical="center"/>
      <protection locked="0"/>
    </xf>
    <xf numFmtId="14" fontId="49" fillId="25" borderId="33" xfId="21" applyNumberFormat="1" applyFont="1" applyFill="1" applyBorder="1" applyAlignment="1" applyProtection="1">
      <alignment horizontal="center" vertical="center"/>
      <protection locked="0"/>
    </xf>
    <xf numFmtId="0" fontId="42" fillId="25" borderId="37" xfId="21" applyFont="1" applyFill="1" applyBorder="1" applyAlignment="1" applyProtection="1">
      <alignment horizontal="left" vertical="center"/>
      <protection locked="0"/>
    </xf>
    <xf numFmtId="0" fontId="42" fillId="25" borderId="36" xfId="21" applyFont="1" applyFill="1" applyBorder="1" applyAlignment="1" applyProtection="1">
      <alignment horizontal="left" vertical="center"/>
      <protection locked="0"/>
    </xf>
    <xf numFmtId="0" fontId="42" fillId="25" borderId="70" xfId="21" applyFont="1" applyFill="1" applyBorder="1" applyAlignment="1" applyProtection="1">
      <alignment horizontal="left" vertical="center"/>
      <protection locked="0"/>
    </xf>
    <xf numFmtId="0" fontId="10" fillId="25" borderId="71" xfId="21" applyFill="1" applyBorder="1" applyAlignment="1">
      <alignment horizontal="left" vertical="center"/>
    </xf>
    <xf numFmtId="0" fontId="10" fillId="25" borderId="69" xfId="21" applyFill="1" applyBorder="1" applyAlignment="1">
      <alignment horizontal="left" vertical="center"/>
    </xf>
    <xf numFmtId="0" fontId="10" fillId="25" borderId="67" xfId="21" applyFill="1" applyBorder="1" applyAlignment="1">
      <alignment horizontal="left" vertical="center"/>
    </xf>
    <xf numFmtId="0" fontId="50" fillId="25" borderId="21" xfId="21" applyFont="1" applyFill="1" applyBorder="1" applyAlignment="1" applyProtection="1">
      <alignment horizontal="left" vertical="top" wrapText="1"/>
      <protection locked="0"/>
    </xf>
    <xf numFmtId="0" fontId="50" fillId="25" borderId="20" xfId="21" applyFont="1" applyFill="1" applyBorder="1" applyAlignment="1" applyProtection="1">
      <alignment horizontal="left" vertical="top" wrapText="1"/>
      <protection locked="0"/>
    </xf>
    <xf numFmtId="0" fontId="50" fillId="25" borderId="19" xfId="21" applyFont="1" applyFill="1" applyBorder="1" applyAlignment="1" applyProtection="1">
      <alignment horizontal="left" vertical="top" wrapText="1"/>
      <protection locked="0"/>
    </xf>
    <xf numFmtId="0" fontId="50" fillId="25" borderId="13" xfId="21" applyFont="1" applyFill="1" applyBorder="1" applyAlignment="1" applyProtection="1">
      <alignment horizontal="left" vertical="top" wrapText="1"/>
      <protection locked="0"/>
    </xf>
    <xf numFmtId="0" fontId="50" fillId="25" borderId="0" xfId="21" applyFont="1" applyFill="1" applyAlignment="1" applyProtection="1">
      <alignment horizontal="left" vertical="top" wrapText="1"/>
      <protection locked="0"/>
    </xf>
    <xf numFmtId="0" fontId="50" fillId="25" borderId="14" xfId="21" applyFont="1" applyFill="1" applyBorder="1" applyAlignment="1" applyProtection="1">
      <alignment horizontal="left" vertical="top" wrapText="1"/>
      <protection locked="0"/>
    </xf>
    <xf numFmtId="0" fontId="50" fillId="25" borderId="23" xfId="21" applyFont="1" applyFill="1" applyBorder="1" applyAlignment="1" applyProtection="1">
      <alignment horizontal="left" vertical="top" wrapText="1"/>
      <protection locked="0"/>
    </xf>
    <xf numFmtId="0" fontId="50" fillId="25" borderId="33" xfId="21" applyFont="1" applyFill="1" applyBorder="1" applyAlignment="1" applyProtection="1">
      <alignment horizontal="left" vertical="top" wrapText="1"/>
      <protection locked="0"/>
    </xf>
    <xf numFmtId="0" fontId="50" fillId="25" borderId="22" xfId="21" applyFont="1" applyFill="1" applyBorder="1" applyAlignment="1" applyProtection="1">
      <alignment horizontal="left" vertical="top" wrapText="1"/>
      <protection locked="0"/>
    </xf>
    <xf numFmtId="0" fontId="42" fillId="25" borderId="44" xfId="21" applyFont="1" applyFill="1" applyBorder="1" applyAlignment="1" applyProtection="1">
      <alignment horizontal="left" vertical="center"/>
      <protection locked="0"/>
    </xf>
    <xf numFmtId="0" fontId="42" fillId="25" borderId="43" xfId="21" applyFont="1" applyFill="1" applyBorder="1" applyAlignment="1" applyProtection="1">
      <alignment horizontal="left" vertical="center"/>
      <protection locked="0"/>
    </xf>
    <xf numFmtId="0" fontId="42" fillId="25" borderId="42" xfId="21" applyFont="1" applyFill="1" applyBorder="1" applyAlignment="1" applyProtection="1">
      <alignment horizontal="left" vertical="center"/>
      <protection locked="0"/>
    </xf>
    <xf numFmtId="0" fontId="42" fillId="25" borderId="41" xfId="21" applyFont="1" applyFill="1" applyBorder="1" applyAlignment="1" applyProtection="1">
      <alignment horizontal="left" vertical="center"/>
      <protection locked="0"/>
    </xf>
    <xf numFmtId="0" fontId="42" fillId="25" borderId="40" xfId="21" applyFont="1" applyFill="1" applyBorder="1" applyAlignment="1" applyProtection="1">
      <alignment horizontal="left" vertical="center"/>
      <protection locked="0"/>
    </xf>
    <xf numFmtId="0" fontId="42" fillId="25" borderId="39" xfId="21" applyFont="1" applyFill="1" applyBorder="1" applyAlignment="1" applyProtection="1">
      <alignment horizontal="left" vertical="center"/>
      <protection locked="0"/>
    </xf>
    <xf numFmtId="0" fontId="42" fillId="25" borderId="68" xfId="21" applyFont="1" applyFill="1" applyBorder="1" applyAlignment="1" applyProtection="1">
      <alignment horizontal="left" vertical="center"/>
      <protection locked="0"/>
    </xf>
    <xf numFmtId="0" fontId="42" fillId="25" borderId="67" xfId="21" applyFont="1" applyFill="1" applyBorder="1" applyAlignment="1" applyProtection="1">
      <alignment horizontal="left" vertical="center"/>
      <protection locked="0"/>
    </xf>
    <xf numFmtId="0" fontId="42" fillId="25" borderId="66" xfId="21" applyFont="1" applyFill="1" applyBorder="1" applyAlignment="1" applyProtection="1">
      <alignment horizontal="left" vertical="center"/>
      <protection locked="0"/>
    </xf>
    <xf numFmtId="0" fontId="42" fillId="25" borderId="21" xfId="21" applyFont="1" applyFill="1" applyBorder="1" applyAlignment="1" applyProtection="1">
      <alignment horizontal="left" vertical="top" wrapText="1"/>
      <protection locked="0"/>
    </xf>
    <xf numFmtId="0" fontId="42" fillId="25" borderId="20" xfId="21" applyFont="1" applyFill="1" applyBorder="1" applyAlignment="1" applyProtection="1">
      <alignment horizontal="left" vertical="top" wrapText="1"/>
      <protection locked="0"/>
    </xf>
    <xf numFmtId="0" fontId="42" fillId="25" borderId="19" xfId="21" applyFont="1" applyFill="1" applyBorder="1" applyAlignment="1" applyProtection="1">
      <alignment horizontal="left" vertical="top" wrapText="1"/>
      <protection locked="0"/>
    </xf>
    <xf numFmtId="0" fontId="42" fillId="25" borderId="23" xfId="21" applyFont="1" applyFill="1" applyBorder="1" applyAlignment="1" applyProtection="1">
      <alignment horizontal="left" vertical="top" wrapText="1"/>
      <protection locked="0"/>
    </xf>
    <xf numFmtId="0" fontId="42" fillId="25" borderId="33" xfId="21" applyFont="1" applyFill="1" applyBorder="1" applyAlignment="1" applyProtection="1">
      <alignment horizontal="left" vertical="top" wrapText="1"/>
      <protection locked="0"/>
    </xf>
    <xf numFmtId="0" fontId="42" fillId="25" borderId="22" xfId="21" applyFont="1" applyFill="1" applyBorder="1" applyAlignment="1" applyProtection="1">
      <alignment horizontal="left" vertical="top" wrapText="1"/>
      <protection locked="0"/>
    </xf>
    <xf numFmtId="0" fontId="44" fillId="30" borderId="2" xfId="21" applyFont="1" applyFill="1" applyBorder="1" applyAlignment="1">
      <alignment horizontal="left" vertical="center"/>
    </xf>
    <xf numFmtId="0" fontId="42" fillId="25" borderId="74" xfId="21" applyFont="1" applyFill="1" applyBorder="1" applyAlignment="1" applyProtection="1">
      <alignment horizontal="left" vertical="center"/>
      <protection locked="0"/>
    </xf>
    <xf numFmtId="0" fontId="42" fillId="25" borderId="73" xfId="21" applyFont="1" applyFill="1" applyBorder="1" applyAlignment="1" applyProtection="1">
      <alignment horizontal="left" vertical="center"/>
      <protection locked="0"/>
    </xf>
    <xf numFmtId="0" fontId="42" fillId="25" borderId="72" xfId="21" applyFont="1" applyFill="1" applyBorder="1" applyAlignment="1" applyProtection="1">
      <alignment horizontal="left" vertical="center"/>
      <protection locked="0"/>
    </xf>
    <xf numFmtId="0" fontId="42" fillId="25" borderId="0" xfId="21" applyFont="1" applyFill="1" applyAlignment="1" applyProtection="1">
      <alignment horizontal="center" vertical="center"/>
      <protection locked="0"/>
    </xf>
    <xf numFmtId="0" fontId="42" fillId="25" borderId="33" xfId="21" applyFont="1" applyFill="1" applyBorder="1" applyAlignment="1" applyProtection="1">
      <alignment horizontal="center" vertical="center"/>
      <protection locked="0"/>
    </xf>
    <xf numFmtId="0" fontId="42" fillId="25" borderId="35" xfId="21" applyFont="1" applyFill="1" applyBorder="1" applyAlignment="1" applyProtection="1">
      <alignment horizontal="left" vertical="center"/>
      <protection locked="0"/>
    </xf>
    <xf numFmtId="0" fontId="42" fillId="25" borderId="13" xfId="21" applyFont="1" applyFill="1" applyBorder="1" applyAlignment="1" applyProtection="1">
      <alignment horizontal="left" vertical="top" wrapText="1"/>
      <protection locked="0"/>
    </xf>
    <xf numFmtId="0" fontId="42" fillId="25" borderId="0" xfId="21" applyFont="1" applyFill="1" applyAlignment="1" applyProtection="1">
      <alignment horizontal="left" vertical="top" wrapText="1"/>
      <protection locked="0"/>
    </xf>
    <xf numFmtId="0" fontId="42" fillId="25" borderId="14" xfId="21" applyFont="1" applyFill="1" applyBorder="1" applyAlignment="1" applyProtection="1">
      <alignment horizontal="left" vertical="top" wrapText="1"/>
      <protection locked="0"/>
    </xf>
    <xf numFmtId="0" fontId="42" fillId="25" borderId="43" xfId="21" applyFont="1" applyFill="1" applyBorder="1" applyAlignment="1" applyProtection="1">
      <alignment horizontal="left" vertical="center" wrapText="1"/>
      <protection locked="0"/>
    </xf>
    <xf numFmtId="0" fontId="42" fillId="25" borderId="42" xfId="21" applyFont="1" applyFill="1" applyBorder="1" applyAlignment="1" applyProtection="1">
      <alignment horizontal="left" vertical="center" wrapText="1"/>
      <protection locked="0"/>
    </xf>
    <xf numFmtId="0" fontId="10" fillId="25" borderId="44" xfId="21" applyFill="1" applyBorder="1" applyAlignment="1">
      <alignment horizontal="left" vertical="center"/>
    </xf>
    <xf numFmtId="0" fontId="10" fillId="25" borderId="43" xfId="21" applyFill="1" applyBorder="1" applyAlignment="1">
      <alignment horizontal="left" vertical="center"/>
    </xf>
    <xf numFmtId="0" fontId="10" fillId="25" borderId="42" xfId="21" applyFill="1" applyBorder="1" applyAlignment="1">
      <alignment horizontal="left" vertical="center"/>
    </xf>
    <xf numFmtId="0" fontId="53" fillId="27" borderId="7" xfId="21" applyFont="1" applyFill="1" applyBorder="1" applyAlignment="1">
      <alignment horizontal="left" vertical="center"/>
    </xf>
    <xf numFmtId="0" fontId="53" fillId="27" borderId="2" xfId="21" applyFont="1" applyFill="1" applyBorder="1" applyAlignment="1">
      <alignment horizontal="left" vertical="center"/>
    </xf>
    <xf numFmtId="0" fontId="54" fillId="27" borderId="2" xfId="21" applyFont="1" applyFill="1" applyBorder="1" applyAlignment="1">
      <alignment horizontal="left" vertical="center"/>
    </xf>
    <xf numFmtId="14" fontId="55" fillId="27" borderId="7" xfId="21" applyNumberFormat="1" applyFont="1" applyFill="1" applyBorder="1" applyAlignment="1">
      <alignment horizontal="left" vertical="center"/>
    </xf>
    <xf numFmtId="14" fontId="50" fillId="27" borderId="2" xfId="21" applyNumberFormat="1" applyFont="1" applyFill="1" applyBorder="1" applyAlignment="1" applyProtection="1">
      <alignment horizontal="left" vertical="center"/>
      <protection locked="0"/>
    </xf>
    <xf numFmtId="165" fontId="50" fillId="27" borderId="2" xfId="21" applyNumberFormat="1" applyFont="1" applyFill="1" applyBorder="1" applyAlignment="1">
      <alignment horizontal="left" vertical="center"/>
    </xf>
    <xf numFmtId="0" fontId="55" fillId="27" borderId="7" xfId="21" applyFont="1" applyFill="1" applyBorder="1" applyAlignment="1">
      <alignment horizontal="left" vertical="center"/>
    </xf>
    <xf numFmtId="0" fontId="55" fillId="27" borderId="2" xfId="21" applyFont="1" applyFill="1" applyBorder="1" applyAlignment="1">
      <alignment horizontal="left" vertical="center"/>
    </xf>
    <xf numFmtId="0" fontId="53" fillId="27" borderId="0" xfId="21" applyFont="1" applyFill="1" applyAlignment="1">
      <alignment horizontal="left" vertical="center"/>
    </xf>
    <xf numFmtId="0" fontId="55" fillId="27" borderId="0" xfId="21" applyFont="1" applyFill="1" applyAlignment="1">
      <alignment horizontal="left" vertical="center"/>
    </xf>
    <xf numFmtId="9" fontId="52" fillId="27" borderId="10" xfId="21" applyNumberFormat="1" applyFont="1" applyFill="1" applyBorder="1" applyAlignment="1">
      <alignment horizontal="center" vertical="center"/>
    </xf>
    <xf numFmtId="9" fontId="52" fillId="27" borderId="9" xfId="21" applyNumberFormat="1" applyFont="1" applyFill="1" applyBorder="1" applyAlignment="1">
      <alignment horizontal="center" vertical="center"/>
    </xf>
    <xf numFmtId="0" fontId="52" fillId="27" borderId="10" xfId="21" applyFont="1" applyFill="1" applyBorder="1" applyAlignment="1">
      <alignment horizontal="center" vertical="center"/>
    </xf>
    <xf numFmtId="0" fontId="2" fillId="27" borderId="9" xfId="21" applyFont="1" applyFill="1" applyBorder="1" applyAlignment="1">
      <alignment horizontal="center" vertical="center"/>
    </xf>
    <xf numFmtId="0" fontId="52" fillId="27" borderId="9" xfId="21" applyFont="1" applyFill="1" applyBorder="1" applyAlignment="1">
      <alignment horizontal="center" vertical="center"/>
    </xf>
    <xf numFmtId="0" fontId="52" fillId="27" borderId="46" xfId="21" applyFont="1" applyFill="1" applyBorder="1" applyAlignment="1">
      <alignment horizontal="center" vertical="center"/>
    </xf>
    <xf numFmtId="0" fontId="5" fillId="0" borderId="67" xfId="21" applyFont="1" applyBorder="1" applyAlignment="1" applyProtection="1">
      <alignment horizontal="center" vertical="center"/>
      <protection locked="0"/>
    </xf>
    <xf numFmtId="0" fontId="10" fillId="0" borderId="67" xfId="21" applyBorder="1" applyAlignment="1" applyProtection="1">
      <alignment horizontal="center" vertical="center"/>
      <protection locked="0"/>
    </xf>
    <xf numFmtId="0" fontId="38" fillId="27" borderId="8" xfId="21" applyFont="1" applyFill="1" applyBorder="1" applyAlignment="1" applyProtection="1">
      <alignment horizontal="center" vertical="center" wrapText="1"/>
      <protection locked="0"/>
    </xf>
    <xf numFmtId="0" fontId="38" fillId="27" borderId="7" xfId="21" applyFont="1" applyFill="1" applyBorder="1" applyAlignment="1" applyProtection="1">
      <alignment horizontal="center" vertical="center" wrapText="1"/>
      <protection locked="0"/>
    </xf>
    <xf numFmtId="0" fontId="38" fillId="27" borderId="6" xfId="21" applyFont="1" applyFill="1" applyBorder="1" applyAlignment="1" applyProtection="1">
      <alignment horizontal="center" vertical="center" wrapText="1"/>
      <protection locked="0"/>
    </xf>
    <xf numFmtId="0" fontId="38" fillId="27" borderId="5" xfId="21" applyFont="1" applyFill="1" applyBorder="1" applyAlignment="1" applyProtection="1">
      <alignment horizontal="center" vertical="center" wrapText="1"/>
      <protection locked="0"/>
    </xf>
    <xf numFmtId="0" fontId="38" fillId="27" borderId="0" xfId="21" applyFont="1" applyFill="1" applyAlignment="1" applyProtection="1">
      <alignment horizontal="center" vertical="center" wrapText="1"/>
      <protection locked="0"/>
    </xf>
    <xf numFmtId="0" fontId="38" fillId="27" borderId="4" xfId="21" applyFont="1" applyFill="1" applyBorder="1" applyAlignment="1" applyProtection="1">
      <alignment horizontal="center" vertical="center" wrapText="1"/>
      <protection locked="0"/>
    </xf>
    <xf numFmtId="0" fontId="38" fillId="27" borderId="3" xfId="21" applyFont="1" applyFill="1" applyBorder="1" applyAlignment="1" applyProtection="1">
      <alignment horizontal="center" vertical="center" wrapText="1"/>
      <protection locked="0"/>
    </xf>
    <xf numFmtId="0" fontId="38" fillId="27" borderId="2" xfId="21" applyFont="1" applyFill="1" applyBorder="1" applyAlignment="1" applyProtection="1">
      <alignment horizontal="center" vertical="center" wrapText="1"/>
      <protection locked="0"/>
    </xf>
    <xf numFmtId="0" fontId="38" fillId="27" borderId="1" xfId="21" applyFont="1" applyFill="1" applyBorder="1" applyAlignment="1" applyProtection="1">
      <alignment horizontal="center" vertical="center" wrapText="1"/>
      <protection locked="0"/>
    </xf>
    <xf numFmtId="14" fontId="55" fillId="27" borderId="0" xfId="21" applyNumberFormat="1" applyFont="1" applyFill="1" applyAlignment="1" applyProtection="1">
      <alignment horizontal="left" vertical="center"/>
      <protection locked="0"/>
    </xf>
    <xf numFmtId="0" fontId="53" fillId="27" borderId="8" xfId="21" applyFont="1" applyFill="1" applyBorder="1" applyAlignment="1">
      <alignment horizontal="left" vertical="center"/>
    </xf>
    <xf numFmtId="0" fontId="53" fillId="27" borderId="3" xfId="21" applyFont="1" applyFill="1" applyBorder="1" applyAlignment="1">
      <alignment horizontal="left" vertical="center"/>
    </xf>
    <xf numFmtId="0" fontId="2" fillId="25" borderId="2" xfId="21" applyFont="1" applyFill="1" applyBorder="1" applyAlignment="1">
      <alignment horizontal="center" vertical="center"/>
    </xf>
    <xf numFmtId="0" fontId="56" fillId="25" borderId="2" xfId="21" applyFont="1" applyFill="1" applyBorder="1" applyAlignment="1" applyProtection="1">
      <alignment horizontal="left" vertical="center"/>
      <protection locked="0"/>
    </xf>
    <xf numFmtId="0" fontId="56" fillId="25" borderId="0" xfId="21" applyFont="1" applyFill="1" applyAlignment="1">
      <alignment horizontal="left" vertical="top"/>
    </xf>
    <xf numFmtId="0" fontId="4" fillId="27" borderId="8" xfId="21" applyFont="1" applyFill="1" applyBorder="1" applyAlignment="1">
      <alignment horizontal="center" vertical="center"/>
    </xf>
    <xf numFmtId="0" fontId="4" fillId="27" borderId="7" xfId="21" applyFont="1" applyFill="1" applyBorder="1" applyAlignment="1">
      <alignment horizontal="center" vertical="center"/>
    </xf>
    <xf numFmtId="0" fontId="4" fillId="27" borderId="6" xfId="21" applyFont="1" applyFill="1" applyBorder="1" applyAlignment="1">
      <alignment horizontal="center" vertical="center"/>
    </xf>
    <xf numFmtId="0" fontId="52" fillId="25" borderId="10" xfId="21" applyFont="1" applyFill="1" applyBorder="1" applyAlignment="1">
      <alignment horizontal="left" vertical="center"/>
    </xf>
    <xf numFmtId="0" fontId="10" fillId="25" borderId="46" xfId="21" applyFill="1" applyBorder="1" applyAlignment="1">
      <alignment horizontal="left" vertical="center"/>
    </xf>
    <xf numFmtId="0" fontId="60" fillId="25" borderId="46" xfId="21" applyFont="1" applyFill="1" applyBorder="1" applyAlignment="1" applyProtection="1">
      <alignment horizontal="left" vertical="center"/>
      <protection locked="0"/>
    </xf>
    <xf numFmtId="0" fontId="42" fillId="25" borderId="46" xfId="21" applyFont="1" applyFill="1" applyBorder="1" applyAlignment="1" applyProtection="1">
      <alignment horizontal="left" vertical="center"/>
      <protection locked="0"/>
    </xf>
    <xf numFmtId="0" fontId="42" fillId="25" borderId="9" xfId="21" applyFont="1" applyFill="1" applyBorder="1" applyAlignment="1" applyProtection="1">
      <alignment horizontal="left" vertical="center"/>
      <protection locked="0"/>
    </xf>
    <xf numFmtId="0" fontId="62" fillId="25" borderId="8" xfId="47" applyFont="1" applyFill="1" applyBorder="1" applyAlignment="1" applyProtection="1">
      <alignment horizontal="center" vertical="center" wrapText="1"/>
      <protection locked="0"/>
    </xf>
    <xf numFmtId="0" fontId="62" fillId="25" borderId="7" xfId="47" applyFont="1" applyFill="1" applyBorder="1" applyAlignment="1" applyProtection="1">
      <alignment horizontal="center" vertical="center" wrapText="1"/>
      <protection locked="0"/>
    </xf>
    <xf numFmtId="0" fontId="62" fillId="25" borderId="6" xfId="47" applyFont="1" applyFill="1" applyBorder="1" applyAlignment="1" applyProtection="1">
      <alignment horizontal="center" vertical="center" wrapText="1"/>
      <protection locked="0"/>
    </xf>
    <xf numFmtId="0" fontId="5" fillId="27" borderId="3" xfId="47" applyFont="1" applyFill="1" applyBorder="1" applyAlignment="1">
      <alignment horizontal="center" vertical="center" wrapText="1"/>
    </xf>
    <xf numFmtId="0" fontId="5" fillId="27" borderId="2" xfId="47" applyFont="1" applyFill="1" applyBorder="1" applyAlignment="1">
      <alignment horizontal="center" vertical="center" wrapText="1"/>
    </xf>
    <xf numFmtId="0" fontId="5" fillId="27" borderId="1" xfId="47" applyFont="1" applyFill="1" applyBorder="1" applyAlignment="1">
      <alignment horizontal="center" vertical="center" wrapText="1"/>
    </xf>
    <xf numFmtId="0" fontId="53" fillId="27" borderId="3" xfId="47" applyFont="1" applyFill="1" applyBorder="1" applyAlignment="1">
      <alignment horizontal="center" vertical="center" wrapText="1"/>
    </xf>
    <xf numFmtId="0" fontId="53" fillId="27" borderId="2" xfId="47" applyFont="1" applyFill="1" applyBorder="1" applyAlignment="1">
      <alignment horizontal="center" vertical="center" wrapText="1"/>
    </xf>
    <xf numFmtId="0" fontId="53" fillId="27" borderId="1" xfId="47" applyFont="1" applyFill="1" applyBorder="1" applyAlignment="1">
      <alignment horizontal="center" vertical="center" wrapText="1"/>
    </xf>
    <xf numFmtId="0" fontId="4" fillId="27" borderId="8" xfId="47" applyFont="1" applyFill="1" applyBorder="1" applyAlignment="1">
      <alignment horizontal="center" vertical="center"/>
    </xf>
    <xf numFmtId="0" fontId="4" fillId="27" borderId="7" xfId="47" applyFont="1" applyFill="1" applyBorder="1" applyAlignment="1">
      <alignment horizontal="center" vertical="center"/>
    </xf>
    <xf numFmtId="0" fontId="4" fillId="27" borderId="6" xfId="47" applyFont="1" applyFill="1" applyBorder="1" applyAlignment="1">
      <alignment horizontal="center" vertical="center"/>
    </xf>
    <xf numFmtId="0" fontId="61" fillId="25" borderId="100" xfId="47" applyFont="1" applyFill="1" applyBorder="1" applyAlignment="1" applyProtection="1">
      <alignment horizontal="center" vertical="center" wrapText="1"/>
      <protection locked="0"/>
    </xf>
    <xf numFmtId="0" fontId="61" fillId="25" borderId="99" xfId="47" applyFont="1" applyFill="1" applyBorder="1" applyAlignment="1" applyProtection="1">
      <alignment horizontal="center" vertical="center" wrapText="1"/>
      <protection locked="0"/>
    </xf>
    <xf numFmtId="0" fontId="61" fillId="25" borderId="98" xfId="47" applyFont="1" applyFill="1" applyBorder="1" applyAlignment="1" applyProtection="1">
      <alignment horizontal="center" vertical="center" wrapText="1"/>
      <protection locked="0"/>
    </xf>
    <xf numFmtId="0" fontId="61" fillId="25" borderId="3" xfId="47" applyFont="1" applyFill="1" applyBorder="1" applyAlignment="1" applyProtection="1">
      <alignment horizontal="center" vertical="top" wrapText="1"/>
      <protection locked="0"/>
    </xf>
    <xf numFmtId="0" fontId="61" fillId="25" borderId="2" xfId="47" applyFont="1" applyFill="1" applyBorder="1" applyAlignment="1" applyProtection="1">
      <alignment horizontal="center" vertical="top" wrapText="1"/>
      <protection locked="0"/>
    </xf>
    <xf numFmtId="0" fontId="61" fillId="25" borderId="1" xfId="47" applyFont="1" applyFill="1" applyBorder="1" applyAlignment="1" applyProtection="1">
      <alignment horizontal="center" vertical="top" wrapText="1"/>
      <protection locked="0"/>
    </xf>
    <xf numFmtId="0" fontId="4" fillId="27" borderId="10" xfId="21" applyFont="1" applyFill="1" applyBorder="1" applyAlignment="1">
      <alignment horizontal="center" vertical="center"/>
    </xf>
    <xf numFmtId="0" fontId="4" fillId="27" borderId="46" xfId="21" applyFont="1" applyFill="1" applyBorder="1" applyAlignment="1">
      <alignment horizontal="center" vertical="center"/>
    </xf>
    <xf numFmtId="0" fontId="4" fillId="27" borderId="9" xfId="21" applyFont="1" applyFill="1" applyBorder="1" applyAlignment="1">
      <alignment horizontal="center" vertical="center"/>
    </xf>
    <xf numFmtId="0" fontId="10" fillId="25" borderId="0" xfId="47" applyFont="1" applyFill="1" applyAlignment="1">
      <alignment horizontal="center" vertical="center"/>
    </xf>
    <xf numFmtId="0" fontId="10" fillId="25" borderId="2" xfId="47" applyFont="1" applyFill="1" applyBorder="1" applyAlignment="1">
      <alignment horizontal="center" vertical="center"/>
    </xf>
    <xf numFmtId="0" fontId="42" fillId="25" borderId="7" xfId="47" applyFont="1" applyFill="1" applyBorder="1" applyAlignment="1" applyProtection="1">
      <alignment horizontal="center" vertical="center" wrapText="1"/>
      <protection locked="0"/>
    </xf>
    <xf numFmtId="0" fontId="42" fillId="25" borderId="6" xfId="47" applyFont="1" applyFill="1" applyBorder="1" applyAlignment="1" applyProtection="1">
      <alignment horizontal="center" vertical="center" wrapText="1"/>
      <protection locked="0"/>
    </xf>
    <xf numFmtId="0" fontId="42" fillId="25" borderId="0" xfId="47" applyFont="1" applyFill="1" applyAlignment="1" applyProtection="1">
      <alignment horizontal="center" vertical="center" wrapText="1"/>
      <protection locked="0"/>
    </xf>
    <xf numFmtId="0" fontId="42" fillId="25" borderId="4" xfId="47" applyFont="1" applyFill="1" applyBorder="1" applyAlignment="1" applyProtection="1">
      <alignment horizontal="center" vertical="center" wrapText="1"/>
      <protection locked="0"/>
    </xf>
    <xf numFmtId="0" fontId="35" fillId="25" borderId="2" xfId="21" applyFont="1" applyFill="1" applyBorder="1" applyAlignment="1" applyProtection="1">
      <alignment horizontal="center" vertical="center"/>
      <protection locked="0"/>
    </xf>
    <xf numFmtId="0" fontId="58" fillId="25" borderId="0" xfId="47" applyFont="1" applyFill="1" applyAlignment="1">
      <alignment horizontal="center" vertical="center" wrapText="1"/>
    </xf>
    <xf numFmtId="0" fontId="58" fillId="25" borderId="2" xfId="47" applyFont="1" applyFill="1" applyBorder="1" applyAlignment="1">
      <alignment horizontal="center" vertical="center" wrapText="1"/>
    </xf>
    <xf numFmtId="0" fontId="61" fillId="27" borderId="0" xfId="47" applyFont="1" applyFill="1" applyAlignment="1">
      <alignment horizontal="left" vertical="center"/>
    </xf>
    <xf numFmtId="0" fontId="4" fillId="27" borderId="10" xfId="47" applyFont="1" applyFill="1" applyBorder="1" applyAlignment="1">
      <alignment horizontal="center" vertical="center"/>
    </xf>
    <xf numFmtId="0" fontId="4" fillId="27" borderId="46" xfId="47" applyFont="1" applyFill="1" applyBorder="1" applyAlignment="1">
      <alignment horizontal="center" vertical="center"/>
    </xf>
    <xf numFmtId="0" fontId="4" fillId="27" borderId="9" xfId="47" applyFont="1" applyFill="1" applyBorder="1" applyAlignment="1">
      <alignment horizontal="center" vertical="center"/>
    </xf>
    <xf numFmtId="0" fontId="4" fillId="27" borderId="10" xfId="47" applyFont="1" applyFill="1" applyBorder="1" applyAlignment="1">
      <alignment horizontal="center" vertical="center" wrapText="1"/>
    </xf>
    <xf numFmtId="0" fontId="4" fillId="27" borderId="46" xfId="47" applyFont="1" applyFill="1" applyBorder="1" applyAlignment="1">
      <alignment horizontal="center" vertical="center" wrapText="1"/>
    </xf>
    <xf numFmtId="0" fontId="4" fillId="27" borderId="9" xfId="47" applyFont="1" applyFill="1" applyBorder="1" applyAlignment="1">
      <alignment horizontal="center" vertical="center" wrapText="1"/>
    </xf>
    <xf numFmtId="0" fontId="42" fillId="25" borderId="5" xfId="47" applyFont="1" applyFill="1" applyBorder="1" applyAlignment="1" applyProtection="1">
      <alignment horizontal="left" vertical="center" wrapText="1"/>
      <protection locked="0"/>
    </xf>
    <xf numFmtId="0" fontId="42" fillId="25" borderId="0" xfId="47" applyFont="1" applyFill="1" applyAlignment="1" applyProtection="1">
      <alignment horizontal="left" vertical="center" wrapText="1"/>
      <protection locked="0"/>
    </xf>
    <xf numFmtId="0" fontId="42" fillId="25" borderId="4" xfId="47" applyFont="1" applyFill="1" applyBorder="1" applyAlignment="1" applyProtection="1">
      <alignment horizontal="left" vertical="center" wrapText="1"/>
      <protection locked="0"/>
    </xf>
    <xf numFmtId="14" fontId="61" fillId="27" borderId="0" xfId="47" applyNumberFormat="1" applyFont="1" applyFill="1" applyAlignment="1">
      <alignment horizontal="left" vertical="center"/>
    </xf>
    <xf numFmtId="0" fontId="5" fillId="25" borderId="5" xfId="47" applyFont="1" applyFill="1" applyBorder="1" applyAlignment="1">
      <alignment horizontal="left" vertical="center" wrapText="1"/>
    </xf>
    <xf numFmtId="0" fontId="5" fillId="25" borderId="0" xfId="47" applyFont="1" applyFill="1" applyAlignment="1">
      <alignment horizontal="left" vertical="center" wrapText="1"/>
    </xf>
    <xf numFmtId="0" fontId="48" fillId="25" borderId="0" xfId="47" applyFill="1" applyAlignment="1">
      <alignment horizontal="left" vertical="center" wrapText="1"/>
    </xf>
    <xf numFmtId="0" fontId="5" fillId="27" borderId="5" xfId="21" applyFont="1" applyFill="1" applyBorder="1" applyAlignment="1">
      <alignment horizontal="left" vertical="center"/>
    </xf>
    <xf numFmtId="0" fontId="5" fillId="27" borderId="0" xfId="21" applyFont="1" applyFill="1" applyAlignment="1">
      <alignment horizontal="left" vertical="center"/>
    </xf>
    <xf numFmtId="14" fontId="61" fillId="27" borderId="0" xfId="47" applyNumberFormat="1" applyFont="1" applyFill="1" applyAlignment="1" applyProtection="1">
      <alignment horizontal="left" vertical="center"/>
      <protection locked="0"/>
    </xf>
    <xf numFmtId="0" fontId="65" fillId="27" borderId="0" xfId="21" applyFont="1" applyFill="1" applyAlignment="1">
      <alignment horizontal="left" vertical="center"/>
    </xf>
    <xf numFmtId="0" fontId="5" fillId="27" borderId="0" xfId="47" applyFont="1" applyFill="1" applyAlignment="1">
      <alignment horizontal="center" vertical="center" wrapText="1"/>
    </xf>
    <xf numFmtId="0" fontId="10" fillId="27" borderId="0" xfId="47" applyFont="1" applyFill="1" applyAlignment="1">
      <alignment horizontal="center" vertical="center" wrapText="1"/>
    </xf>
    <xf numFmtId="0" fontId="48" fillId="25" borderId="5" xfId="47" applyFill="1" applyBorder="1" applyAlignment="1">
      <alignment horizontal="left" vertical="top" wrapText="1"/>
    </xf>
    <xf numFmtId="0" fontId="48" fillId="25" borderId="0" xfId="47" applyFill="1" applyAlignment="1">
      <alignment horizontal="left" vertical="top" wrapText="1"/>
    </xf>
    <xf numFmtId="0" fontId="48" fillId="25" borderId="0" xfId="47" applyFill="1" applyAlignment="1">
      <alignment wrapText="1"/>
    </xf>
    <xf numFmtId="0" fontId="4" fillId="27" borderId="8" xfId="47" applyFont="1" applyFill="1" applyBorder="1" applyAlignment="1">
      <alignment horizontal="center" vertical="center" wrapText="1"/>
    </xf>
    <xf numFmtId="0" fontId="4" fillId="27" borderId="7" xfId="47" applyFont="1" applyFill="1" applyBorder="1" applyAlignment="1">
      <alignment horizontal="center" vertical="center" wrapText="1"/>
    </xf>
    <xf numFmtId="0" fontId="4" fillId="27" borderId="6" xfId="47" applyFont="1" applyFill="1" applyBorder="1" applyAlignment="1">
      <alignment horizontal="center" vertical="center" wrapText="1"/>
    </xf>
    <xf numFmtId="0" fontId="4" fillId="27" borderId="3" xfId="47" applyFont="1" applyFill="1" applyBorder="1" applyAlignment="1">
      <alignment horizontal="center" vertical="center" wrapText="1"/>
    </xf>
    <xf numFmtId="0" fontId="4" fillId="27" borderId="2" xfId="47" applyFont="1" applyFill="1" applyBorder="1" applyAlignment="1">
      <alignment horizontal="center" vertical="center" wrapText="1"/>
    </xf>
    <xf numFmtId="0" fontId="4" fillId="27" borderId="1" xfId="47" applyFont="1" applyFill="1" applyBorder="1" applyAlignment="1">
      <alignment horizontal="center" vertical="center" wrapText="1"/>
    </xf>
    <xf numFmtId="0" fontId="5" fillId="25" borderId="8" xfId="47" applyFont="1" applyFill="1" applyBorder="1" applyAlignment="1">
      <alignment horizontal="left" vertical="center" wrapText="1"/>
    </xf>
    <xf numFmtId="0" fontId="48" fillId="25" borderId="7" xfId="47" applyFill="1" applyBorder="1" applyAlignment="1">
      <alignment horizontal="left" vertical="center" wrapText="1"/>
    </xf>
    <xf numFmtId="0" fontId="61" fillId="27" borderId="0" xfId="47" applyFont="1" applyFill="1" applyAlignment="1">
      <alignment horizontal="left"/>
    </xf>
    <xf numFmtId="14" fontId="73" fillId="0" borderId="45" xfId="21" applyNumberFormat="1" applyFont="1" applyBorder="1" applyAlignment="1" applyProtection="1">
      <alignment horizontal="center" vertical="center"/>
      <protection locked="0"/>
    </xf>
    <xf numFmtId="14" fontId="73" fillId="0" borderId="38" xfId="21" applyNumberFormat="1" applyFont="1" applyBorder="1" applyAlignment="1" applyProtection="1">
      <alignment horizontal="center" vertical="center"/>
      <protection locked="0"/>
    </xf>
    <xf numFmtId="0" fontId="73" fillId="0" borderId="38" xfId="21" applyFont="1" applyBorder="1" applyAlignment="1" applyProtection="1">
      <alignment horizontal="center" vertical="center"/>
      <protection locked="0"/>
    </xf>
    <xf numFmtId="0" fontId="39" fillId="25" borderId="33" xfId="21" applyFont="1" applyFill="1" applyBorder="1" applyAlignment="1">
      <alignment horizontal="center" vertical="center"/>
    </xf>
    <xf numFmtId="0" fontId="73" fillId="0" borderId="38" xfId="21" applyFont="1" applyBorder="1" applyAlignment="1" applyProtection="1">
      <alignment horizontal="left" vertical="center"/>
      <protection locked="0"/>
    </xf>
    <xf numFmtId="0" fontId="39" fillId="0" borderId="33" xfId="21" applyFont="1" applyBorder="1" applyAlignment="1">
      <alignment horizontal="left" vertical="center"/>
    </xf>
    <xf numFmtId="14" fontId="73" fillId="0" borderId="34" xfId="21" applyNumberFormat="1" applyFont="1" applyBorder="1" applyAlignment="1" applyProtection="1">
      <alignment horizontal="center" vertical="center"/>
      <protection locked="0"/>
    </xf>
    <xf numFmtId="0" fontId="73" fillId="0" borderId="45" xfId="21" applyFont="1" applyBorder="1" applyAlignment="1" applyProtection="1">
      <alignment horizontal="center" vertical="center"/>
      <protection locked="0"/>
    </xf>
    <xf numFmtId="0" fontId="73" fillId="0" borderId="34" xfId="21" applyFont="1" applyBorder="1" applyAlignment="1" applyProtection="1">
      <alignment horizontal="left" vertical="center"/>
      <protection locked="0"/>
    </xf>
    <xf numFmtId="0" fontId="73" fillId="0" borderId="34" xfId="21" applyFont="1" applyBorder="1" applyAlignment="1" applyProtection="1">
      <alignment horizontal="center" vertical="center"/>
      <protection locked="0"/>
    </xf>
    <xf numFmtId="165" fontId="37" fillId="26" borderId="15" xfId="21" applyNumberFormat="1" applyFont="1" applyFill="1" applyBorder="1" applyAlignment="1" applyProtection="1">
      <alignment horizontal="center" vertical="center"/>
      <protection locked="0"/>
    </xf>
    <xf numFmtId="165" fontId="37" fillId="26" borderId="11" xfId="21" applyNumberFormat="1" applyFont="1" applyFill="1" applyBorder="1" applyAlignment="1" applyProtection="1">
      <alignment horizontal="center" vertical="center"/>
      <protection locked="0"/>
    </xf>
    <xf numFmtId="0" fontId="37" fillId="26" borderId="15" xfId="21" applyFont="1" applyFill="1" applyBorder="1" applyAlignment="1" applyProtection="1">
      <alignment horizontal="center" vertical="center"/>
      <protection locked="0"/>
    </xf>
    <xf numFmtId="0" fontId="37" fillId="26" borderId="12" xfId="21" applyFont="1" applyFill="1" applyBorder="1" applyAlignment="1" applyProtection="1">
      <alignment horizontal="center" vertical="center"/>
      <protection locked="0"/>
    </xf>
    <xf numFmtId="0" fontId="37" fillId="26" borderId="11" xfId="21" applyFont="1" applyFill="1" applyBorder="1" applyAlignment="1" applyProtection="1">
      <alignment horizontal="center" vertical="center"/>
      <protection locked="0"/>
    </xf>
    <xf numFmtId="0" fontId="73" fillId="25" borderId="38" xfId="21" applyFont="1" applyFill="1" applyBorder="1" applyAlignment="1" applyProtection="1">
      <alignment horizontal="left" vertical="center"/>
      <protection locked="0"/>
    </xf>
    <xf numFmtId="0" fontId="73" fillId="25" borderId="38" xfId="21" applyFont="1" applyFill="1" applyBorder="1" applyAlignment="1" applyProtection="1">
      <alignment horizontal="center" vertical="center"/>
      <protection locked="0"/>
    </xf>
    <xf numFmtId="14" fontId="73" fillId="25" borderId="38" xfId="21" applyNumberFormat="1" applyFont="1" applyFill="1" applyBorder="1" applyAlignment="1" applyProtection="1">
      <alignment horizontal="center" vertical="center"/>
      <protection locked="0"/>
    </xf>
    <xf numFmtId="0" fontId="73" fillId="25" borderId="45" xfId="21" applyFont="1" applyFill="1" applyBorder="1" applyAlignment="1" applyProtection="1">
      <alignment horizontal="left" vertical="center"/>
      <protection locked="0"/>
    </xf>
    <xf numFmtId="0" fontId="73" fillId="25" borderId="45" xfId="21" applyFont="1" applyFill="1" applyBorder="1" applyAlignment="1" applyProtection="1">
      <alignment horizontal="center" vertical="center"/>
      <protection locked="0"/>
    </xf>
    <xf numFmtId="14" fontId="73" fillId="25" borderId="45" xfId="21" applyNumberFormat="1" applyFont="1" applyFill="1" applyBorder="1" applyAlignment="1" applyProtection="1">
      <alignment horizontal="center" vertical="center"/>
      <protection locked="0"/>
    </xf>
    <xf numFmtId="0" fontId="37" fillId="25" borderId="21" xfId="21" applyFont="1" applyFill="1" applyBorder="1" applyAlignment="1" applyProtection="1">
      <alignment horizontal="left" vertical="top" wrapText="1"/>
      <protection locked="0"/>
    </xf>
    <xf numFmtId="0" fontId="37" fillId="25" borderId="20" xfId="21" applyFont="1" applyFill="1" applyBorder="1" applyAlignment="1" applyProtection="1">
      <alignment horizontal="left" vertical="top" wrapText="1"/>
      <protection locked="0"/>
    </xf>
    <xf numFmtId="0" fontId="37" fillId="25" borderId="19" xfId="21" applyFont="1" applyFill="1" applyBorder="1" applyAlignment="1" applyProtection="1">
      <alignment horizontal="left" vertical="top" wrapText="1"/>
      <protection locked="0"/>
    </xf>
    <xf numFmtId="0" fontId="37" fillId="25" borderId="23" xfId="21" applyFont="1" applyFill="1" applyBorder="1" applyAlignment="1" applyProtection="1">
      <alignment horizontal="left" vertical="top" wrapText="1"/>
      <protection locked="0"/>
    </xf>
    <xf numFmtId="0" fontId="37" fillId="25" borderId="33" xfId="21" applyFont="1" applyFill="1" applyBorder="1" applyAlignment="1" applyProtection="1">
      <alignment horizontal="left" vertical="top" wrapText="1"/>
      <protection locked="0"/>
    </xf>
    <xf numFmtId="0" fontId="37" fillId="25" borderId="22" xfId="21" applyFont="1" applyFill="1" applyBorder="1" applyAlignment="1" applyProtection="1">
      <alignment horizontal="left" vertical="top" wrapText="1"/>
      <protection locked="0"/>
    </xf>
    <xf numFmtId="0" fontId="37" fillId="25" borderId="13" xfId="21" applyFont="1" applyFill="1" applyBorder="1" applyAlignment="1" applyProtection="1">
      <alignment horizontal="left" vertical="top" wrapText="1"/>
      <protection locked="0"/>
    </xf>
    <xf numFmtId="0" fontId="37" fillId="25" borderId="0" xfId="21" applyFont="1" applyFill="1" applyAlignment="1" applyProtection="1">
      <alignment horizontal="left" vertical="top" wrapText="1"/>
      <protection locked="0"/>
    </xf>
    <xf numFmtId="0" fontId="37" fillId="25" borderId="14" xfId="21" applyFont="1" applyFill="1" applyBorder="1" applyAlignment="1" applyProtection="1">
      <alignment horizontal="left" vertical="top" wrapText="1"/>
      <protection locked="0"/>
    </xf>
    <xf numFmtId="165" fontId="39" fillId="0" borderId="2" xfId="21" applyNumberFormat="1" applyFont="1" applyBorder="1" applyAlignment="1" applyProtection="1">
      <alignment horizontal="center" vertical="center"/>
      <protection locked="0"/>
    </xf>
    <xf numFmtId="0" fontId="44" fillId="33" borderId="8" xfId="21" applyFont="1" applyFill="1" applyBorder="1" applyAlignment="1">
      <alignment horizontal="center" vertical="center"/>
    </xf>
    <xf numFmtId="0" fontId="44" fillId="33" borderId="7" xfId="21" applyFont="1" applyFill="1" applyBorder="1" applyAlignment="1">
      <alignment horizontal="center" vertical="center"/>
    </xf>
    <xf numFmtId="0" fontId="44" fillId="33" borderId="6" xfId="21" applyFont="1" applyFill="1" applyBorder="1" applyAlignment="1">
      <alignment horizontal="center" vertical="center"/>
    </xf>
    <xf numFmtId="0" fontId="73" fillId="0" borderId="45" xfId="21" applyFont="1" applyBorder="1" applyAlignment="1" applyProtection="1">
      <alignment horizontal="left" vertical="center"/>
      <protection locked="0"/>
    </xf>
    <xf numFmtId="14" fontId="73" fillId="25" borderId="34" xfId="21" applyNumberFormat="1" applyFont="1" applyFill="1" applyBorder="1" applyAlignment="1" applyProtection="1">
      <alignment horizontal="center" vertical="center"/>
      <protection locked="0"/>
    </xf>
    <xf numFmtId="0" fontId="73" fillId="25" borderId="34" xfId="21" applyFont="1" applyFill="1" applyBorder="1" applyAlignment="1" applyProtection="1">
      <alignment horizontal="center" vertical="center"/>
      <protection locked="0"/>
    </xf>
    <xf numFmtId="0" fontId="73" fillId="25" borderId="34" xfId="21" applyFont="1" applyFill="1" applyBorder="1" applyAlignment="1" applyProtection="1">
      <alignment horizontal="left" vertical="center"/>
      <protection locked="0"/>
    </xf>
    <xf numFmtId="165" fontId="37" fillId="25" borderId="38" xfId="21" applyNumberFormat="1" applyFont="1" applyFill="1" applyBorder="1" applyAlignment="1" applyProtection="1">
      <alignment horizontal="center" vertical="center"/>
      <protection locked="0"/>
    </xf>
    <xf numFmtId="165" fontId="37" fillId="25" borderId="15" xfId="21" applyNumberFormat="1" applyFont="1" applyFill="1" applyBorder="1" applyAlignment="1" applyProtection="1">
      <alignment horizontal="center" vertical="top" wrapText="1"/>
      <protection locked="0"/>
    </xf>
    <xf numFmtId="165" fontId="37" fillId="25" borderId="12" xfId="21" applyNumberFormat="1" applyFont="1" applyFill="1" applyBorder="1" applyAlignment="1" applyProtection="1">
      <alignment horizontal="center" vertical="top" wrapText="1"/>
      <protection locked="0"/>
    </xf>
    <xf numFmtId="165" fontId="37" fillId="25" borderId="11" xfId="21" applyNumberFormat="1" applyFont="1" applyFill="1" applyBorder="1" applyAlignment="1" applyProtection="1">
      <alignment horizontal="center" vertical="top" wrapText="1"/>
      <protection locked="0"/>
    </xf>
    <xf numFmtId="0" fontId="37" fillId="25" borderId="15" xfId="21" applyFont="1" applyFill="1" applyBorder="1" applyAlignment="1">
      <alignment horizontal="center" vertical="center"/>
    </xf>
    <xf numFmtId="0" fontId="37" fillId="25" borderId="12" xfId="21" applyFont="1" applyFill="1" applyBorder="1" applyAlignment="1">
      <alignment horizontal="center" vertical="center"/>
    </xf>
    <xf numFmtId="0" fontId="37" fillId="25" borderId="11" xfId="21" applyFont="1" applyFill="1" applyBorder="1" applyAlignment="1">
      <alignment horizontal="center" vertical="center"/>
    </xf>
    <xf numFmtId="0" fontId="37" fillId="25" borderId="0" xfId="21" applyFont="1" applyFill="1" applyAlignment="1" applyProtection="1">
      <alignment horizontal="center" vertical="center"/>
      <protection locked="0"/>
    </xf>
    <xf numFmtId="0" fontId="37" fillId="25" borderId="14" xfId="21" applyFont="1" applyFill="1" applyBorder="1" applyAlignment="1" applyProtection="1">
      <alignment horizontal="center" vertical="center"/>
      <protection locked="0"/>
    </xf>
    <xf numFmtId="165" fontId="37" fillId="25" borderId="34" xfId="21" applyNumberFormat="1" applyFont="1" applyFill="1" applyBorder="1" applyAlignment="1" applyProtection="1">
      <alignment horizontal="center" vertical="center"/>
      <protection locked="0"/>
    </xf>
    <xf numFmtId="165" fontId="37" fillId="25" borderId="15" xfId="21" applyNumberFormat="1" applyFont="1" applyFill="1" applyBorder="1" applyAlignment="1" applyProtection="1">
      <alignment horizontal="center" vertical="center"/>
      <protection locked="0"/>
    </xf>
    <xf numFmtId="165" fontId="37" fillId="25" borderId="11" xfId="21" applyNumberFormat="1" applyFont="1" applyFill="1" applyBorder="1" applyAlignment="1" applyProtection="1">
      <alignment horizontal="center" vertical="center"/>
      <protection locked="0"/>
    </xf>
    <xf numFmtId="0" fontId="68" fillId="32" borderId="10" xfId="21" applyFont="1" applyFill="1" applyBorder="1" applyAlignment="1">
      <alignment horizontal="center" vertical="center"/>
    </xf>
    <xf numFmtId="0" fontId="68" fillId="32" borderId="46" xfId="21" applyFont="1" applyFill="1" applyBorder="1" applyAlignment="1">
      <alignment horizontal="center" vertical="center"/>
    </xf>
    <xf numFmtId="0" fontId="68" fillId="32" borderId="9" xfId="21" applyFont="1" applyFill="1" applyBorder="1" applyAlignment="1">
      <alignment horizontal="center" vertical="center"/>
    </xf>
    <xf numFmtId="0" fontId="37" fillId="25" borderId="45" xfId="21" applyFont="1" applyFill="1" applyBorder="1" applyAlignment="1" applyProtection="1">
      <alignment horizontal="center" vertical="center"/>
      <protection locked="0"/>
    </xf>
    <xf numFmtId="165" fontId="37" fillId="25" borderId="45" xfId="21" applyNumberFormat="1" applyFont="1" applyFill="1" applyBorder="1" applyAlignment="1" applyProtection="1">
      <alignment horizontal="center" vertical="center"/>
      <protection locked="0"/>
    </xf>
    <xf numFmtId="0" fontId="15" fillId="0" borderId="15" xfId="1" applyFont="1" applyBorder="1" applyAlignment="1" applyProtection="1">
      <alignment horizontal="center" vertical="center" wrapText="1"/>
      <protection locked="0"/>
    </xf>
    <xf numFmtId="0" fontId="15" fillId="0" borderId="12" xfId="1" applyFont="1" applyBorder="1" applyAlignment="1" applyProtection="1">
      <alignment horizontal="center" vertical="center" wrapText="1"/>
      <protection locked="0"/>
    </xf>
    <xf numFmtId="0" fontId="14" fillId="0" borderId="12" xfId="1" applyFont="1" applyBorder="1" applyAlignment="1" applyProtection="1">
      <alignment horizontal="center" vertical="center" wrapText="1"/>
      <protection locked="0"/>
    </xf>
    <xf numFmtId="0" fontId="14" fillId="0" borderId="11" xfId="1" applyFont="1" applyBorder="1" applyAlignment="1" applyProtection="1">
      <alignment horizontal="center" vertical="center" wrapText="1"/>
      <protection locked="0"/>
    </xf>
    <xf numFmtId="0" fontId="1" fillId="0" borderId="15" xfId="1" applyBorder="1" applyAlignment="1">
      <alignment horizontal="center" vertical="center" wrapText="1"/>
    </xf>
    <xf numFmtId="0" fontId="1" fillId="0" borderId="12" xfId="1" applyBorder="1" applyAlignment="1">
      <alignment horizontal="center" vertical="center" wrapText="1"/>
    </xf>
    <xf numFmtId="0" fontId="1" fillId="0" borderId="11" xfId="1" applyBorder="1" applyAlignment="1">
      <alignment horizontal="center" vertical="center" wrapText="1"/>
    </xf>
    <xf numFmtId="0" fontId="1" fillId="0" borderId="15" xfId="1" applyBorder="1" applyAlignment="1">
      <alignment horizontal="center" vertical="center"/>
    </xf>
    <xf numFmtId="0" fontId="1" fillId="0" borderId="11" xfId="1" applyBorder="1" applyAlignment="1">
      <alignment horizontal="center" vertical="center"/>
    </xf>
    <xf numFmtId="0" fontId="1" fillId="0" borderId="16" xfId="1" applyBorder="1" applyAlignment="1">
      <alignment horizontal="center" vertical="center"/>
    </xf>
    <xf numFmtId="0" fontId="4" fillId="0" borderId="18" xfId="1" applyFont="1" applyBorder="1" applyAlignment="1">
      <alignment horizontal="center" vertical="center"/>
    </xf>
    <xf numFmtId="0" fontId="4" fillId="0" borderId="17" xfId="1" applyFont="1" applyBorder="1" applyAlignment="1">
      <alignment horizontal="center" vertical="center"/>
    </xf>
    <xf numFmtId="0" fontId="1" fillId="0" borderId="16" xfId="1" applyBorder="1" applyAlignment="1">
      <alignment horizontal="center" vertical="center" wrapText="1"/>
    </xf>
    <xf numFmtId="0" fontId="1" fillId="0" borderId="16" xfId="1" applyBorder="1" applyAlignment="1" applyProtection="1">
      <alignment horizontal="center" vertical="center"/>
      <protection locked="0"/>
    </xf>
    <xf numFmtId="0" fontId="8" fillId="0" borderId="21" xfId="1" applyFont="1" applyBorder="1" applyAlignment="1">
      <alignment horizontal="center" vertical="center"/>
    </xf>
    <xf numFmtId="0" fontId="8" fillId="0" borderId="19" xfId="1" applyFont="1" applyBorder="1" applyAlignment="1">
      <alignment horizontal="center" vertical="center"/>
    </xf>
    <xf numFmtId="0" fontId="11" fillId="2" borderId="15" xfId="1" applyFont="1" applyFill="1" applyBorder="1" applyAlignment="1">
      <alignment horizontal="center" vertical="center" wrapText="1"/>
    </xf>
    <xf numFmtId="0" fontId="11" fillId="2" borderId="12" xfId="1" applyFont="1" applyFill="1" applyBorder="1" applyAlignment="1">
      <alignment horizontal="center" vertical="center" wrapText="1"/>
    </xf>
    <xf numFmtId="0" fontId="3" fillId="0" borderId="21" xfId="1" applyFont="1" applyBorder="1" applyAlignment="1">
      <alignment horizontal="center" vertical="center"/>
    </xf>
    <xf numFmtId="0" fontId="3" fillId="0" borderId="20" xfId="1" quotePrefix="1" applyFont="1" applyBorder="1" applyAlignment="1">
      <alignment horizontal="center" vertical="center"/>
    </xf>
    <xf numFmtId="0" fontId="3" fillId="0" borderId="19" xfId="1" quotePrefix="1" applyFont="1" applyBorder="1" applyAlignment="1">
      <alignment horizontal="center" vertical="center"/>
    </xf>
    <xf numFmtId="0" fontId="1" fillId="0" borderId="21" xfId="1" applyBorder="1" applyAlignment="1" applyProtection="1">
      <alignment horizontal="center" vertical="center" wrapText="1"/>
      <protection locked="0"/>
    </xf>
    <xf numFmtId="0" fontId="1" fillId="0" borderId="19" xfId="1" applyBorder="1" applyAlignment="1" applyProtection="1">
      <alignment horizontal="center" vertical="center" wrapText="1"/>
      <protection locked="0"/>
    </xf>
    <xf numFmtId="0" fontId="1" fillId="0" borderId="13" xfId="1" applyBorder="1" applyAlignment="1" applyProtection="1">
      <alignment horizontal="center" vertical="center" wrapText="1"/>
      <protection locked="0"/>
    </xf>
    <xf numFmtId="0" fontId="1" fillId="0" borderId="14" xfId="1" applyBorder="1" applyAlignment="1" applyProtection="1">
      <alignment horizontal="center" vertical="center" wrapText="1"/>
      <protection locked="0"/>
    </xf>
    <xf numFmtId="0" fontId="1" fillId="0" borderId="23" xfId="1" applyBorder="1" applyAlignment="1" applyProtection="1">
      <alignment horizontal="center" vertical="center" wrapText="1"/>
      <protection locked="0"/>
    </xf>
    <xf numFmtId="0" fontId="1" fillId="0" borderId="22" xfId="1" applyBorder="1" applyAlignment="1" applyProtection="1">
      <alignment horizontal="center" vertical="center" wrapText="1"/>
      <protection locked="0"/>
    </xf>
    <xf numFmtId="0" fontId="10" fillId="0" borderId="23" xfId="1" applyFont="1" applyBorder="1" applyAlignment="1">
      <alignment horizontal="center" vertical="center" wrapText="1"/>
    </xf>
    <xf numFmtId="0" fontId="10" fillId="0" borderId="22" xfId="1" applyFont="1" applyBorder="1" applyAlignment="1">
      <alignment horizontal="center" vertical="center" wrapText="1"/>
    </xf>
    <xf numFmtId="0" fontId="10" fillId="0" borderId="21" xfId="1" applyFont="1" applyBorder="1" applyAlignment="1">
      <alignment horizontal="center" vertical="center" wrapText="1"/>
    </xf>
    <xf numFmtId="0" fontId="10" fillId="0" borderId="19" xfId="1" applyFont="1" applyBorder="1" applyAlignment="1">
      <alignment horizontal="center" vertical="center" wrapText="1"/>
    </xf>
    <xf numFmtId="49" fontId="10" fillId="0" borderId="12" xfId="1" applyNumberFormat="1" applyFont="1" applyBorder="1" applyAlignment="1">
      <alignment horizontal="left" vertical="center" wrapText="1"/>
    </xf>
    <xf numFmtId="49" fontId="10" fillId="0" borderId="11" xfId="1" applyNumberFormat="1" applyFont="1" applyBorder="1" applyAlignment="1">
      <alignment horizontal="left" vertical="center" wrapText="1"/>
    </xf>
    <xf numFmtId="0" fontId="10" fillId="0" borderId="13" xfId="1" applyFont="1" applyBorder="1" applyAlignment="1">
      <alignment horizontal="center" vertical="center" wrapText="1"/>
    </xf>
    <xf numFmtId="0" fontId="10" fillId="0" borderId="14" xfId="1" applyFont="1" applyBorder="1" applyAlignment="1">
      <alignment horizontal="center" vertical="center" wrapText="1"/>
    </xf>
    <xf numFmtId="49" fontId="1" fillId="0" borderId="12" xfId="1" applyNumberFormat="1" applyBorder="1" applyAlignment="1">
      <alignment horizontal="left" vertical="center" wrapText="1"/>
    </xf>
    <xf numFmtId="0" fontId="3" fillId="0" borderId="15" xfId="1" applyFont="1" applyBorder="1" applyAlignment="1">
      <alignment horizontal="center" vertical="center"/>
    </xf>
    <xf numFmtId="0" fontId="3" fillId="0" borderId="11" xfId="1" applyFont="1" applyBorder="1" applyAlignment="1">
      <alignment horizontal="center" vertical="center"/>
    </xf>
    <xf numFmtId="0" fontId="3" fillId="0" borderId="20" xfId="1" applyFont="1" applyBorder="1" applyAlignment="1">
      <alignment horizontal="center" vertical="center"/>
    </xf>
    <xf numFmtId="0" fontId="3" fillId="0" borderId="19" xfId="1" applyFont="1" applyBorder="1" applyAlignment="1">
      <alignment horizontal="center" vertical="center"/>
    </xf>
    <xf numFmtId="0" fontId="1" fillId="0" borderId="5" xfId="1" applyBorder="1" applyAlignment="1">
      <alignment horizontal="left" vertical="top"/>
    </xf>
    <xf numFmtId="0" fontId="1" fillId="0" borderId="0" xfId="1" applyAlignment="1">
      <alignment horizontal="left" vertical="top"/>
    </xf>
    <xf numFmtId="0" fontId="1" fillId="0" borderId="4" xfId="1" applyBorder="1" applyAlignment="1">
      <alignment horizontal="left" vertical="top"/>
    </xf>
    <xf numFmtId="0" fontId="1" fillId="0" borderId="3" xfId="1" applyBorder="1" applyAlignment="1">
      <alignment horizontal="left" vertical="top"/>
    </xf>
    <xf numFmtId="0" fontId="1" fillId="0" borderId="2" xfId="1" applyBorder="1" applyAlignment="1">
      <alignment horizontal="left" vertical="top"/>
    </xf>
    <xf numFmtId="0" fontId="1" fillId="0" borderId="1" xfId="1" applyBorder="1" applyAlignment="1">
      <alignment horizontal="left" vertical="top"/>
    </xf>
    <xf numFmtId="164" fontId="4" fillId="0" borderId="10" xfId="1" applyNumberFormat="1" applyFont="1" applyBorder="1" applyAlignment="1">
      <alignment horizontal="center" vertical="center"/>
    </xf>
    <xf numFmtId="0" fontId="3" fillId="0" borderId="9" xfId="1" applyFont="1" applyBorder="1" applyAlignment="1">
      <alignment horizontal="center" vertical="center"/>
    </xf>
    <xf numFmtId="0" fontId="11" fillId="0" borderId="15" xfId="1" applyFont="1" applyBorder="1" applyAlignment="1">
      <alignment horizontal="center" vertical="center" wrapText="1"/>
    </xf>
    <xf numFmtId="0" fontId="11" fillId="0" borderId="12" xfId="1" applyFont="1" applyBorder="1" applyAlignment="1">
      <alignment horizontal="center" vertical="center" wrapText="1"/>
    </xf>
    <xf numFmtId="0" fontId="4" fillId="0" borderId="15" xfId="1" applyFont="1" applyBorder="1" applyAlignment="1">
      <alignment horizontal="center" vertical="center"/>
    </xf>
    <xf numFmtId="0" fontId="4" fillId="0" borderId="11" xfId="1" applyFont="1" applyBorder="1" applyAlignment="1">
      <alignment horizontal="center" vertical="center"/>
    </xf>
  </cellXfs>
  <cellStyles count="50">
    <cellStyle name="20% - 강조색1" xfId="2" xr:uid="{00000000-0005-0000-0000-000000000000}"/>
    <cellStyle name="20% - 강조색2" xfId="3" xr:uid="{00000000-0005-0000-0000-000001000000}"/>
    <cellStyle name="20% - 강조색3" xfId="4" xr:uid="{00000000-0005-0000-0000-000002000000}"/>
    <cellStyle name="20% - 강조색4" xfId="5" xr:uid="{00000000-0005-0000-0000-000003000000}"/>
    <cellStyle name="20% - 강조색5" xfId="6" xr:uid="{00000000-0005-0000-0000-000004000000}"/>
    <cellStyle name="20% - 강조색6" xfId="7" xr:uid="{00000000-0005-0000-0000-000005000000}"/>
    <cellStyle name="40% - 강조색1" xfId="8" xr:uid="{00000000-0005-0000-0000-000006000000}"/>
    <cellStyle name="40% - 강조색2" xfId="9" xr:uid="{00000000-0005-0000-0000-000007000000}"/>
    <cellStyle name="40% - 강조색3" xfId="10" xr:uid="{00000000-0005-0000-0000-000008000000}"/>
    <cellStyle name="40% - 강조색4" xfId="11" xr:uid="{00000000-0005-0000-0000-000009000000}"/>
    <cellStyle name="40% - 강조색5" xfId="12" xr:uid="{00000000-0005-0000-0000-00000A000000}"/>
    <cellStyle name="40% - 강조색6" xfId="13" xr:uid="{00000000-0005-0000-0000-00000B000000}"/>
    <cellStyle name="60% - 강조색1" xfId="14" xr:uid="{00000000-0005-0000-0000-00000C000000}"/>
    <cellStyle name="60% - 강조색2" xfId="15" xr:uid="{00000000-0005-0000-0000-00000D000000}"/>
    <cellStyle name="60% - 강조색3" xfId="16" xr:uid="{00000000-0005-0000-0000-00000E000000}"/>
    <cellStyle name="60% - 강조색4" xfId="17" xr:uid="{00000000-0005-0000-0000-00000F000000}"/>
    <cellStyle name="60% - 강조색5" xfId="18" xr:uid="{00000000-0005-0000-0000-000010000000}"/>
    <cellStyle name="60% - 강조색6" xfId="19" xr:uid="{00000000-0005-0000-0000-000011000000}"/>
    <cellStyle name="Hiperłącze 2" xfId="20" xr:uid="{00000000-0005-0000-0000-000012000000}"/>
    <cellStyle name="Lien hypertexte" xfId="49" builtinId="8"/>
    <cellStyle name="Normal" xfId="0" builtinId="0"/>
    <cellStyle name="Normal_QAMatrix check list" xfId="46" xr:uid="{00000000-0005-0000-0000-000014000000}"/>
    <cellStyle name="Normalny 2" xfId="1" xr:uid="{00000000-0005-0000-0000-000015000000}"/>
    <cellStyle name="Normalny 3" xfId="21" xr:uid="{00000000-0005-0000-0000-000016000000}"/>
    <cellStyle name="Normalny 4" xfId="22" xr:uid="{00000000-0005-0000-0000-000017000000}"/>
    <cellStyle name="Pourcentage" xfId="48" builtinId="5"/>
    <cellStyle name="Standard_Kopie von FM_QU_05_03_V03_LLC 2" xfId="47" xr:uid="{00000000-0005-0000-0000-00001A000000}"/>
    <cellStyle name="강조색1" xfId="23" xr:uid="{00000000-0005-0000-0000-00001B000000}"/>
    <cellStyle name="강조색2" xfId="24" xr:uid="{00000000-0005-0000-0000-00001C000000}"/>
    <cellStyle name="강조색3" xfId="25" xr:uid="{00000000-0005-0000-0000-00001D000000}"/>
    <cellStyle name="강조색4" xfId="26" xr:uid="{00000000-0005-0000-0000-00001E000000}"/>
    <cellStyle name="강조색5" xfId="27" xr:uid="{00000000-0005-0000-0000-00001F000000}"/>
    <cellStyle name="강조색6" xfId="28" xr:uid="{00000000-0005-0000-0000-000020000000}"/>
    <cellStyle name="경고문" xfId="29" xr:uid="{00000000-0005-0000-0000-000021000000}"/>
    <cellStyle name="계산" xfId="30" xr:uid="{00000000-0005-0000-0000-000022000000}"/>
    <cellStyle name="나쁨" xfId="31" xr:uid="{00000000-0005-0000-0000-000023000000}"/>
    <cellStyle name="메모" xfId="32" xr:uid="{00000000-0005-0000-0000-000024000000}"/>
    <cellStyle name="보통" xfId="33" xr:uid="{00000000-0005-0000-0000-000025000000}"/>
    <cellStyle name="설명 텍스트" xfId="34" xr:uid="{00000000-0005-0000-0000-000026000000}"/>
    <cellStyle name="셀 확인" xfId="35" xr:uid="{00000000-0005-0000-0000-000027000000}"/>
    <cellStyle name="연결된 셀" xfId="36" xr:uid="{00000000-0005-0000-0000-000028000000}"/>
    <cellStyle name="요약" xfId="37" xr:uid="{00000000-0005-0000-0000-000029000000}"/>
    <cellStyle name="입력" xfId="38" xr:uid="{00000000-0005-0000-0000-00002A000000}"/>
    <cellStyle name="제목" xfId="39" xr:uid="{00000000-0005-0000-0000-00002B000000}"/>
    <cellStyle name="제목 1" xfId="40" xr:uid="{00000000-0005-0000-0000-00002C000000}"/>
    <cellStyle name="제목 2" xfId="41" xr:uid="{00000000-0005-0000-0000-00002D000000}"/>
    <cellStyle name="제목 3" xfId="42" xr:uid="{00000000-0005-0000-0000-00002E000000}"/>
    <cellStyle name="제목 4" xfId="43" xr:uid="{00000000-0005-0000-0000-00002F000000}"/>
    <cellStyle name="좋음" xfId="44" xr:uid="{00000000-0005-0000-0000-000030000000}"/>
    <cellStyle name="출력" xfId="45" xr:uid="{00000000-0005-0000-0000-000031000000}"/>
  </cellStyles>
  <dxfs count="6">
    <dxf>
      <fill>
        <patternFill>
          <bgColor indexed="10"/>
        </patternFill>
      </fill>
    </dxf>
    <dxf>
      <fill>
        <patternFill>
          <bgColor indexed="11"/>
        </patternFill>
      </fill>
    </dxf>
    <dxf>
      <fill>
        <patternFill>
          <bgColor rgb="FFFFFF00"/>
        </patternFill>
      </fill>
    </dxf>
    <dxf>
      <font>
        <b/>
        <i val="0"/>
        <condense val="0"/>
        <extend val="0"/>
        <color indexed="10"/>
      </font>
    </dxf>
    <dxf>
      <font>
        <b/>
        <i val="0"/>
        <condense val="0"/>
        <extend val="0"/>
        <color indexed="10"/>
      </font>
    </dxf>
    <dxf>
      <font>
        <b/>
        <i val="0"/>
        <condense val="0"/>
        <extend val="0"/>
        <color indexed="1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Radio" firstButton="1" lockText="1" noThreeD="1"/>
</file>

<file path=xl/ctrlProps/ctrlProp10.xml><?xml version="1.0" encoding="utf-8"?>
<formControlPr xmlns="http://schemas.microsoft.com/office/spreadsheetml/2009/9/main" objectType="Radio" checked="Checked"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GBox" noThreeD="1"/>
</file>

<file path=xl/ctrlProps/ctrlProp13.xml><?xml version="1.0" encoding="utf-8"?>
<formControlPr xmlns="http://schemas.microsoft.com/office/spreadsheetml/2009/9/main" objectType="GBox" noThreeD="1"/>
</file>

<file path=xl/ctrlProps/ctrlProp14.xml><?xml version="1.0" encoding="utf-8"?>
<formControlPr xmlns="http://schemas.microsoft.com/office/spreadsheetml/2009/9/main" objectType="GBox" noThreeD="1"/>
</file>

<file path=xl/ctrlProps/ctrlProp15.xml><?xml version="1.0" encoding="utf-8"?>
<formControlPr xmlns="http://schemas.microsoft.com/office/spreadsheetml/2009/9/main" objectType="GBox" noThreeD="1"/>
</file>

<file path=xl/ctrlProps/ctrlProp16.xml><?xml version="1.0" encoding="utf-8"?>
<formControlPr xmlns="http://schemas.microsoft.com/office/spreadsheetml/2009/9/main" objectType="GBox" noThreeD="1"/>
</file>

<file path=xl/ctrlProps/ctrlProp17.xml><?xml version="1.0" encoding="utf-8"?>
<formControlPr xmlns="http://schemas.microsoft.com/office/spreadsheetml/2009/9/main" objectType="GBox" noThreeD="1"/>
</file>

<file path=xl/ctrlProps/ctrlProp18.xml><?xml version="1.0" encoding="utf-8"?>
<formControlPr xmlns="http://schemas.microsoft.com/office/spreadsheetml/2009/9/main" objectType="GBox" noThreeD="1"/>
</file>

<file path=xl/ctrlProps/ctrlProp19.xml><?xml version="1.0" encoding="utf-8"?>
<formControlPr xmlns="http://schemas.microsoft.com/office/spreadsheetml/2009/9/main" objectType="GBox" noThreeD="1"/>
</file>

<file path=xl/ctrlProps/ctrlProp20.xml><?xml version="1.0" encoding="utf-8"?>
<formControlPr xmlns="http://schemas.microsoft.com/office/spreadsheetml/2009/9/main" objectType="GBox" noThreeD="1"/>
</file>

<file path=xl/ctrlProps/ctrlProp21.xml><?xml version="1.0" encoding="utf-8"?>
<formControlPr xmlns="http://schemas.microsoft.com/office/spreadsheetml/2009/9/main" objectType="GBox" noThreeD="1"/>
</file>

<file path=xl/ctrlProps/ctrlProp22.xml><?xml version="1.0" encoding="utf-8"?>
<formControlPr xmlns="http://schemas.microsoft.com/office/spreadsheetml/2009/9/main" objectType="GBox" noThreeD="1"/>
</file>

<file path=xl/ctrlProps/ctrlProp23.xml><?xml version="1.0" encoding="utf-8"?>
<formControlPr xmlns="http://schemas.microsoft.com/office/spreadsheetml/2009/9/main" objectType="GBox" noThreeD="1"/>
</file>

<file path=xl/ctrlProps/ctrlProp24.xml><?xml version="1.0" encoding="utf-8"?>
<formControlPr xmlns="http://schemas.microsoft.com/office/spreadsheetml/2009/9/main" objectType="GBox" noThreeD="1"/>
</file>

<file path=xl/ctrlProps/ctrlProp25.xml><?xml version="1.0" encoding="utf-8"?>
<formControlPr xmlns="http://schemas.microsoft.com/office/spreadsheetml/2009/9/main" objectType="Radio" firstButton="1" lockText="1" noThreeD="1"/>
</file>

<file path=xl/ctrlProps/ctrlProp26.xml><?xml version="1.0" encoding="utf-8"?>
<formControlPr xmlns="http://schemas.microsoft.com/office/spreadsheetml/2009/9/main" objectType="Radio" checked="Checked" lockText="1" noThreeD="1"/>
</file>

<file path=xl/ctrlProps/ctrlProp27.xml><?xml version="1.0" encoding="utf-8"?>
<formControlPr xmlns="http://schemas.microsoft.com/office/spreadsheetml/2009/9/main" objectType="Radio" lockText="1" noThreeD="1"/>
</file>

<file path=xl/ctrlProps/ctrlProp28.xml><?xml version="1.0" encoding="utf-8"?>
<formControlPr xmlns="http://schemas.microsoft.com/office/spreadsheetml/2009/9/main" objectType="Radio" firstButton="1" lockText="1" noThreeD="1"/>
</file>

<file path=xl/ctrlProps/ctrlProp29.xml><?xml version="1.0" encoding="utf-8"?>
<formControlPr xmlns="http://schemas.microsoft.com/office/spreadsheetml/2009/9/main" objectType="Radio" checked="Checked" lockText="1" noThreeD="1"/>
</file>

<file path=xl/ctrlProps/ctrlProp30.xml><?xml version="1.0" encoding="utf-8"?>
<formControlPr xmlns="http://schemas.microsoft.com/office/spreadsheetml/2009/9/main" objectType="Radio" lockText="1" noThreeD="1"/>
</file>

<file path=xl/ctrlProps/ctrlProp31.xml><?xml version="1.0" encoding="utf-8"?>
<formControlPr xmlns="http://schemas.microsoft.com/office/spreadsheetml/2009/9/main" objectType="Radio" firstButton="1" lockText="1" noThreeD="1"/>
</file>

<file path=xl/ctrlProps/ctrlProp32.xml><?xml version="1.0" encoding="utf-8"?>
<formControlPr xmlns="http://schemas.microsoft.com/office/spreadsheetml/2009/9/main" objectType="Radio" checked="Checked" lockText="1" noThreeD="1"/>
</file>

<file path=xl/ctrlProps/ctrlProp33.xml><?xml version="1.0" encoding="utf-8"?>
<formControlPr xmlns="http://schemas.microsoft.com/office/spreadsheetml/2009/9/main" objectType="Radio" lockText="1" noThreeD="1"/>
</file>

<file path=xl/ctrlProps/ctrlProp34.xml><?xml version="1.0" encoding="utf-8"?>
<formControlPr xmlns="http://schemas.microsoft.com/office/spreadsheetml/2009/9/main" objectType="Radio" firstButton="1" lockText="1" noThreeD="1"/>
</file>

<file path=xl/ctrlProps/ctrlProp35.xml><?xml version="1.0" encoding="utf-8"?>
<formControlPr xmlns="http://schemas.microsoft.com/office/spreadsheetml/2009/9/main" objectType="Radio" checked="Checked" lockText="1" noThreeD="1"/>
</file>

<file path=xl/ctrlProps/ctrlProp36.xml><?xml version="1.0" encoding="utf-8"?>
<formControlPr xmlns="http://schemas.microsoft.com/office/spreadsheetml/2009/9/main" objectType="Radio" lockText="1" noThreeD="1"/>
</file>

<file path=xl/ctrlProps/ctrlProp37.xml><?xml version="1.0" encoding="utf-8"?>
<formControlPr xmlns="http://schemas.microsoft.com/office/spreadsheetml/2009/9/main" objectType="Radio" firstButton="1" lockText="1" noThreeD="1"/>
</file>

<file path=xl/ctrlProps/ctrlProp38.xml><?xml version="1.0" encoding="utf-8"?>
<formControlPr xmlns="http://schemas.microsoft.com/office/spreadsheetml/2009/9/main" objectType="Radio" checked="Checked" lockText="1" noThreeD="1"/>
</file>

<file path=xl/ctrlProps/ctrlProp39.xml><?xml version="1.0" encoding="utf-8"?>
<formControlPr xmlns="http://schemas.microsoft.com/office/spreadsheetml/2009/9/main" objectType="Radio" lockText="1" noThreeD="1"/>
</file>

<file path=xl/ctrlProps/ctrlProp40.xml><?xml version="1.0" encoding="utf-8"?>
<formControlPr xmlns="http://schemas.microsoft.com/office/spreadsheetml/2009/9/main" objectType="Radio" firstButton="1" lockText="1" noThreeD="1"/>
</file>

<file path=xl/ctrlProps/ctrlProp41.xml><?xml version="1.0" encoding="utf-8"?>
<formControlPr xmlns="http://schemas.microsoft.com/office/spreadsheetml/2009/9/main" objectType="Radio" checked="Checked" lockText="1" noThreeD="1"/>
</file>

<file path=xl/ctrlProps/ctrlProp42.xml><?xml version="1.0" encoding="utf-8"?>
<formControlPr xmlns="http://schemas.microsoft.com/office/spreadsheetml/2009/9/main" objectType="Radio" lockText="1" noThreeD="1"/>
</file>

<file path=xl/ctrlProps/ctrlProp43.xml><?xml version="1.0" encoding="utf-8"?>
<formControlPr xmlns="http://schemas.microsoft.com/office/spreadsheetml/2009/9/main" objectType="Radio" firstButton="1" lockText="1" noThreeD="1"/>
</file>

<file path=xl/ctrlProps/ctrlProp44.xml><?xml version="1.0" encoding="utf-8"?>
<formControlPr xmlns="http://schemas.microsoft.com/office/spreadsheetml/2009/9/main" objectType="Radio" checked="Checked" lockText="1" noThreeD="1"/>
</file>

<file path=xl/ctrlProps/ctrlProp45.xml><?xml version="1.0" encoding="utf-8"?>
<formControlPr xmlns="http://schemas.microsoft.com/office/spreadsheetml/2009/9/main" objectType="Radio" lockText="1" noThreeD="1"/>
</file>

<file path=xl/ctrlProps/ctrlProp46.xml><?xml version="1.0" encoding="utf-8"?>
<formControlPr xmlns="http://schemas.microsoft.com/office/spreadsheetml/2009/9/main" objectType="Radio" firstButton="1" lockText="1" noThreeD="1"/>
</file>

<file path=xl/ctrlProps/ctrlProp47.xml><?xml version="1.0" encoding="utf-8"?>
<formControlPr xmlns="http://schemas.microsoft.com/office/spreadsheetml/2009/9/main" objectType="Radio" checked="Checked" lockText="1" noThreeD="1"/>
</file>

<file path=xl/ctrlProps/ctrlProp48.xml><?xml version="1.0" encoding="utf-8"?>
<formControlPr xmlns="http://schemas.microsoft.com/office/spreadsheetml/2009/9/main" objectType="Radio" lockText="1" noThreeD="1"/>
</file>

<file path=xl/ctrlProps/ctrlProp49.xml><?xml version="1.0" encoding="utf-8"?>
<formControlPr xmlns="http://schemas.microsoft.com/office/spreadsheetml/2009/9/main" objectType="Radio" firstButton="1" lockText="1" noThreeD="1"/>
</file>

<file path=xl/ctrlProps/ctrlProp50.xml><?xml version="1.0" encoding="utf-8"?>
<formControlPr xmlns="http://schemas.microsoft.com/office/spreadsheetml/2009/9/main" objectType="Radio" checked="Checked" lockText="1" noThreeD="1"/>
</file>

<file path=xl/ctrlProps/ctrlProp51.xml><?xml version="1.0" encoding="utf-8"?>
<formControlPr xmlns="http://schemas.microsoft.com/office/spreadsheetml/2009/9/main" objectType="Radio" lockText="1" noThreeD="1"/>
</file>

<file path=xl/ctrlProps/ctrlProp52.xml><?xml version="1.0" encoding="utf-8"?>
<formControlPr xmlns="http://schemas.microsoft.com/office/spreadsheetml/2009/9/main" objectType="Radio" firstButton="1" lockText="1" noThreeD="1"/>
</file>

<file path=xl/ctrlProps/ctrlProp53.xml><?xml version="1.0" encoding="utf-8"?>
<formControlPr xmlns="http://schemas.microsoft.com/office/spreadsheetml/2009/9/main" objectType="Radio" checked="Checked" lockText="1" noThreeD="1"/>
</file>

<file path=xl/ctrlProps/ctrlProp54.xml><?xml version="1.0" encoding="utf-8"?>
<formControlPr xmlns="http://schemas.microsoft.com/office/spreadsheetml/2009/9/main" objectType="Radio" lockText="1" noThreeD="1"/>
</file>

<file path=xl/ctrlProps/ctrlProp55.xml><?xml version="1.0" encoding="utf-8"?>
<formControlPr xmlns="http://schemas.microsoft.com/office/spreadsheetml/2009/9/main" objectType="Radio" firstButton="1" lockText="1" noThreeD="1"/>
</file>

<file path=xl/ctrlProps/ctrlProp56.xml><?xml version="1.0" encoding="utf-8"?>
<formControlPr xmlns="http://schemas.microsoft.com/office/spreadsheetml/2009/9/main" objectType="Radio" checked="Checked" lockText="1" noThreeD="1"/>
</file>

<file path=xl/ctrlProps/ctrlProp57.xml><?xml version="1.0" encoding="utf-8"?>
<formControlPr xmlns="http://schemas.microsoft.com/office/spreadsheetml/2009/9/main" objectType="Radio" lockText="1" noThreeD="1"/>
</file>

<file path=xl/ctrlProps/ctrlProp58.xml><?xml version="1.0" encoding="utf-8"?>
<formControlPr xmlns="http://schemas.microsoft.com/office/spreadsheetml/2009/9/main" objectType="Radio" firstButton="1" lockText="1" noThreeD="1"/>
</file>

<file path=xl/ctrlProps/ctrlProp59.xml><?xml version="1.0" encoding="utf-8"?>
<formControlPr xmlns="http://schemas.microsoft.com/office/spreadsheetml/2009/9/main" objectType="Radio" checked="Checked" lockText="1" noThreeD="1"/>
</file>

<file path=xl/ctrlProps/ctrlProp60.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1" Type="http://schemas.openxmlformats.org/officeDocument/2006/relationships/image" Target="../media/image1.jpeg"/></Relationships>
</file>

<file path=xl/drawings/_rels/drawing7.xml.rels><?xml version="1.0" encoding="UTF-8" standalone="yes"?>
<Relationships xmlns="http://schemas.openxmlformats.org/package/2006/relationships"><Relationship Id="rId1" Type="http://schemas.openxmlformats.org/officeDocument/2006/relationships/image" Target="../media/image1.jpeg"/></Relationships>
</file>

<file path=xl/drawings/_rels/drawing8.xml.rels><?xml version="1.0" encoding="UTF-8" standalone="yes"?>
<Relationships xmlns="http://schemas.openxmlformats.org/package/2006/relationships"><Relationship Id="rId1" Type="http://schemas.openxmlformats.org/officeDocument/2006/relationships/image" Target="../media/image4.jpeg"/></Relationships>
</file>

<file path=xl/drawings/drawing1.xml><?xml version="1.0" encoding="utf-8"?>
<xdr:wsDr xmlns:xdr="http://schemas.openxmlformats.org/drawingml/2006/spreadsheetDrawing" xmlns:a="http://schemas.openxmlformats.org/drawingml/2006/main">
  <xdr:twoCellAnchor editAs="oneCell">
    <xdr:from>
      <xdr:col>0</xdr:col>
      <xdr:colOff>47625</xdr:colOff>
      <xdr:row>0</xdr:row>
      <xdr:rowOff>57150</xdr:rowOff>
    </xdr:from>
    <xdr:to>
      <xdr:col>5</xdr:col>
      <xdr:colOff>247650</xdr:colOff>
      <xdr:row>2</xdr:row>
      <xdr:rowOff>57150</xdr:rowOff>
    </xdr:to>
    <xdr:pic>
      <xdr:nvPicPr>
        <xdr:cNvPr id="2" name="Picture 52" descr="Logo_Nidec_300dpi">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25" y="57150"/>
          <a:ext cx="1628775"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57525</xdr:colOff>
      <xdr:row>22</xdr:row>
      <xdr:rowOff>24849</xdr:rowOff>
    </xdr:from>
    <xdr:to>
      <xdr:col>8</xdr:col>
      <xdr:colOff>281609</xdr:colOff>
      <xdr:row>29</xdr:row>
      <xdr:rowOff>139436</xdr:rowOff>
    </xdr:to>
    <xdr:pic>
      <xdr:nvPicPr>
        <xdr:cNvPr id="4" name="Imagen 3">
          <a:extLst>
            <a:ext uri="{FF2B5EF4-FFF2-40B4-BE49-F238E27FC236}">
              <a16:creationId xmlns:a16="http://schemas.microsoft.com/office/drawing/2014/main" id="{6F95A30D-647B-6413-64F5-453D28702079}"/>
            </a:ext>
          </a:extLst>
        </xdr:cNvPr>
        <xdr:cNvPicPr>
          <a:picLocks noChangeAspect="1"/>
        </xdr:cNvPicPr>
      </xdr:nvPicPr>
      <xdr:blipFill>
        <a:blip xmlns:r="http://schemas.openxmlformats.org/officeDocument/2006/relationships" r:embed="rId2"/>
        <a:stretch>
          <a:fillRect/>
        </a:stretch>
      </xdr:blipFill>
      <xdr:spPr>
        <a:xfrm>
          <a:off x="1026590" y="3271632"/>
          <a:ext cx="1383649" cy="1274152"/>
        </a:xfrm>
        <a:prstGeom prst="rect">
          <a:avLst/>
        </a:prstGeom>
      </xdr:spPr>
    </xdr:pic>
    <xdr:clientData/>
  </xdr:twoCellAnchor>
  <xdr:twoCellAnchor editAs="oneCell">
    <xdr:from>
      <xdr:col>25</xdr:col>
      <xdr:colOff>53340</xdr:colOff>
      <xdr:row>55</xdr:row>
      <xdr:rowOff>53340</xdr:rowOff>
    </xdr:from>
    <xdr:to>
      <xdr:col>35</xdr:col>
      <xdr:colOff>196650</xdr:colOff>
      <xdr:row>81</xdr:row>
      <xdr:rowOff>473</xdr:rowOff>
    </xdr:to>
    <xdr:pic>
      <xdr:nvPicPr>
        <xdr:cNvPr id="3" name="Image 2">
          <a:extLst>
            <a:ext uri="{FF2B5EF4-FFF2-40B4-BE49-F238E27FC236}">
              <a16:creationId xmlns:a16="http://schemas.microsoft.com/office/drawing/2014/main" id="{E55681F8-57A5-F87A-0AB4-20882E2B1F7B}"/>
            </a:ext>
          </a:extLst>
        </xdr:cNvPr>
        <xdr:cNvPicPr>
          <a:picLocks noChangeAspect="1"/>
        </xdr:cNvPicPr>
      </xdr:nvPicPr>
      <xdr:blipFill>
        <a:blip xmlns:r="http://schemas.openxmlformats.org/officeDocument/2006/relationships" r:embed="rId3"/>
        <a:stretch>
          <a:fillRect/>
        </a:stretch>
      </xdr:blipFill>
      <xdr:spPr>
        <a:xfrm>
          <a:off x="7551420" y="7696200"/>
          <a:ext cx="3115110" cy="339137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47625</xdr:colOff>
      <xdr:row>0</xdr:row>
      <xdr:rowOff>57150</xdr:rowOff>
    </xdr:from>
    <xdr:to>
      <xdr:col>5</xdr:col>
      <xdr:colOff>247650</xdr:colOff>
      <xdr:row>2</xdr:row>
      <xdr:rowOff>57150</xdr:rowOff>
    </xdr:to>
    <xdr:pic>
      <xdr:nvPicPr>
        <xdr:cNvPr id="2" name="Picture 10" descr="Logo_Nidec_300dpi">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25" y="57150"/>
          <a:ext cx="1628775"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85725</xdr:colOff>
      <xdr:row>21</xdr:row>
      <xdr:rowOff>0</xdr:rowOff>
    </xdr:from>
    <xdr:to>
      <xdr:col>18</xdr:col>
      <xdr:colOff>9525</xdr:colOff>
      <xdr:row>21</xdr:row>
      <xdr:rowOff>0</xdr:rowOff>
    </xdr:to>
    <xdr:sp macro="" textlink="">
      <xdr:nvSpPr>
        <xdr:cNvPr id="2" name="Line 1">
          <a:extLst>
            <a:ext uri="{FF2B5EF4-FFF2-40B4-BE49-F238E27FC236}">
              <a16:creationId xmlns:a16="http://schemas.microsoft.com/office/drawing/2014/main" id="{00000000-0008-0000-0200-000002000000}"/>
            </a:ext>
          </a:extLst>
        </xdr:cNvPr>
        <xdr:cNvSpPr>
          <a:spLocks noChangeShapeType="1"/>
        </xdr:cNvSpPr>
      </xdr:nvSpPr>
      <xdr:spPr bwMode="auto">
        <a:xfrm>
          <a:off x="695325" y="3429000"/>
          <a:ext cx="10287000" cy="0"/>
        </a:xfrm>
        <a:prstGeom prst="line">
          <a:avLst/>
        </a:prstGeom>
        <a:noFill/>
        <a:ln w="19050">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13</xdr:col>
      <xdr:colOff>457200</xdr:colOff>
      <xdr:row>21</xdr:row>
      <xdr:rowOff>0</xdr:rowOff>
    </xdr:from>
    <xdr:to>
      <xdr:col>17</xdr:col>
      <xdr:colOff>209550</xdr:colOff>
      <xdr:row>36</xdr:row>
      <xdr:rowOff>0</xdr:rowOff>
    </xdr:to>
    <xdr:sp macro="" textlink="">
      <xdr:nvSpPr>
        <xdr:cNvPr id="3" name="Line 2">
          <a:extLst>
            <a:ext uri="{FF2B5EF4-FFF2-40B4-BE49-F238E27FC236}">
              <a16:creationId xmlns:a16="http://schemas.microsoft.com/office/drawing/2014/main" id="{00000000-0008-0000-0200-000003000000}"/>
            </a:ext>
          </a:extLst>
        </xdr:cNvPr>
        <xdr:cNvSpPr>
          <a:spLocks noChangeShapeType="1"/>
        </xdr:cNvSpPr>
      </xdr:nvSpPr>
      <xdr:spPr bwMode="auto">
        <a:xfrm flipV="1">
          <a:off x="8382000" y="3429000"/>
          <a:ext cx="2190750" cy="242887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xdr:col>
      <xdr:colOff>428625</xdr:colOff>
      <xdr:row>21</xdr:row>
      <xdr:rowOff>0</xdr:rowOff>
    </xdr:from>
    <xdr:to>
      <xdr:col>6</xdr:col>
      <xdr:colOff>171450</xdr:colOff>
      <xdr:row>36</xdr:row>
      <xdr:rowOff>0</xdr:rowOff>
    </xdr:to>
    <xdr:sp macro="" textlink="">
      <xdr:nvSpPr>
        <xdr:cNvPr id="4" name="Line 3">
          <a:extLst>
            <a:ext uri="{FF2B5EF4-FFF2-40B4-BE49-F238E27FC236}">
              <a16:creationId xmlns:a16="http://schemas.microsoft.com/office/drawing/2014/main" id="{00000000-0008-0000-0200-000004000000}"/>
            </a:ext>
          </a:extLst>
        </xdr:cNvPr>
        <xdr:cNvSpPr>
          <a:spLocks noChangeShapeType="1"/>
        </xdr:cNvSpPr>
      </xdr:nvSpPr>
      <xdr:spPr bwMode="auto">
        <a:xfrm flipV="1">
          <a:off x="1647825" y="3429000"/>
          <a:ext cx="2181225" cy="242887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8</xdr:col>
      <xdr:colOff>9525</xdr:colOff>
      <xdr:row>20</xdr:row>
      <xdr:rowOff>190500</xdr:rowOff>
    </xdr:from>
    <xdr:to>
      <xdr:col>11</xdr:col>
      <xdr:colOff>257175</xdr:colOff>
      <xdr:row>35</xdr:row>
      <xdr:rowOff>190500</xdr:rowOff>
    </xdr:to>
    <xdr:sp macro="" textlink="">
      <xdr:nvSpPr>
        <xdr:cNvPr id="5" name="Line 4">
          <a:extLst>
            <a:ext uri="{FF2B5EF4-FFF2-40B4-BE49-F238E27FC236}">
              <a16:creationId xmlns:a16="http://schemas.microsoft.com/office/drawing/2014/main" id="{00000000-0008-0000-0200-000005000000}"/>
            </a:ext>
          </a:extLst>
        </xdr:cNvPr>
        <xdr:cNvSpPr>
          <a:spLocks noChangeShapeType="1"/>
        </xdr:cNvSpPr>
      </xdr:nvSpPr>
      <xdr:spPr bwMode="auto">
        <a:xfrm flipV="1">
          <a:off x="4886325" y="3429000"/>
          <a:ext cx="2076450" cy="242887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13</xdr:col>
      <xdr:colOff>238125</xdr:colOff>
      <xdr:row>6</xdr:row>
      <xdr:rowOff>0</xdr:rowOff>
    </xdr:from>
    <xdr:to>
      <xdr:col>16</xdr:col>
      <xdr:colOff>485775</xdr:colOff>
      <xdr:row>21</xdr:row>
      <xdr:rowOff>0</xdr:rowOff>
    </xdr:to>
    <xdr:sp macro="" textlink="">
      <xdr:nvSpPr>
        <xdr:cNvPr id="6" name="Line 5">
          <a:extLst>
            <a:ext uri="{FF2B5EF4-FFF2-40B4-BE49-F238E27FC236}">
              <a16:creationId xmlns:a16="http://schemas.microsoft.com/office/drawing/2014/main" id="{00000000-0008-0000-0200-000006000000}"/>
            </a:ext>
          </a:extLst>
        </xdr:cNvPr>
        <xdr:cNvSpPr>
          <a:spLocks noChangeShapeType="1"/>
        </xdr:cNvSpPr>
      </xdr:nvSpPr>
      <xdr:spPr bwMode="auto">
        <a:xfrm>
          <a:off x="8162925" y="1000125"/>
          <a:ext cx="2076450" cy="242887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xdr:col>
      <xdr:colOff>228600</xdr:colOff>
      <xdr:row>6</xdr:row>
      <xdr:rowOff>9525</xdr:rowOff>
    </xdr:from>
    <xdr:to>
      <xdr:col>5</xdr:col>
      <xdr:colOff>466725</xdr:colOff>
      <xdr:row>21</xdr:row>
      <xdr:rowOff>9525</xdr:rowOff>
    </xdr:to>
    <xdr:sp macro="" textlink="">
      <xdr:nvSpPr>
        <xdr:cNvPr id="7" name="Line 6">
          <a:extLst>
            <a:ext uri="{FF2B5EF4-FFF2-40B4-BE49-F238E27FC236}">
              <a16:creationId xmlns:a16="http://schemas.microsoft.com/office/drawing/2014/main" id="{00000000-0008-0000-0200-000007000000}"/>
            </a:ext>
          </a:extLst>
        </xdr:cNvPr>
        <xdr:cNvSpPr>
          <a:spLocks noChangeShapeType="1"/>
        </xdr:cNvSpPr>
      </xdr:nvSpPr>
      <xdr:spPr bwMode="auto">
        <a:xfrm>
          <a:off x="1447800" y="1009650"/>
          <a:ext cx="2066925" cy="242887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7</xdr:col>
      <xdr:colOff>295275</xdr:colOff>
      <xdr:row>6</xdr:row>
      <xdr:rowOff>9525</xdr:rowOff>
    </xdr:from>
    <xdr:to>
      <xdr:col>11</xdr:col>
      <xdr:colOff>47625</xdr:colOff>
      <xdr:row>21</xdr:row>
      <xdr:rowOff>9525</xdr:rowOff>
    </xdr:to>
    <xdr:sp macro="" textlink="">
      <xdr:nvSpPr>
        <xdr:cNvPr id="8" name="Line 7">
          <a:extLst>
            <a:ext uri="{FF2B5EF4-FFF2-40B4-BE49-F238E27FC236}">
              <a16:creationId xmlns:a16="http://schemas.microsoft.com/office/drawing/2014/main" id="{00000000-0008-0000-0200-000008000000}"/>
            </a:ext>
          </a:extLst>
        </xdr:cNvPr>
        <xdr:cNvSpPr>
          <a:spLocks noChangeShapeType="1"/>
        </xdr:cNvSpPr>
      </xdr:nvSpPr>
      <xdr:spPr bwMode="auto">
        <a:xfrm>
          <a:off x="4562475" y="1009650"/>
          <a:ext cx="2190750" cy="242887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editAs="oneCell">
    <xdr:from>
      <xdr:col>1</xdr:col>
      <xdr:colOff>47625</xdr:colOff>
      <xdr:row>0</xdr:row>
      <xdr:rowOff>57150</xdr:rowOff>
    </xdr:from>
    <xdr:to>
      <xdr:col>3</xdr:col>
      <xdr:colOff>485775</xdr:colOff>
      <xdr:row>0</xdr:row>
      <xdr:rowOff>371475</xdr:rowOff>
    </xdr:to>
    <xdr:pic>
      <xdr:nvPicPr>
        <xdr:cNvPr id="9" name="Picture 9" descr="Logo_Nidec_300dpi">
          <a:extLst>
            <a:ext uri="{FF2B5EF4-FFF2-40B4-BE49-F238E27FC236}">
              <a16:creationId xmlns:a16="http://schemas.microsoft.com/office/drawing/2014/main" id="{00000000-0008-0000-02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57225" y="57150"/>
          <a:ext cx="1657350"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152400</xdr:colOff>
      <xdr:row>0</xdr:row>
      <xdr:rowOff>76200</xdr:rowOff>
    </xdr:from>
    <xdr:to>
      <xdr:col>1</xdr:col>
      <xdr:colOff>1162050</xdr:colOff>
      <xdr:row>0</xdr:row>
      <xdr:rowOff>390525</xdr:rowOff>
    </xdr:to>
    <xdr:pic>
      <xdr:nvPicPr>
        <xdr:cNvPr id="2" name="Picture 31" descr="Logo_Nidec_300dpi">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400" y="76200"/>
          <a:ext cx="1066800"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85725</xdr:colOff>
      <xdr:row>5</xdr:row>
      <xdr:rowOff>18459450</xdr:rowOff>
    </xdr:from>
    <xdr:to>
      <xdr:col>11</xdr:col>
      <xdr:colOff>85725</xdr:colOff>
      <xdr:row>6</xdr:row>
      <xdr:rowOff>285750</xdr:rowOff>
    </xdr:to>
    <xdr:sp macro="" textlink="">
      <xdr:nvSpPr>
        <xdr:cNvPr id="2" name="AutoShape 1">
          <a:extLst>
            <a:ext uri="{FF2B5EF4-FFF2-40B4-BE49-F238E27FC236}">
              <a16:creationId xmlns:a16="http://schemas.microsoft.com/office/drawing/2014/main" id="{00000000-0008-0000-0400-000002000000}"/>
            </a:ext>
          </a:extLst>
        </xdr:cNvPr>
        <xdr:cNvSpPr>
          <a:spLocks noChangeArrowheads="1"/>
        </xdr:cNvSpPr>
      </xdr:nvSpPr>
      <xdr:spPr bwMode="auto">
        <a:xfrm>
          <a:off x="85725" y="971550"/>
          <a:ext cx="6705600" cy="161925"/>
        </a:xfrm>
        <a:prstGeom prst="rightArrow">
          <a:avLst>
            <a:gd name="adj1" fmla="val 67565"/>
            <a:gd name="adj2" fmla="val 306897"/>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161925</xdr:colOff>
      <xdr:row>0</xdr:row>
      <xdr:rowOff>66675</xdr:rowOff>
    </xdr:from>
    <xdr:to>
      <xdr:col>1</xdr:col>
      <xdr:colOff>1171575</xdr:colOff>
      <xdr:row>0</xdr:row>
      <xdr:rowOff>381000</xdr:rowOff>
    </xdr:to>
    <xdr:pic>
      <xdr:nvPicPr>
        <xdr:cNvPr id="3" name="Picture 12" descr="Logo_Nidec_300dpi">
          <a:extLst>
            <a:ext uri="{FF2B5EF4-FFF2-40B4-BE49-F238E27FC236}">
              <a16:creationId xmlns:a16="http://schemas.microsoft.com/office/drawing/2014/main" id="{00000000-0008-0000-04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1925" y="66675"/>
          <a:ext cx="1057275" cy="95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340995</xdr:colOff>
      <xdr:row>26</xdr:row>
      <xdr:rowOff>619125</xdr:rowOff>
    </xdr:from>
    <xdr:to>
      <xdr:col>1</xdr:col>
      <xdr:colOff>537239</xdr:colOff>
      <xdr:row>26</xdr:row>
      <xdr:rowOff>1819275</xdr:rowOff>
    </xdr:to>
    <xdr:sp macro="" textlink="">
      <xdr:nvSpPr>
        <xdr:cNvPr id="2" name="AutoShape 8">
          <a:extLst>
            <a:ext uri="{FF2B5EF4-FFF2-40B4-BE49-F238E27FC236}">
              <a16:creationId xmlns:a16="http://schemas.microsoft.com/office/drawing/2014/main" id="{00000000-0008-0000-0500-000002000000}"/>
            </a:ext>
          </a:extLst>
        </xdr:cNvPr>
        <xdr:cNvSpPr>
          <a:spLocks noChangeArrowheads="1"/>
        </xdr:cNvSpPr>
      </xdr:nvSpPr>
      <xdr:spPr bwMode="auto">
        <a:xfrm>
          <a:off x="340995" y="4972050"/>
          <a:ext cx="996344" cy="0"/>
        </a:xfrm>
        <a:prstGeom prst="can">
          <a:avLst>
            <a:gd name="adj" fmla="val 30583"/>
          </a:avLst>
        </a:prstGeom>
        <a:solidFill>
          <a:srgbClr val="FFFFFF"/>
        </a:solidFill>
        <a:ln w="57150">
          <a:solidFill>
            <a:srgbClr val="FF0000"/>
          </a:solidFill>
          <a:round/>
          <a:headEnd/>
          <a:tailEnd/>
        </a:ln>
      </xdr:spPr>
      <xdr:txBody>
        <a:bodyPr vertOverflow="clip" wrap="square" lIns="27432" tIns="22860" rIns="27432" bIns="0" anchor="t" upright="1"/>
        <a:lstStyle/>
        <a:p>
          <a:pPr algn="ctr" rtl="0">
            <a:defRPr sz="1000"/>
          </a:pPr>
          <a:r>
            <a:rPr lang="en-US" sz="1100" b="0" i="0" strike="noStrike">
              <a:solidFill>
                <a:srgbClr val="000000"/>
              </a:solidFill>
              <a:latin typeface="Arial"/>
              <a:cs typeface="Arial"/>
            </a:rPr>
            <a:t>Bad part</a:t>
          </a:r>
        </a:p>
      </xdr:txBody>
    </xdr:sp>
    <xdr:clientData/>
  </xdr:twoCellAnchor>
  <xdr:twoCellAnchor>
    <xdr:from>
      <xdr:col>3</xdr:col>
      <xdr:colOff>150495</xdr:colOff>
      <xdr:row>26</xdr:row>
      <xdr:rowOff>952500</xdr:rowOff>
    </xdr:from>
    <xdr:to>
      <xdr:col>5</xdr:col>
      <xdr:colOff>689562</xdr:colOff>
      <xdr:row>26</xdr:row>
      <xdr:rowOff>3046100</xdr:rowOff>
    </xdr:to>
    <xdr:sp macro="" textlink="">
      <xdr:nvSpPr>
        <xdr:cNvPr id="3" name="AutoShape 9">
          <a:extLst>
            <a:ext uri="{FF2B5EF4-FFF2-40B4-BE49-F238E27FC236}">
              <a16:creationId xmlns:a16="http://schemas.microsoft.com/office/drawing/2014/main" id="{00000000-0008-0000-0500-000003000000}"/>
            </a:ext>
          </a:extLst>
        </xdr:cNvPr>
        <xdr:cNvSpPr>
          <a:spLocks noChangeArrowheads="1"/>
        </xdr:cNvSpPr>
      </xdr:nvSpPr>
      <xdr:spPr bwMode="auto">
        <a:xfrm>
          <a:off x="2550795" y="4972050"/>
          <a:ext cx="2139267" cy="0"/>
        </a:xfrm>
        <a:prstGeom prst="wedgeRoundRectCallout">
          <a:avLst>
            <a:gd name="adj1" fmla="val -25148"/>
            <a:gd name="adj2" fmla="val -73032"/>
            <a:gd name="adj3" fmla="val 16667"/>
          </a:avLst>
        </a:prstGeom>
        <a:noFill/>
        <a:ln w="28575" algn="ctr">
          <a:solidFill>
            <a:srgbClr val="6F9BAF"/>
          </a:solidFill>
          <a:miter lim="800000"/>
          <a:headEnd/>
          <a:tailEnd/>
        </a:ln>
        <a:effectLst/>
      </xdr:spPr>
      <xdr:txBody>
        <a:bodyPr vertOverflow="clip" wrap="square" lIns="90000" tIns="46800" rIns="90000" bIns="46800" anchor="t" upright="1"/>
        <a:lstStyle/>
        <a:p>
          <a:pPr algn="l" rtl="0">
            <a:defRPr sz="1000"/>
          </a:pPr>
          <a:r>
            <a:rPr lang="en-US" sz="900" b="0" i="0" strike="noStrike">
              <a:solidFill>
                <a:srgbClr val="969696"/>
              </a:solidFill>
              <a:latin typeface="Arial"/>
              <a:cs typeface="Arial"/>
            </a:rPr>
            <a:t>Situation </a:t>
          </a:r>
          <a:r>
            <a:rPr lang="en-US" sz="900" b="0" i="0" strike="noStrike">
              <a:solidFill>
                <a:srgbClr val="FF0000"/>
              </a:solidFill>
              <a:latin typeface="Arial"/>
              <a:cs typeface="Arial"/>
            </a:rPr>
            <a:t>prior</a:t>
          </a:r>
          <a:r>
            <a:rPr lang="en-US" sz="900" b="0" i="0" strike="noStrike">
              <a:solidFill>
                <a:srgbClr val="969696"/>
              </a:solidFill>
              <a:latin typeface="Arial"/>
              <a:cs typeface="Arial"/>
            </a:rPr>
            <a:t> to countermeasures application</a:t>
          </a:r>
        </a:p>
        <a:p>
          <a:pPr algn="l" rtl="0">
            <a:defRPr sz="1000"/>
          </a:pPr>
          <a:r>
            <a:rPr lang="en-US" sz="900" b="0" i="0" strike="noStrike">
              <a:solidFill>
                <a:srgbClr val="969696"/>
              </a:solidFill>
              <a:latin typeface="Arial"/>
              <a:cs typeface="Arial"/>
            </a:rPr>
            <a:t>Process:</a:t>
          </a:r>
        </a:p>
        <a:p>
          <a:pPr algn="l" rtl="0">
            <a:defRPr sz="1000"/>
          </a:pPr>
          <a:r>
            <a:rPr lang="en-US" sz="900" b="0" i="0" strike="noStrike">
              <a:solidFill>
                <a:srgbClr val="969696"/>
              </a:solidFill>
              <a:latin typeface="Arial"/>
              <a:cs typeface="Arial"/>
            </a:rPr>
            <a:t>Photographs of machine, control device </a:t>
          </a:r>
        </a:p>
        <a:p>
          <a:pPr algn="l" rtl="0">
            <a:defRPr sz="1000"/>
          </a:pPr>
          <a:endParaRPr lang="en-US" sz="900" b="0" i="0" strike="noStrike">
            <a:solidFill>
              <a:srgbClr val="969696"/>
            </a:solidFill>
            <a:latin typeface="Arial"/>
            <a:cs typeface="Arial"/>
          </a:endParaRPr>
        </a:p>
        <a:p>
          <a:pPr algn="l" rtl="0">
            <a:defRPr sz="1000"/>
          </a:pPr>
          <a:r>
            <a:rPr lang="en-US" sz="900" b="0" i="0" strike="noStrike">
              <a:solidFill>
                <a:srgbClr val="969696"/>
              </a:solidFill>
              <a:latin typeface="Arial"/>
              <a:cs typeface="Arial"/>
            </a:rPr>
            <a:t>Method:</a:t>
          </a:r>
        </a:p>
        <a:p>
          <a:pPr algn="l" rtl="0">
            <a:defRPr sz="1000"/>
          </a:pPr>
          <a:r>
            <a:rPr lang="en-US" sz="900" b="0" i="0" strike="noStrike">
              <a:solidFill>
                <a:srgbClr val="969696"/>
              </a:solidFill>
              <a:latin typeface="Arial"/>
              <a:cs typeface="Arial"/>
            </a:rPr>
            <a:t>    Flow chart</a:t>
          </a:r>
        </a:p>
        <a:p>
          <a:pPr algn="l" rtl="0">
            <a:defRPr sz="1000"/>
          </a:pPr>
          <a:r>
            <a:rPr lang="en-US" sz="900" b="0" i="0" strike="noStrike">
              <a:solidFill>
                <a:srgbClr val="969696"/>
              </a:solidFill>
              <a:latin typeface="Arial"/>
              <a:cs typeface="Arial"/>
            </a:rPr>
            <a:t>   Test method - conditions</a:t>
          </a:r>
        </a:p>
        <a:p>
          <a:pPr algn="l" rtl="0">
            <a:defRPr sz="1000"/>
          </a:pPr>
          <a:r>
            <a:rPr lang="en-US" sz="900" b="0" i="0" strike="noStrike">
              <a:solidFill>
                <a:srgbClr val="969696"/>
              </a:solidFill>
              <a:latin typeface="Arial"/>
              <a:cs typeface="Arial"/>
            </a:rPr>
            <a:t>Product:</a:t>
          </a:r>
        </a:p>
        <a:p>
          <a:pPr algn="l" rtl="0">
            <a:defRPr sz="1000"/>
          </a:pPr>
          <a:r>
            <a:rPr lang="en-US" sz="900" b="0" i="0" strike="noStrike">
              <a:solidFill>
                <a:srgbClr val="969696"/>
              </a:solidFill>
              <a:latin typeface="Arial"/>
              <a:cs typeface="Arial"/>
            </a:rPr>
            <a:t>     Component design</a:t>
          </a:r>
        </a:p>
        <a:p>
          <a:pPr algn="l" rtl="0">
            <a:defRPr sz="1000"/>
          </a:pPr>
          <a:endParaRPr lang="en-US" sz="900" b="0" i="0" strike="noStrike">
            <a:solidFill>
              <a:srgbClr val="969696"/>
            </a:solidFill>
            <a:latin typeface="Arial"/>
            <a:cs typeface="Arial"/>
          </a:endParaRPr>
        </a:p>
      </xdr:txBody>
    </xdr:sp>
    <xdr:clientData/>
  </xdr:twoCellAnchor>
  <xdr:twoCellAnchor>
    <xdr:from>
      <xdr:col>9</xdr:col>
      <xdr:colOff>245745</xdr:colOff>
      <xdr:row>26</xdr:row>
      <xdr:rowOff>952500</xdr:rowOff>
    </xdr:from>
    <xdr:to>
      <xdr:col>11</xdr:col>
      <xdr:colOff>605762</xdr:colOff>
      <xdr:row>26</xdr:row>
      <xdr:rowOff>2779405</xdr:rowOff>
    </xdr:to>
    <xdr:sp macro="" textlink="">
      <xdr:nvSpPr>
        <xdr:cNvPr id="4" name="AutoShape 10">
          <a:extLst>
            <a:ext uri="{FF2B5EF4-FFF2-40B4-BE49-F238E27FC236}">
              <a16:creationId xmlns:a16="http://schemas.microsoft.com/office/drawing/2014/main" id="{00000000-0008-0000-0500-000004000000}"/>
            </a:ext>
          </a:extLst>
        </xdr:cNvPr>
        <xdr:cNvSpPr>
          <a:spLocks noChangeArrowheads="1"/>
        </xdr:cNvSpPr>
      </xdr:nvSpPr>
      <xdr:spPr bwMode="auto">
        <a:xfrm>
          <a:off x="7446645" y="4972050"/>
          <a:ext cx="1960217" cy="0"/>
        </a:xfrm>
        <a:prstGeom prst="wedgeRoundRectCallout">
          <a:avLst>
            <a:gd name="adj1" fmla="val -28065"/>
            <a:gd name="adj2" fmla="val -72222"/>
            <a:gd name="adj3" fmla="val 16667"/>
          </a:avLst>
        </a:prstGeom>
        <a:noFill/>
        <a:ln w="28575" algn="ctr">
          <a:solidFill>
            <a:srgbClr val="6F9BAF"/>
          </a:solidFill>
          <a:miter lim="800000"/>
          <a:headEnd/>
          <a:tailEnd/>
        </a:ln>
        <a:effectLst/>
      </xdr:spPr>
      <xdr:txBody>
        <a:bodyPr vertOverflow="clip" wrap="square" lIns="90000" tIns="46800" rIns="90000" bIns="46800" anchor="t" upright="1"/>
        <a:lstStyle/>
        <a:p>
          <a:pPr algn="l" rtl="0">
            <a:defRPr sz="1000"/>
          </a:pPr>
          <a:r>
            <a:rPr lang="en-US" sz="900" b="0" i="0" strike="noStrike">
              <a:solidFill>
                <a:srgbClr val="969696"/>
              </a:solidFill>
              <a:latin typeface="Arial"/>
              <a:cs typeface="Arial"/>
            </a:rPr>
            <a:t>Situation </a:t>
          </a:r>
          <a:r>
            <a:rPr lang="en-US" sz="900" b="0" i="0" strike="noStrike">
              <a:solidFill>
                <a:srgbClr val="008000"/>
              </a:solidFill>
              <a:latin typeface="Arial"/>
              <a:cs typeface="Arial"/>
            </a:rPr>
            <a:t>after</a:t>
          </a:r>
          <a:r>
            <a:rPr lang="en-US" sz="900" b="0" i="0" strike="noStrike">
              <a:solidFill>
                <a:srgbClr val="969696"/>
              </a:solidFill>
              <a:latin typeface="Arial"/>
              <a:cs typeface="Arial"/>
            </a:rPr>
            <a:t> countermeasures application</a:t>
          </a:r>
        </a:p>
        <a:p>
          <a:pPr algn="l" rtl="0">
            <a:defRPr sz="1000"/>
          </a:pPr>
          <a:r>
            <a:rPr lang="en-US" sz="900" b="0" i="0" strike="noStrike">
              <a:solidFill>
                <a:srgbClr val="969696"/>
              </a:solidFill>
              <a:latin typeface="Arial"/>
              <a:cs typeface="Arial"/>
            </a:rPr>
            <a:t>Process:</a:t>
          </a:r>
        </a:p>
        <a:p>
          <a:pPr algn="l" rtl="0">
            <a:defRPr sz="1000"/>
          </a:pPr>
          <a:r>
            <a:rPr lang="en-US" sz="900" b="0" i="0" strike="noStrike">
              <a:solidFill>
                <a:srgbClr val="969696"/>
              </a:solidFill>
              <a:latin typeface="Arial"/>
              <a:cs typeface="Arial"/>
            </a:rPr>
            <a:t>Photographs of machine, control device </a:t>
          </a:r>
        </a:p>
        <a:p>
          <a:pPr algn="l" rtl="0">
            <a:defRPr sz="1000"/>
          </a:pPr>
          <a:r>
            <a:rPr lang="en-US" sz="900" b="0" i="0" strike="noStrike">
              <a:solidFill>
                <a:srgbClr val="969696"/>
              </a:solidFill>
              <a:latin typeface="Arial"/>
              <a:cs typeface="Arial"/>
            </a:rPr>
            <a:t>Method:</a:t>
          </a:r>
        </a:p>
        <a:p>
          <a:pPr algn="l" rtl="0">
            <a:defRPr sz="1000"/>
          </a:pPr>
          <a:r>
            <a:rPr lang="en-US" sz="900" b="0" i="0" strike="noStrike">
              <a:solidFill>
                <a:srgbClr val="969696"/>
              </a:solidFill>
              <a:latin typeface="Arial"/>
              <a:cs typeface="Arial"/>
            </a:rPr>
            <a:t>     Flow chart</a:t>
          </a:r>
        </a:p>
        <a:p>
          <a:pPr algn="l" rtl="0">
            <a:defRPr sz="1000"/>
          </a:pPr>
          <a:r>
            <a:rPr lang="en-US" sz="900" b="0" i="0" strike="noStrike">
              <a:solidFill>
                <a:srgbClr val="969696"/>
              </a:solidFill>
              <a:latin typeface="Arial"/>
              <a:cs typeface="Arial"/>
            </a:rPr>
            <a:t>     Test method - conditions</a:t>
          </a:r>
        </a:p>
        <a:p>
          <a:pPr algn="l" rtl="0">
            <a:defRPr sz="1000"/>
          </a:pPr>
          <a:r>
            <a:rPr lang="en-US" sz="900" b="0" i="0" strike="noStrike">
              <a:solidFill>
                <a:srgbClr val="969696"/>
              </a:solidFill>
              <a:latin typeface="Arial"/>
              <a:cs typeface="Arial"/>
            </a:rPr>
            <a:t>Product:</a:t>
          </a:r>
        </a:p>
        <a:p>
          <a:pPr algn="l" rtl="0">
            <a:defRPr sz="1000"/>
          </a:pPr>
          <a:r>
            <a:rPr lang="en-US" sz="900" b="0" i="0" strike="noStrike">
              <a:solidFill>
                <a:srgbClr val="969696"/>
              </a:solidFill>
              <a:latin typeface="Arial"/>
              <a:cs typeface="Arial"/>
            </a:rPr>
            <a:t>      Component design</a:t>
          </a:r>
        </a:p>
        <a:p>
          <a:pPr algn="l" rtl="0">
            <a:defRPr sz="1000"/>
          </a:pPr>
          <a:endParaRPr lang="en-US" sz="900" b="0" i="0" strike="noStrike">
            <a:solidFill>
              <a:srgbClr val="969696"/>
            </a:solidFill>
            <a:latin typeface="Arial"/>
            <a:cs typeface="Arial"/>
          </a:endParaRPr>
        </a:p>
      </xdr:txBody>
    </xdr:sp>
    <xdr:clientData/>
  </xdr:twoCellAnchor>
  <xdr:twoCellAnchor>
    <xdr:from>
      <xdr:col>6</xdr:col>
      <xdr:colOff>624840</xdr:colOff>
      <xdr:row>26</xdr:row>
      <xdr:rowOff>504825</xdr:rowOff>
    </xdr:from>
    <xdr:to>
      <xdr:col>7</xdr:col>
      <xdr:colOff>746791</xdr:colOff>
      <xdr:row>26</xdr:row>
      <xdr:rowOff>1724025</xdr:rowOff>
    </xdr:to>
    <xdr:sp macro="" textlink="">
      <xdr:nvSpPr>
        <xdr:cNvPr id="5" name="AutoShape 12">
          <a:extLst>
            <a:ext uri="{FF2B5EF4-FFF2-40B4-BE49-F238E27FC236}">
              <a16:creationId xmlns:a16="http://schemas.microsoft.com/office/drawing/2014/main" id="{00000000-0008-0000-0500-000005000000}"/>
            </a:ext>
          </a:extLst>
        </xdr:cNvPr>
        <xdr:cNvSpPr>
          <a:spLocks noChangeArrowheads="1"/>
        </xdr:cNvSpPr>
      </xdr:nvSpPr>
      <xdr:spPr bwMode="auto">
        <a:xfrm>
          <a:off x="5425440" y="4972050"/>
          <a:ext cx="922051" cy="0"/>
        </a:xfrm>
        <a:prstGeom prst="can">
          <a:avLst>
            <a:gd name="adj" fmla="val 33333"/>
          </a:avLst>
        </a:prstGeom>
        <a:solidFill>
          <a:srgbClr val="FFFFFF"/>
        </a:solidFill>
        <a:ln w="57150">
          <a:solidFill>
            <a:srgbClr val="99CC00"/>
          </a:solidFill>
          <a:round/>
          <a:headEnd/>
          <a:tailEnd/>
        </a:ln>
      </xdr:spPr>
      <xdr:txBody>
        <a:bodyPr vertOverflow="clip" wrap="square" lIns="27432" tIns="22860" rIns="27432" bIns="0" anchor="t" upright="1"/>
        <a:lstStyle/>
        <a:p>
          <a:pPr algn="ctr" rtl="0">
            <a:defRPr sz="1000"/>
          </a:pPr>
          <a:r>
            <a:rPr lang="en-US" sz="1100" b="0" i="0" strike="noStrike">
              <a:solidFill>
                <a:srgbClr val="000000"/>
              </a:solidFill>
              <a:latin typeface="Arial"/>
              <a:cs typeface="Arial"/>
            </a:rPr>
            <a:t>Good part</a:t>
          </a:r>
        </a:p>
      </xdr:txBody>
    </xdr:sp>
    <xdr:clientData/>
  </xdr:twoCellAnchor>
  <xdr:twoCellAnchor>
    <xdr:from>
      <xdr:col>6</xdr:col>
      <xdr:colOff>114300</xdr:colOff>
      <xdr:row>26</xdr:row>
      <xdr:rowOff>2419350</xdr:rowOff>
    </xdr:from>
    <xdr:to>
      <xdr:col>7</xdr:col>
      <xdr:colOff>400050</xdr:colOff>
      <xdr:row>26</xdr:row>
      <xdr:rowOff>2981325</xdr:rowOff>
    </xdr:to>
    <xdr:sp macro="" textlink="">
      <xdr:nvSpPr>
        <xdr:cNvPr id="6" name="AutoShape 13">
          <a:extLst>
            <a:ext uri="{FF2B5EF4-FFF2-40B4-BE49-F238E27FC236}">
              <a16:creationId xmlns:a16="http://schemas.microsoft.com/office/drawing/2014/main" id="{00000000-0008-0000-0500-000006000000}"/>
            </a:ext>
          </a:extLst>
        </xdr:cNvPr>
        <xdr:cNvSpPr>
          <a:spLocks noChangeArrowheads="1"/>
        </xdr:cNvSpPr>
      </xdr:nvSpPr>
      <xdr:spPr bwMode="auto">
        <a:xfrm rot="-7868356">
          <a:off x="5457825" y="4429125"/>
          <a:ext cx="0" cy="1085850"/>
        </a:xfrm>
        <a:prstGeom prst="can">
          <a:avLst>
            <a:gd name="adj" fmla="val 96610"/>
          </a:avLst>
        </a:prstGeom>
        <a:solidFill>
          <a:srgbClr val="FFFFFF"/>
        </a:solidFill>
        <a:ln w="57150">
          <a:solidFill>
            <a:srgbClr val="99CC00"/>
          </a:solidFill>
          <a:round/>
          <a:headEnd/>
          <a:tailEnd/>
        </a:ln>
      </xdr:spPr>
    </xdr:sp>
    <xdr:clientData/>
  </xdr:twoCellAnchor>
  <xdr:twoCellAnchor>
    <xdr:from>
      <xdr:col>6</xdr:col>
      <xdr:colOff>276225</xdr:colOff>
      <xdr:row>26</xdr:row>
      <xdr:rowOff>2276475</xdr:rowOff>
    </xdr:from>
    <xdr:to>
      <xdr:col>7</xdr:col>
      <xdr:colOff>390525</xdr:colOff>
      <xdr:row>26</xdr:row>
      <xdr:rowOff>3190875</xdr:rowOff>
    </xdr:to>
    <xdr:sp macro="" textlink="">
      <xdr:nvSpPr>
        <xdr:cNvPr id="7" name="AutoShape 14">
          <a:extLst>
            <a:ext uri="{FF2B5EF4-FFF2-40B4-BE49-F238E27FC236}">
              <a16:creationId xmlns:a16="http://schemas.microsoft.com/office/drawing/2014/main" id="{00000000-0008-0000-0500-000007000000}"/>
            </a:ext>
          </a:extLst>
        </xdr:cNvPr>
        <xdr:cNvSpPr>
          <a:spLocks noChangeArrowheads="1"/>
        </xdr:cNvSpPr>
      </xdr:nvSpPr>
      <xdr:spPr bwMode="auto">
        <a:xfrm rot="2538990">
          <a:off x="5076825" y="4972050"/>
          <a:ext cx="914400" cy="0"/>
        </a:xfrm>
        <a:prstGeom prst="plus">
          <a:avLst>
            <a:gd name="adj" fmla="val 46042"/>
          </a:avLst>
        </a:prstGeom>
        <a:solidFill>
          <a:srgbClr val="FF0000"/>
        </a:solidFill>
        <a:ln w="9525">
          <a:solidFill>
            <a:srgbClr val="FF0000"/>
          </a:solidFill>
          <a:miter lim="800000"/>
          <a:headEnd/>
          <a:tailEnd/>
        </a:ln>
      </xdr:spPr>
    </xdr:sp>
    <xdr:clientData/>
  </xdr:twoCellAnchor>
  <xdr:twoCellAnchor editAs="oneCell">
    <xdr:from>
      <xdr:col>7</xdr:col>
      <xdr:colOff>264795</xdr:colOff>
      <xdr:row>26</xdr:row>
      <xdr:rowOff>2771775</xdr:rowOff>
    </xdr:from>
    <xdr:to>
      <xdr:col>8</xdr:col>
      <xdr:colOff>634411</xdr:colOff>
      <xdr:row>26</xdr:row>
      <xdr:rowOff>3388995</xdr:rowOff>
    </xdr:to>
    <xdr:sp macro="" textlink="">
      <xdr:nvSpPr>
        <xdr:cNvPr id="8" name="Text Box 15">
          <a:extLst>
            <a:ext uri="{FF2B5EF4-FFF2-40B4-BE49-F238E27FC236}">
              <a16:creationId xmlns:a16="http://schemas.microsoft.com/office/drawing/2014/main" id="{00000000-0008-0000-0500-000008000000}"/>
            </a:ext>
          </a:extLst>
        </xdr:cNvPr>
        <xdr:cNvSpPr txBox="1">
          <a:spLocks noChangeArrowheads="1"/>
        </xdr:cNvSpPr>
      </xdr:nvSpPr>
      <xdr:spPr bwMode="auto">
        <a:xfrm>
          <a:off x="5865495" y="4972050"/>
          <a:ext cx="1169716"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1" i="0" strike="noStrike">
              <a:solidFill>
                <a:srgbClr val="FF0000"/>
              </a:solidFill>
              <a:latin typeface="Arial"/>
              <a:cs typeface="Arial"/>
            </a:rPr>
            <a:t>NOK : Picture is not the same size, </a:t>
          </a:r>
        </a:p>
        <a:p>
          <a:pPr algn="l" rtl="0">
            <a:defRPr sz="1000"/>
          </a:pPr>
          <a:r>
            <a:rPr lang="en-US" sz="800" b="1" i="0" strike="noStrike">
              <a:solidFill>
                <a:srgbClr val="FF0000"/>
              </a:solidFill>
              <a:latin typeface="Arial"/>
              <a:cs typeface="Arial"/>
            </a:rPr>
            <a:t>not same angle</a:t>
          </a:r>
        </a:p>
      </xdr:txBody>
    </xdr:sp>
    <xdr:clientData/>
  </xdr:twoCellAnchor>
  <xdr:oneCellAnchor>
    <xdr:from>
      <xdr:col>6</xdr:col>
      <xdr:colOff>291465</xdr:colOff>
      <xdr:row>26</xdr:row>
      <xdr:rowOff>1724025</xdr:rowOff>
    </xdr:from>
    <xdr:ext cx="1267591" cy="254300"/>
    <xdr:sp macro="" textlink="">
      <xdr:nvSpPr>
        <xdr:cNvPr id="9" name="Text Box 16">
          <a:extLst>
            <a:ext uri="{FF2B5EF4-FFF2-40B4-BE49-F238E27FC236}">
              <a16:creationId xmlns:a16="http://schemas.microsoft.com/office/drawing/2014/main" id="{00000000-0008-0000-0500-000009000000}"/>
            </a:ext>
          </a:extLst>
        </xdr:cNvPr>
        <xdr:cNvSpPr txBox="1">
          <a:spLocks noChangeArrowheads="1"/>
        </xdr:cNvSpPr>
      </xdr:nvSpPr>
      <xdr:spPr bwMode="auto">
        <a:xfrm>
          <a:off x="5092065" y="4972050"/>
          <a:ext cx="1267591" cy="254300"/>
        </a:xfrm>
        <a:prstGeom prst="rect">
          <a:avLst/>
        </a:prstGeom>
        <a:noFill/>
        <a:ln w="9525">
          <a:noFill/>
          <a:miter lim="800000"/>
          <a:headEnd/>
          <a:tailEnd/>
        </a:ln>
      </xdr:spPr>
      <xdr:txBody>
        <a:bodyPr wrap="none" lIns="18288" tIns="18288" rIns="0" bIns="0" anchor="t" upright="1">
          <a:spAutoFit/>
        </a:bodyPr>
        <a:lstStyle/>
        <a:p>
          <a:pPr algn="l" rtl="0">
            <a:defRPr sz="1000"/>
          </a:pPr>
          <a:r>
            <a:rPr lang="en-US" sz="800" b="1" i="0" strike="noStrike">
              <a:solidFill>
                <a:srgbClr val="339966"/>
              </a:solidFill>
              <a:latin typeface="Arial"/>
              <a:cs typeface="Arial"/>
            </a:rPr>
            <a:t>OK: Picture is same size, </a:t>
          </a:r>
        </a:p>
        <a:p>
          <a:pPr algn="l" rtl="0">
            <a:defRPr sz="1000"/>
          </a:pPr>
          <a:r>
            <a:rPr lang="en-US" sz="800" b="1" i="0" strike="noStrike">
              <a:solidFill>
                <a:srgbClr val="339966"/>
              </a:solidFill>
              <a:latin typeface="Arial"/>
              <a:cs typeface="Arial"/>
            </a:rPr>
            <a:t>same angle</a:t>
          </a:r>
        </a:p>
      </xdr:txBody>
    </xdr:sp>
    <xdr:clientData/>
  </xdr:oneCellAnchor>
  <xdr:twoCellAnchor editAs="oneCell">
    <xdr:from>
      <xdr:col>0</xdr:col>
      <xdr:colOff>123825</xdr:colOff>
      <xdr:row>0</xdr:row>
      <xdr:rowOff>133350</xdr:rowOff>
    </xdr:from>
    <xdr:to>
      <xdr:col>1</xdr:col>
      <xdr:colOff>762000</xdr:colOff>
      <xdr:row>1</xdr:row>
      <xdr:rowOff>152400</xdr:rowOff>
    </xdr:to>
    <xdr:pic>
      <xdr:nvPicPr>
        <xdr:cNvPr id="10" name="Picture 17" descr="Logo_Nidec_300dpi">
          <a:extLst>
            <a:ext uri="{FF2B5EF4-FFF2-40B4-BE49-F238E27FC236}">
              <a16:creationId xmlns:a16="http://schemas.microsoft.com/office/drawing/2014/main" id="{00000000-0008-0000-05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3825" y="133350"/>
          <a:ext cx="1438275"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10</xdr:col>
          <xdr:colOff>769620</xdr:colOff>
          <xdr:row>3</xdr:row>
          <xdr:rowOff>0</xdr:rowOff>
        </xdr:from>
        <xdr:to>
          <xdr:col>11</xdr:col>
          <xdr:colOff>304800</xdr:colOff>
          <xdr:row>4</xdr:row>
          <xdr:rowOff>45720</xdr:rowOff>
        </xdr:to>
        <xdr:sp macro="" textlink="">
          <xdr:nvSpPr>
            <xdr:cNvPr id="7169" name="Check Box 1" hidden="1">
              <a:extLst>
                <a:ext uri="{63B3BB69-23CF-44E3-9099-C40C66FF867C}">
                  <a14:compatExt spid="_x0000_s7169"/>
                </a:ext>
                <a:ext uri="{FF2B5EF4-FFF2-40B4-BE49-F238E27FC236}">
                  <a16:creationId xmlns:a16="http://schemas.microsoft.com/office/drawing/2014/main" id="{00000000-0008-0000-0500-000001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769620</xdr:colOff>
          <xdr:row>4</xdr:row>
          <xdr:rowOff>0</xdr:rowOff>
        </xdr:from>
        <xdr:to>
          <xdr:col>11</xdr:col>
          <xdr:colOff>304800</xdr:colOff>
          <xdr:row>5</xdr:row>
          <xdr:rowOff>38100</xdr:rowOff>
        </xdr:to>
        <xdr:sp macro="" textlink="">
          <xdr:nvSpPr>
            <xdr:cNvPr id="7170" name="Check Box 2" hidden="1">
              <a:extLst>
                <a:ext uri="{63B3BB69-23CF-44E3-9099-C40C66FF867C}">
                  <a14:compatExt spid="_x0000_s7170"/>
                </a:ext>
                <a:ext uri="{FF2B5EF4-FFF2-40B4-BE49-F238E27FC236}">
                  <a16:creationId xmlns:a16="http://schemas.microsoft.com/office/drawing/2014/main" id="{00000000-0008-0000-0500-000002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769620</xdr:colOff>
          <xdr:row>4</xdr:row>
          <xdr:rowOff>175260</xdr:rowOff>
        </xdr:from>
        <xdr:to>
          <xdr:col>11</xdr:col>
          <xdr:colOff>304800</xdr:colOff>
          <xdr:row>6</xdr:row>
          <xdr:rowOff>30480</xdr:rowOff>
        </xdr:to>
        <xdr:sp macro="" textlink="">
          <xdr:nvSpPr>
            <xdr:cNvPr id="7171" name="Check Box 3" hidden="1">
              <a:extLst>
                <a:ext uri="{63B3BB69-23CF-44E3-9099-C40C66FF867C}">
                  <a14:compatExt spid="_x0000_s7171"/>
                </a:ext>
                <a:ext uri="{FF2B5EF4-FFF2-40B4-BE49-F238E27FC236}">
                  <a16:creationId xmlns:a16="http://schemas.microsoft.com/office/drawing/2014/main" id="{00000000-0008-0000-0500-000003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784860</xdr:colOff>
          <xdr:row>2</xdr:row>
          <xdr:rowOff>99060</xdr:rowOff>
        </xdr:from>
        <xdr:to>
          <xdr:col>10</xdr:col>
          <xdr:colOff>327660</xdr:colOff>
          <xdr:row>4</xdr:row>
          <xdr:rowOff>38100</xdr:rowOff>
        </xdr:to>
        <xdr:sp macro="" textlink="">
          <xdr:nvSpPr>
            <xdr:cNvPr id="7172" name="Check Box 4" hidden="1">
              <a:extLst>
                <a:ext uri="{63B3BB69-23CF-44E3-9099-C40C66FF867C}">
                  <a14:compatExt spid="_x0000_s7172"/>
                </a:ext>
                <a:ext uri="{FF2B5EF4-FFF2-40B4-BE49-F238E27FC236}">
                  <a16:creationId xmlns:a16="http://schemas.microsoft.com/office/drawing/2014/main" id="{00000000-0008-0000-0500-000004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784860</xdr:colOff>
          <xdr:row>3</xdr:row>
          <xdr:rowOff>175260</xdr:rowOff>
        </xdr:from>
        <xdr:to>
          <xdr:col>10</xdr:col>
          <xdr:colOff>327660</xdr:colOff>
          <xdr:row>5</xdr:row>
          <xdr:rowOff>38100</xdr:rowOff>
        </xdr:to>
        <xdr:sp macro="" textlink="">
          <xdr:nvSpPr>
            <xdr:cNvPr id="7173" name="Check Box 5" hidden="1">
              <a:extLst>
                <a:ext uri="{63B3BB69-23CF-44E3-9099-C40C66FF867C}">
                  <a14:compatExt spid="_x0000_s7173"/>
                </a:ext>
                <a:ext uri="{FF2B5EF4-FFF2-40B4-BE49-F238E27FC236}">
                  <a16:creationId xmlns:a16="http://schemas.microsoft.com/office/drawing/2014/main" id="{00000000-0008-0000-0500-000005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784860</xdr:colOff>
          <xdr:row>4</xdr:row>
          <xdr:rowOff>175260</xdr:rowOff>
        </xdr:from>
        <xdr:to>
          <xdr:col>10</xdr:col>
          <xdr:colOff>327660</xdr:colOff>
          <xdr:row>6</xdr:row>
          <xdr:rowOff>30480</xdr:rowOff>
        </xdr:to>
        <xdr:sp macro="" textlink="">
          <xdr:nvSpPr>
            <xdr:cNvPr id="7174" name="Check Box 6" hidden="1">
              <a:extLst>
                <a:ext uri="{63B3BB69-23CF-44E3-9099-C40C66FF867C}">
                  <a14:compatExt spid="_x0000_s7174"/>
                </a:ext>
                <a:ext uri="{FF2B5EF4-FFF2-40B4-BE49-F238E27FC236}">
                  <a16:creationId xmlns:a16="http://schemas.microsoft.com/office/drawing/2014/main" id="{00000000-0008-0000-0500-000006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769620</xdr:colOff>
          <xdr:row>4</xdr:row>
          <xdr:rowOff>175260</xdr:rowOff>
        </xdr:from>
        <xdr:to>
          <xdr:col>11</xdr:col>
          <xdr:colOff>266700</xdr:colOff>
          <xdr:row>6</xdr:row>
          <xdr:rowOff>30480</xdr:rowOff>
        </xdr:to>
        <xdr:sp macro="" textlink="">
          <xdr:nvSpPr>
            <xdr:cNvPr id="7175" name="Check Box 7" hidden="1">
              <a:extLst>
                <a:ext uri="{63B3BB69-23CF-44E3-9099-C40C66FF867C}">
                  <a14:compatExt spid="_x0000_s7175"/>
                </a:ext>
                <a:ext uri="{FF2B5EF4-FFF2-40B4-BE49-F238E27FC236}">
                  <a16:creationId xmlns:a16="http://schemas.microsoft.com/office/drawing/2014/main" id="{00000000-0008-0000-0500-000007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47625</xdr:colOff>
      <xdr:row>0</xdr:row>
      <xdr:rowOff>57150</xdr:rowOff>
    </xdr:from>
    <xdr:to>
      <xdr:col>5</xdr:col>
      <xdr:colOff>247650</xdr:colOff>
      <xdr:row>2</xdr:row>
      <xdr:rowOff>66675</xdr:rowOff>
    </xdr:to>
    <xdr:pic>
      <xdr:nvPicPr>
        <xdr:cNvPr id="2" name="Picture 60" descr="Logo_Nidec_300dpi">
          <a:extLst>
            <a:ext uri="{FF2B5EF4-FFF2-40B4-BE49-F238E27FC236}">
              <a16:creationId xmlns:a16="http://schemas.microsoft.com/office/drawing/2014/main" id="{00000000-0008-0000-06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25" y="57150"/>
          <a:ext cx="1628775"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12</xdr:col>
          <xdr:colOff>0</xdr:colOff>
          <xdr:row>82</xdr:row>
          <xdr:rowOff>0</xdr:rowOff>
        </xdr:from>
        <xdr:to>
          <xdr:col>15</xdr:col>
          <xdr:colOff>0</xdr:colOff>
          <xdr:row>85</xdr:row>
          <xdr:rowOff>7620</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600-000004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ea typeface="Calibri"/>
                  <a:cs typeface="Calibri"/>
                </a:rPr>
                <a:t>Check 8D</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1</xdr:col>
      <xdr:colOff>95250</xdr:colOff>
      <xdr:row>1</xdr:row>
      <xdr:rowOff>104775</xdr:rowOff>
    </xdr:from>
    <xdr:to>
      <xdr:col>3</xdr:col>
      <xdr:colOff>828675</xdr:colOff>
      <xdr:row>1</xdr:row>
      <xdr:rowOff>542925</xdr:rowOff>
    </xdr:to>
    <xdr:pic>
      <xdr:nvPicPr>
        <xdr:cNvPr id="3" name="Picture 1" descr="logo nidec all for dreams motors et actuators">
          <a:extLst>
            <a:ext uri="{FF2B5EF4-FFF2-40B4-BE49-F238E27FC236}">
              <a16:creationId xmlns:a16="http://schemas.microsoft.com/office/drawing/2014/main" id="{00000000-0008-0000-0700-000003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04850" y="266700"/>
          <a:ext cx="1733550" cy="57150"/>
        </a:xfrm>
        <a:prstGeom prst="rect">
          <a:avLst/>
        </a:prstGeom>
        <a:noFill/>
        <a:ln>
          <a:noFill/>
        </a:ln>
      </xdr:spPr>
    </xdr:pic>
    <xdr:clientData/>
  </xdr:twoCellAnchor>
  <mc:AlternateContent xmlns:mc="http://schemas.openxmlformats.org/markup-compatibility/2006">
    <mc:Choice xmlns:a14="http://schemas.microsoft.com/office/drawing/2010/main" Requires="a14">
      <xdr:twoCellAnchor editAs="oneCell">
        <xdr:from>
          <xdr:col>5</xdr:col>
          <xdr:colOff>137160</xdr:colOff>
          <xdr:row>12</xdr:row>
          <xdr:rowOff>198120</xdr:rowOff>
        </xdr:from>
        <xdr:to>
          <xdr:col>5</xdr:col>
          <xdr:colOff>487680</xdr:colOff>
          <xdr:row>12</xdr:row>
          <xdr:rowOff>419100</xdr:rowOff>
        </xdr:to>
        <xdr:sp macro="" textlink="">
          <xdr:nvSpPr>
            <xdr:cNvPr id="1026" name="Option Button 2" hidden="1">
              <a:extLst>
                <a:ext uri="{63B3BB69-23CF-44E3-9099-C40C66FF867C}">
                  <a14:compatExt spid="_x0000_s1026"/>
                </a:ext>
                <a:ext uri="{FF2B5EF4-FFF2-40B4-BE49-F238E27FC236}">
                  <a16:creationId xmlns:a16="http://schemas.microsoft.com/office/drawing/2014/main" id="{00000000-0008-0000-07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137160</xdr:colOff>
          <xdr:row>12</xdr:row>
          <xdr:rowOff>198120</xdr:rowOff>
        </xdr:from>
        <xdr:to>
          <xdr:col>9</xdr:col>
          <xdr:colOff>60960</xdr:colOff>
          <xdr:row>12</xdr:row>
          <xdr:rowOff>419100</xdr:rowOff>
        </xdr:to>
        <xdr:sp macro="" textlink="">
          <xdr:nvSpPr>
            <xdr:cNvPr id="1027" name="Option Button 3" hidden="1">
              <a:extLst>
                <a:ext uri="{63B3BB69-23CF-44E3-9099-C40C66FF867C}">
                  <a14:compatExt spid="_x0000_s1027"/>
                </a:ext>
                <a:ext uri="{FF2B5EF4-FFF2-40B4-BE49-F238E27FC236}">
                  <a16:creationId xmlns:a16="http://schemas.microsoft.com/office/drawing/2014/main" id="{00000000-0008-0000-07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137160</xdr:colOff>
          <xdr:row>12</xdr:row>
          <xdr:rowOff>198120</xdr:rowOff>
        </xdr:from>
        <xdr:to>
          <xdr:col>11</xdr:col>
          <xdr:colOff>487680</xdr:colOff>
          <xdr:row>12</xdr:row>
          <xdr:rowOff>419100</xdr:rowOff>
        </xdr:to>
        <xdr:sp macro="" textlink="">
          <xdr:nvSpPr>
            <xdr:cNvPr id="1028" name="Option Button 4" hidden="1">
              <a:extLst>
                <a:ext uri="{63B3BB69-23CF-44E3-9099-C40C66FF867C}">
                  <a14:compatExt spid="_x0000_s1028"/>
                </a:ext>
                <a:ext uri="{FF2B5EF4-FFF2-40B4-BE49-F238E27FC236}">
                  <a16:creationId xmlns:a16="http://schemas.microsoft.com/office/drawing/2014/main" id="{00000000-0008-0000-07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13</xdr:row>
          <xdr:rowOff>0</xdr:rowOff>
        </xdr:from>
        <xdr:to>
          <xdr:col>14</xdr:col>
          <xdr:colOff>7620</xdr:colOff>
          <xdr:row>14</xdr:row>
          <xdr:rowOff>0</xdr:rowOff>
        </xdr:to>
        <xdr:sp macro="" textlink="">
          <xdr:nvSpPr>
            <xdr:cNvPr id="1029" name="Group Box 5" hidden="1">
              <a:extLst>
                <a:ext uri="{63B3BB69-23CF-44E3-9099-C40C66FF867C}">
                  <a14:compatExt spid="_x0000_s1029"/>
                </a:ext>
                <a:ext uri="{FF2B5EF4-FFF2-40B4-BE49-F238E27FC236}">
                  <a16:creationId xmlns:a16="http://schemas.microsoft.com/office/drawing/2014/main" id="{00000000-0008-0000-0700-000005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fr-FR" sz="800" b="0" i="0" u="none" strike="noStrike" baseline="0">
                  <a:solidFill>
                    <a:srgbClr val="000000"/>
                  </a:solidFill>
                  <a:latin typeface="Tahoma"/>
                  <a:ea typeface="Tahoma"/>
                  <a:cs typeface="Tahoma"/>
                </a:rPr>
                <a:t>D1d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15</xdr:row>
          <xdr:rowOff>0</xdr:rowOff>
        </xdr:from>
        <xdr:to>
          <xdr:col>14</xdr:col>
          <xdr:colOff>7620</xdr:colOff>
          <xdr:row>16</xdr:row>
          <xdr:rowOff>0</xdr:rowOff>
        </xdr:to>
        <xdr:sp macro="" textlink="">
          <xdr:nvSpPr>
            <xdr:cNvPr id="1030" name="Group Box 6" hidden="1">
              <a:extLst>
                <a:ext uri="{63B3BB69-23CF-44E3-9099-C40C66FF867C}">
                  <a14:compatExt spid="_x0000_s1030"/>
                </a:ext>
                <a:ext uri="{FF2B5EF4-FFF2-40B4-BE49-F238E27FC236}">
                  <a16:creationId xmlns:a16="http://schemas.microsoft.com/office/drawing/2014/main" id="{00000000-0008-0000-0700-000006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fr-FR" sz="800" b="0" i="0" u="none" strike="noStrike" baseline="0">
                  <a:solidFill>
                    <a:srgbClr val="000000"/>
                  </a:solidFill>
                  <a:latin typeface="Tahoma"/>
                  <a:ea typeface="Tahoma"/>
                  <a:cs typeface="Tahoma"/>
                </a:rPr>
                <a:t>D3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14</xdr:row>
          <xdr:rowOff>0</xdr:rowOff>
        </xdr:from>
        <xdr:to>
          <xdr:col>14</xdr:col>
          <xdr:colOff>7620</xdr:colOff>
          <xdr:row>15</xdr:row>
          <xdr:rowOff>0</xdr:rowOff>
        </xdr:to>
        <xdr:sp macro="" textlink="">
          <xdr:nvSpPr>
            <xdr:cNvPr id="1031" name="Group Box 7" hidden="1">
              <a:extLst>
                <a:ext uri="{63B3BB69-23CF-44E3-9099-C40C66FF867C}">
                  <a14:compatExt spid="_x0000_s1031"/>
                </a:ext>
                <a:ext uri="{FF2B5EF4-FFF2-40B4-BE49-F238E27FC236}">
                  <a16:creationId xmlns:a16="http://schemas.microsoft.com/office/drawing/2014/main" id="{00000000-0008-0000-0700-000007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fr-FR" sz="800" b="0" i="0" u="none" strike="noStrike" baseline="0">
                  <a:solidFill>
                    <a:srgbClr val="000000"/>
                  </a:solidFill>
                  <a:latin typeface="Tahoma"/>
                  <a:ea typeface="Tahoma"/>
                  <a:cs typeface="Tahoma"/>
                </a:rPr>
                <a:t>D2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16</xdr:row>
          <xdr:rowOff>0</xdr:rowOff>
        </xdr:from>
        <xdr:to>
          <xdr:col>14</xdr:col>
          <xdr:colOff>7620</xdr:colOff>
          <xdr:row>17</xdr:row>
          <xdr:rowOff>0</xdr:rowOff>
        </xdr:to>
        <xdr:sp macro="" textlink="">
          <xdr:nvSpPr>
            <xdr:cNvPr id="1032" name="Group Box 8" hidden="1">
              <a:extLst>
                <a:ext uri="{63B3BB69-23CF-44E3-9099-C40C66FF867C}">
                  <a14:compatExt spid="_x0000_s1032"/>
                </a:ext>
                <a:ext uri="{FF2B5EF4-FFF2-40B4-BE49-F238E27FC236}">
                  <a16:creationId xmlns:a16="http://schemas.microsoft.com/office/drawing/2014/main" id="{00000000-0008-0000-0700-000008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fr-FR" sz="800" b="0" i="0" u="none" strike="noStrike" baseline="0">
                  <a:solidFill>
                    <a:srgbClr val="000000"/>
                  </a:solidFill>
                  <a:latin typeface="Tahoma"/>
                  <a:ea typeface="Tahoma"/>
                  <a:cs typeface="Tahoma"/>
                </a:rPr>
                <a:t>D4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18</xdr:row>
          <xdr:rowOff>0</xdr:rowOff>
        </xdr:from>
        <xdr:to>
          <xdr:col>14</xdr:col>
          <xdr:colOff>7620</xdr:colOff>
          <xdr:row>19</xdr:row>
          <xdr:rowOff>0</xdr:rowOff>
        </xdr:to>
        <xdr:sp macro="" textlink="">
          <xdr:nvSpPr>
            <xdr:cNvPr id="1033" name="Group Box 9" hidden="1">
              <a:extLst>
                <a:ext uri="{63B3BB69-23CF-44E3-9099-C40C66FF867C}">
                  <a14:compatExt spid="_x0000_s1033"/>
                </a:ext>
                <a:ext uri="{FF2B5EF4-FFF2-40B4-BE49-F238E27FC236}">
                  <a16:creationId xmlns:a16="http://schemas.microsoft.com/office/drawing/2014/main" id="{00000000-0008-0000-0700-000009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fr-FR" sz="800" b="0" i="0" u="none" strike="noStrike" baseline="0">
                  <a:solidFill>
                    <a:srgbClr val="000000"/>
                  </a:solidFill>
                  <a:latin typeface="Tahoma"/>
                  <a:ea typeface="Tahoma"/>
                  <a:cs typeface="Tahoma"/>
                </a:rPr>
                <a:t>D6a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19</xdr:row>
          <xdr:rowOff>0</xdr:rowOff>
        </xdr:from>
        <xdr:to>
          <xdr:col>14</xdr:col>
          <xdr:colOff>7620</xdr:colOff>
          <xdr:row>20</xdr:row>
          <xdr:rowOff>0</xdr:rowOff>
        </xdr:to>
        <xdr:sp macro="" textlink="">
          <xdr:nvSpPr>
            <xdr:cNvPr id="1034" name="Group Box 10" hidden="1">
              <a:extLst>
                <a:ext uri="{63B3BB69-23CF-44E3-9099-C40C66FF867C}">
                  <a14:compatExt spid="_x0000_s1034"/>
                </a:ext>
                <a:ext uri="{FF2B5EF4-FFF2-40B4-BE49-F238E27FC236}">
                  <a16:creationId xmlns:a16="http://schemas.microsoft.com/office/drawing/2014/main" id="{00000000-0008-0000-0700-00000A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fr-FR" sz="800" b="0" i="0" u="none" strike="noStrike" baseline="0">
                  <a:solidFill>
                    <a:srgbClr val="000000"/>
                  </a:solidFill>
                  <a:latin typeface="Tahoma"/>
                  <a:ea typeface="Tahoma"/>
                  <a:cs typeface="Tahoma"/>
                </a:rPr>
                <a:t>D6b</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0</xdr:rowOff>
        </xdr:from>
        <xdr:to>
          <xdr:col>14</xdr:col>
          <xdr:colOff>7620</xdr:colOff>
          <xdr:row>21</xdr:row>
          <xdr:rowOff>0</xdr:rowOff>
        </xdr:to>
        <xdr:sp macro="" textlink="">
          <xdr:nvSpPr>
            <xdr:cNvPr id="1035" name="Group Box 11" hidden="1">
              <a:extLst>
                <a:ext uri="{63B3BB69-23CF-44E3-9099-C40C66FF867C}">
                  <a14:compatExt spid="_x0000_s1035"/>
                </a:ext>
                <a:ext uri="{FF2B5EF4-FFF2-40B4-BE49-F238E27FC236}">
                  <a16:creationId xmlns:a16="http://schemas.microsoft.com/office/drawing/2014/main" id="{00000000-0008-0000-0700-00000B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fr-FR" sz="800" b="0" i="0" u="none" strike="noStrike" baseline="0">
                  <a:solidFill>
                    <a:srgbClr val="000000"/>
                  </a:solidFill>
                  <a:latin typeface="Tahoma"/>
                  <a:ea typeface="Tahoma"/>
                  <a:cs typeface="Tahoma"/>
                </a:rPr>
                <a:t>D7a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21</xdr:row>
          <xdr:rowOff>0</xdr:rowOff>
        </xdr:from>
        <xdr:to>
          <xdr:col>14</xdr:col>
          <xdr:colOff>7620</xdr:colOff>
          <xdr:row>22</xdr:row>
          <xdr:rowOff>0</xdr:rowOff>
        </xdr:to>
        <xdr:sp macro="" textlink="">
          <xdr:nvSpPr>
            <xdr:cNvPr id="1036" name="Group Box 12" hidden="1">
              <a:extLst>
                <a:ext uri="{63B3BB69-23CF-44E3-9099-C40C66FF867C}">
                  <a14:compatExt spid="_x0000_s1036"/>
                </a:ext>
                <a:ext uri="{FF2B5EF4-FFF2-40B4-BE49-F238E27FC236}">
                  <a16:creationId xmlns:a16="http://schemas.microsoft.com/office/drawing/2014/main" id="{00000000-0008-0000-0700-00000C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fr-FR" sz="800" b="0" i="0" u="none" strike="noStrike" baseline="0">
                  <a:solidFill>
                    <a:srgbClr val="000000"/>
                  </a:solidFill>
                  <a:latin typeface="Tahoma"/>
                  <a:ea typeface="Tahoma"/>
                  <a:cs typeface="Tahoma"/>
                </a:rPr>
                <a:t>D7b</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22</xdr:row>
          <xdr:rowOff>0</xdr:rowOff>
        </xdr:from>
        <xdr:to>
          <xdr:col>14</xdr:col>
          <xdr:colOff>7620</xdr:colOff>
          <xdr:row>23</xdr:row>
          <xdr:rowOff>0</xdr:rowOff>
        </xdr:to>
        <xdr:sp macro="" textlink="">
          <xdr:nvSpPr>
            <xdr:cNvPr id="1037" name="Group Box 13" hidden="1">
              <a:extLst>
                <a:ext uri="{63B3BB69-23CF-44E3-9099-C40C66FF867C}">
                  <a14:compatExt spid="_x0000_s1037"/>
                </a:ext>
                <a:ext uri="{FF2B5EF4-FFF2-40B4-BE49-F238E27FC236}">
                  <a16:creationId xmlns:a16="http://schemas.microsoft.com/office/drawing/2014/main" id="{00000000-0008-0000-0700-00000D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fr-FR" sz="800" b="0" i="0" u="none" strike="noStrike" baseline="0">
                  <a:solidFill>
                    <a:srgbClr val="000000"/>
                  </a:solidFill>
                  <a:latin typeface="Tahoma"/>
                  <a:ea typeface="Tahoma"/>
                  <a:cs typeface="Tahoma"/>
                </a:rPr>
                <a:t>D8.1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14</xdr:col>
          <xdr:colOff>7620</xdr:colOff>
          <xdr:row>23</xdr:row>
          <xdr:rowOff>571500</xdr:rowOff>
        </xdr:to>
        <xdr:sp macro="" textlink="">
          <xdr:nvSpPr>
            <xdr:cNvPr id="1038" name="Group Box 14" hidden="1">
              <a:extLst>
                <a:ext uri="{63B3BB69-23CF-44E3-9099-C40C66FF867C}">
                  <a14:compatExt spid="_x0000_s1038"/>
                </a:ext>
                <a:ext uri="{FF2B5EF4-FFF2-40B4-BE49-F238E27FC236}">
                  <a16:creationId xmlns:a16="http://schemas.microsoft.com/office/drawing/2014/main" id="{00000000-0008-0000-0700-00000E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fr-FR" sz="800" b="0" i="0" u="none" strike="noStrike" baseline="0">
                  <a:solidFill>
                    <a:srgbClr val="000000"/>
                  </a:solidFill>
                  <a:latin typeface="Tahoma"/>
                  <a:ea typeface="Tahoma"/>
                  <a:cs typeface="Tahoma"/>
                </a:rPr>
                <a:t>D8.4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0</xdr:rowOff>
        </xdr:from>
        <xdr:to>
          <xdr:col>14</xdr:col>
          <xdr:colOff>7620</xdr:colOff>
          <xdr:row>18</xdr:row>
          <xdr:rowOff>0</xdr:rowOff>
        </xdr:to>
        <xdr:sp macro="" textlink="">
          <xdr:nvSpPr>
            <xdr:cNvPr id="1039" name="Group Box 15" hidden="1">
              <a:extLst>
                <a:ext uri="{63B3BB69-23CF-44E3-9099-C40C66FF867C}">
                  <a14:compatExt spid="_x0000_s1039"/>
                </a:ext>
                <a:ext uri="{FF2B5EF4-FFF2-40B4-BE49-F238E27FC236}">
                  <a16:creationId xmlns:a16="http://schemas.microsoft.com/office/drawing/2014/main" id="{00000000-0008-0000-0700-00000F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fr-FR" sz="800" b="0" i="0" u="none" strike="noStrike" baseline="0">
                  <a:solidFill>
                    <a:srgbClr val="000000"/>
                  </a:solidFill>
                  <a:latin typeface="Tahoma"/>
                  <a:ea typeface="Tahoma"/>
                  <a:cs typeface="Tahoma"/>
                </a:rPr>
                <a:t>D5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571500</xdr:rowOff>
        </xdr:from>
        <xdr:to>
          <xdr:col>14</xdr:col>
          <xdr:colOff>7620</xdr:colOff>
          <xdr:row>25</xdr:row>
          <xdr:rowOff>0</xdr:rowOff>
        </xdr:to>
        <xdr:sp macro="" textlink="">
          <xdr:nvSpPr>
            <xdr:cNvPr id="1040" name="Group Box 16" hidden="1">
              <a:extLst>
                <a:ext uri="{63B3BB69-23CF-44E3-9099-C40C66FF867C}">
                  <a14:compatExt spid="_x0000_s1040"/>
                </a:ext>
                <a:ext uri="{FF2B5EF4-FFF2-40B4-BE49-F238E27FC236}">
                  <a16:creationId xmlns:a16="http://schemas.microsoft.com/office/drawing/2014/main" id="{00000000-0008-0000-0700-000010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fr-FR" sz="800" b="0" i="0" u="none" strike="noStrike" baseline="0">
                  <a:solidFill>
                    <a:srgbClr val="000000"/>
                  </a:solidFill>
                  <a:latin typeface="Tahoma"/>
                  <a:ea typeface="Tahoma"/>
                  <a:cs typeface="Tahoma"/>
                </a:rPr>
                <a:t>ovrl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12</xdr:row>
          <xdr:rowOff>0</xdr:rowOff>
        </xdr:from>
        <xdr:to>
          <xdr:col>14</xdr:col>
          <xdr:colOff>7620</xdr:colOff>
          <xdr:row>13</xdr:row>
          <xdr:rowOff>0</xdr:rowOff>
        </xdr:to>
        <xdr:sp macro="" textlink="">
          <xdr:nvSpPr>
            <xdr:cNvPr id="1041" name="Group Box 17" hidden="1">
              <a:extLst>
                <a:ext uri="{63B3BB69-23CF-44E3-9099-C40C66FF867C}">
                  <a14:compatExt spid="_x0000_s1041"/>
                </a:ext>
                <a:ext uri="{FF2B5EF4-FFF2-40B4-BE49-F238E27FC236}">
                  <a16:creationId xmlns:a16="http://schemas.microsoft.com/office/drawing/2014/main" id="{00000000-0008-0000-0700-000011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fr-FR" sz="800" b="0" i="0" u="none" strike="noStrike" baseline="0">
                  <a:solidFill>
                    <a:srgbClr val="000000"/>
                  </a:solidFill>
                  <a:latin typeface="Tahoma"/>
                  <a:ea typeface="Tahoma"/>
                  <a:cs typeface="Tahoma"/>
                </a:rPr>
                <a:t>D1b</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137160</xdr:colOff>
          <xdr:row>13</xdr:row>
          <xdr:rowOff>289560</xdr:rowOff>
        </xdr:from>
        <xdr:to>
          <xdr:col>5</xdr:col>
          <xdr:colOff>487680</xdr:colOff>
          <xdr:row>13</xdr:row>
          <xdr:rowOff>502920</xdr:rowOff>
        </xdr:to>
        <xdr:sp macro="" textlink="">
          <xdr:nvSpPr>
            <xdr:cNvPr id="1042" name="Option Button 18" hidden="1">
              <a:extLst>
                <a:ext uri="{63B3BB69-23CF-44E3-9099-C40C66FF867C}">
                  <a14:compatExt spid="_x0000_s1042"/>
                </a:ext>
                <a:ext uri="{FF2B5EF4-FFF2-40B4-BE49-F238E27FC236}">
                  <a16:creationId xmlns:a16="http://schemas.microsoft.com/office/drawing/2014/main" id="{00000000-0008-0000-0700-00001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137160</xdr:colOff>
          <xdr:row>13</xdr:row>
          <xdr:rowOff>289560</xdr:rowOff>
        </xdr:from>
        <xdr:to>
          <xdr:col>9</xdr:col>
          <xdr:colOff>60960</xdr:colOff>
          <xdr:row>13</xdr:row>
          <xdr:rowOff>502920</xdr:rowOff>
        </xdr:to>
        <xdr:sp macro="" textlink="">
          <xdr:nvSpPr>
            <xdr:cNvPr id="1043" name="Option Button 19" hidden="1">
              <a:extLst>
                <a:ext uri="{63B3BB69-23CF-44E3-9099-C40C66FF867C}">
                  <a14:compatExt spid="_x0000_s1043"/>
                </a:ext>
                <a:ext uri="{FF2B5EF4-FFF2-40B4-BE49-F238E27FC236}">
                  <a16:creationId xmlns:a16="http://schemas.microsoft.com/office/drawing/2014/main" id="{00000000-0008-0000-0700-00001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137160</xdr:colOff>
          <xdr:row>13</xdr:row>
          <xdr:rowOff>289560</xdr:rowOff>
        </xdr:from>
        <xdr:to>
          <xdr:col>11</xdr:col>
          <xdr:colOff>487680</xdr:colOff>
          <xdr:row>13</xdr:row>
          <xdr:rowOff>502920</xdr:rowOff>
        </xdr:to>
        <xdr:sp macro="" textlink="">
          <xdr:nvSpPr>
            <xdr:cNvPr id="1044" name="Option Button 20" hidden="1">
              <a:extLst>
                <a:ext uri="{63B3BB69-23CF-44E3-9099-C40C66FF867C}">
                  <a14:compatExt spid="_x0000_s1044"/>
                </a:ext>
                <a:ext uri="{FF2B5EF4-FFF2-40B4-BE49-F238E27FC236}">
                  <a16:creationId xmlns:a16="http://schemas.microsoft.com/office/drawing/2014/main" id="{00000000-0008-0000-0700-00001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137160</xdr:colOff>
          <xdr:row>14</xdr:row>
          <xdr:rowOff>198120</xdr:rowOff>
        </xdr:from>
        <xdr:to>
          <xdr:col>5</xdr:col>
          <xdr:colOff>487680</xdr:colOff>
          <xdr:row>14</xdr:row>
          <xdr:rowOff>419100</xdr:rowOff>
        </xdr:to>
        <xdr:sp macro="" textlink="">
          <xdr:nvSpPr>
            <xdr:cNvPr id="1045" name="Option Button 21" hidden="1">
              <a:extLst>
                <a:ext uri="{63B3BB69-23CF-44E3-9099-C40C66FF867C}">
                  <a14:compatExt spid="_x0000_s1045"/>
                </a:ext>
                <a:ext uri="{FF2B5EF4-FFF2-40B4-BE49-F238E27FC236}">
                  <a16:creationId xmlns:a16="http://schemas.microsoft.com/office/drawing/2014/main" id="{00000000-0008-0000-0700-00001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137160</xdr:colOff>
          <xdr:row>14</xdr:row>
          <xdr:rowOff>198120</xdr:rowOff>
        </xdr:from>
        <xdr:to>
          <xdr:col>9</xdr:col>
          <xdr:colOff>60960</xdr:colOff>
          <xdr:row>14</xdr:row>
          <xdr:rowOff>419100</xdr:rowOff>
        </xdr:to>
        <xdr:sp macro="" textlink="">
          <xdr:nvSpPr>
            <xdr:cNvPr id="1046" name="Option Button 22" hidden="1">
              <a:extLst>
                <a:ext uri="{63B3BB69-23CF-44E3-9099-C40C66FF867C}">
                  <a14:compatExt spid="_x0000_s1046"/>
                </a:ext>
                <a:ext uri="{FF2B5EF4-FFF2-40B4-BE49-F238E27FC236}">
                  <a16:creationId xmlns:a16="http://schemas.microsoft.com/office/drawing/2014/main" id="{00000000-0008-0000-0700-00001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137160</xdr:colOff>
          <xdr:row>14</xdr:row>
          <xdr:rowOff>198120</xdr:rowOff>
        </xdr:from>
        <xdr:to>
          <xdr:col>11</xdr:col>
          <xdr:colOff>487680</xdr:colOff>
          <xdr:row>14</xdr:row>
          <xdr:rowOff>419100</xdr:rowOff>
        </xdr:to>
        <xdr:sp macro="" textlink="">
          <xdr:nvSpPr>
            <xdr:cNvPr id="1047" name="Option Button 23" hidden="1">
              <a:extLst>
                <a:ext uri="{63B3BB69-23CF-44E3-9099-C40C66FF867C}">
                  <a14:compatExt spid="_x0000_s1047"/>
                </a:ext>
                <a:ext uri="{FF2B5EF4-FFF2-40B4-BE49-F238E27FC236}">
                  <a16:creationId xmlns:a16="http://schemas.microsoft.com/office/drawing/2014/main" id="{00000000-0008-0000-0700-00001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137160</xdr:colOff>
          <xdr:row>15</xdr:row>
          <xdr:rowOff>198120</xdr:rowOff>
        </xdr:from>
        <xdr:to>
          <xdr:col>5</xdr:col>
          <xdr:colOff>487680</xdr:colOff>
          <xdr:row>15</xdr:row>
          <xdr:rowOff>419100</xdr:rowOff>
        </xdr:to>
        <xdr:sp macro="" textlink="">
          <xdr:nvSpPr>
            <xdr:cNvPr id="1048" name="Option Button 24" hidden="1">
              <a:extLst>
                <a:ext uri="{63B3BB69-23CF-44E3-9099-C40C66FF867C}">
                  <a14:compatExt spid="_x0000_s1048"/>
                </a:ext>
                <a:ext uri="{FF2B5EF4-FFF2-40B4-BE49-F238E27FC236}">
                  <a16:creationId xmlns:a16="http://schemas.microsoft.com/office/drawing/2014/main" id="{00000000-0008-0000-0700-00001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137160</xdr:colOff>
          <xdr:row>15</xdr:row>
          <xdr:rowOff>198120</xdr:rowOff>
        </xdr:from>
        <xdr:to>
          <xdr:col>9</xdr:col>
          <xdr:colOff>60960</xdr:colOff>
          <xdr:row>15</xdr:row>
          <xdr:rowOff>419100</xdr:rowOff>
        </xdr:to>
        <xdr:sp macro="" textlink="">
          <xdr:nvSpPr>
            <xdr:cNvPr id="1049" name="Option Button 25" hidden="1">
              <a:extLst>
                <a:ext uri="{63B3BB69-23CF-44E3-9099-C40C66FF867C}">
                  <a14:compatExt spid="_x0000_s1049"/>
                </a:ext>
                <a:ext uri="{FF2B5EF4-FFF2-40B4-BE49-F238E27FC236}">
                  <a16:creationId xmlns:a16="http://schemas.microsoft.com/office/drawing/2014/main" id="{00000000-0008-0000-0700-00001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137160</xdr:colOff>
          <xdr:row>15</xdr:row>
          <xdr:rowOff>198120</xdr:rowOff>
        </xdr:from>
        <xdr:to>
          <xdr:col>11</xdr:col>
          <xdr:colOff>487680</xdr:colOff>
          <xdr:row>15</xdr:row>
          <xdr:rowOff>419100</xdr:rowOff>
        </xdr:to>
        <xdr:sp macro="" textlink="">
          <xdr:nvSpPr>
            <xdr:cNvPr id="1050" name="Option Button 26" hidden="1">
              <a:extLst>
                <a:ext uri="{63B3BB69-23CF-44E3-9099-C40C66FF867C}">
                  <a14:compatExt spid="_x0000_s1050"/>
                </a:ext>
                <a:ext uri="{FF2B5EF4-FFF2-40B4-BE49-F238E27FC236}">
                  <a16:creationId xmlns:a16="http://schemas.microsoft.com/office/drawing/2014/main" id="{00000000-0008-0000-0700-00001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137160</xdr:colOff>
          <xdr:row>16</xdr:row>
          <xdr:rowOff>198120</xdr:rowOff>
        </xdr:from>
        <xdr:to>
          <xdr:col>5</xdr:col>
          <xdr:colOff>487680</xdr:colOff>
          <xdr:row>16</xdr:row>
          <xdr:rowOff>419100</xdr:rowOff>
        </xdr:to>
        <xdr:sp macro="" textlink="">
          <xdr:nvSpPr>
            <xdr:cNvPr id="1051" name="Option Button 27" hidden="1">
              <a:extLst>
                <a:ext uri="{63B3BB69-23CF-44E3-9099-C40C66FF867C}">
                  <a14:compatExt spid="_x0000_s1051"/>
                </a:ext>
                <a:ext uri="{FF2B5EF4-FFF2-40B4-BE49-F238E27FC236}">
                  <a16:creationId xmlns:a16="http://schemas.microsoft.com/office/drawing/2014/main" id="{00000000-0008-0000-0700-00001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137160</xdr:colOff>
          <xdr:row>16</xdr:row>
          <xdr:rowOff>198120</xdr:rowOff>
        </xdr:from>
        <xdr:to>
          <xdr:col>9</xdr:col>
          <xdr:colOff>60960</xdr:colOff>
          <xdr:row>16</xdr:row>
          <xdr:rowOff>419100</xdr:rowOff>
        </xdr:to>
        <xdr:sp macro="" textlink="">
          <xdr:nvSpPr>
            <xdr:cNvPr id="1052" name="Option Button 28" hidden="1">
              <a:extLst>
                <a:ext uri="{63B3BB69-23CF-44E3-9099-C40C66FF867C}">
                  <a14:compatExt spid="_x0000_s1052"/>
                </a:ext>
                <a:ext uri="{FF2B5EF4-FFF2-40B4-BE49-F238E27FC236}">
                  <a16:creationId xmlns:a16="http://schemas.microsoft.com/office/drawing/2014/main" id="{00000000-0008-0000-0700-00001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137160</xdr:colOff>
          <xdr:row>16</xdr:row>
          <xdr:rowOff>198120</xdr:rowOff>
        </xdr:from>
        <xdr:to>
          <xdr:col>11</xdr:col>
          <xdr:colOff>487680</xdr:colOff>
          <xdr:row>16</xdr:row>
          <xdr:rowOff>419100</xdr:rowOff>
        </xdr:to>
        <xdr:sp macro="" textlink="">
          <xdr:nvSpPr>
            <xdr:cNvPr id="1053" name="Option Button 29" hidden="1">
              <a:extLst>
                <a:ext uri="{63B3BB69-23CF-44E3-9099-C40C66FF867C}">
                  <a14:compatExt spid="_x0000_s1053"/>
                </a:ext>
                <a:ext uri="{FF2B5EF4-FFF2-40B4-BE49-F238E27FC236}">
                  <a16:creationId xmlns:a16="http://schemas.microsoft.com/office/drawing/2014/main" id="{00000000-0008-0000-0700-00001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137160</xdr:colOff>
          <xdr:row>17</xdr:row>
          <xdr:rowOff>198120</xdr:rowOff>
        </xdr:from>
        <xdr:to>
          <xdr:col>5</xdr:col>
          <xdr:colOff>487680</xdr:colOff>
          <xdr:row>17</xdr:row>
          <xdr:rowOff>419100</xdr:rowOff>
        </xdr:to>
        <xdr:sp macro="" textlink="">
          <xdr:nvSpPr>
            <xdr:cNvPr id="1054" name="Option Button 30" hidden="1">
              <a:extLst>
                <a:ext uri="{63B3BB69-23CF-44E3-9099-C40C66FF867C}">
                  <a14:compatExt spid="_x0000_s1054"/>
                </a:ext>
                <a:ext uri="{FF2B5EF4-FFF2-40B4-BE49-F238E27FC236}">
                  <a16:creationId xmlns:a16="http://schemas.microsoft.com/office/drawing/2014/main" id="{00000000-0008-0000-0700-00001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137160</xdr:colOff>
          <xdr:row>17</xdr:row>
          <xdr:rowOff>198120</xdr:rowOff>
        </xdr:from>
        <xdr:to>
          <xdr:col>9</xdr:col>
          <xdr:colOff>60960</xdr:colOff>
          <xdr:row>17</xdr:row>
          <xdr:rowOff>419100</xdr:rowOff>
        </xdr:to>
        <xdr:sp macro="" textlink="">
          <xdr:nvSpPr>
            <xdr:cNvPr id="1055" name="Option Button 31" hidden="1">
              <a:extLst>
                <a:ext uri="{63B3BB69-23CF-44E3-9099-C40C66FF867C}">
                  <a14:compatExt spid="_x0000_s1055"/>
                </a:ext>
                <a:ext uri="{FF2B5EF4-FFF2-40B4-BE49-F238E27FC236}">
                  <a16:creationId xmlns:a16="http://schemas.microsoft.com/office/drawing/2014/main" id="{00000000-0008-0000-0700-00001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137160</xdr:colOff>
          <xdr:row>17</xdr:row>
          <xdr:rowOff>198120</xdr:rowOff>
        </xdr:from>
        <xdr:to>
          <xdr:col>11</xdr:col>
          <xdr:colOff>487680</xdr:colOff>
          <xdr:row>17</xdr:row>
          <xdr:rowOff>419100</xdr:rowOff>
        </xdr:to>
        <xdr:sp macro="" textlink="">
          <xdr:nvSpPr>
            <xdr:cNvPr id="1056" name="Option Button 32" hidden="1">
              <a:extLst>
                <a:ext uri="{63B3BB69-23CF-44E3-9099-C40C66FF867C}">
                  <a14:compatExt spid="_x0000_s1056"/>
                </a:ext>
                <a:ext uri="{FF2B5EF4-FFF2-40B4-BE49-F238E27FC236}">
                  <a16:creationId xmlns:a16="http://schemas.microsoft.com/office/drawing/2014/main" id="{00000000-0008-0000-0700-00002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137160</xdr:colOff>
          <xdr:row>18</xdr:row>
          <xdr:rowOff>198120</xdr:rowOff>
        </xdr:from>
        <xdr:to>
          <xdr:col>5</xdr:col>
          <xdr:colOff>487680</xdr:colOff>
          <xdr:row>18</xdr:row>
          <xdr:rowOff>419100</xdr:rowOff>
        </xdr:to>
        <xdr:sp macro="" textlink="">
          <xdr:nvSpPr>
            <xdr:cNvPr id="1057" name="Option Button 33" hidden="1">
              <a:extLst>
                <a:ext uri="{63B3BB69-23CF-44E3-9099-C40C66FF867C}">
                  <a14:compatExt spid="_x0000_s1057"/>
                </a:ext>
                <a:ext uri="{FF2B5EF4-FFF2-40B4-BE49-F238E27FC236}">
                  <a16:creationId xmlns:a16="http://schemas.microsoft.com/office/drawing/2014/main" id="{00000000-0008-0000-0700-00002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137160</xdr:colOff>
          <xdr:row>18</xdr:row>
          <xdr:rowOff>198120</xdr:rowOff>
        </xdr:from>
        <xdr:to>
          <xdr:col>9</xdr:col>
          <xdr:colOff>60960</xdr:colOff>
          <xdr:row>18</xdr:row>
          <xdr:rowOff>419100</xdr:rowOff>
        </xdr:to>
        <xdr:sp macro="" textlink="">
          <xdr:nvSpPr>
            <xdr:cNvPr id="1058" name="Option Button 34" hidden="1">
              <a:extLst>
                <a:ext uri="{63B3BB69-23CF-44E3-9099-C40C66FF867C}">
                  <a14:compatExt spid="_x0000_s1058"/>
                </a:ext>
                <a:ext uri="{FF2B5EF4-FFF2-40B4-BE49-F238E27FC236}">
                  <a16:creationId xmlns:a16="http://schemas.microsoft.com/office/drawing/2014/main" id="{00000000-0008-0000-0700-00002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137160</xdr:colOff>
          <xdr:row>18</xdr:row>
          <xdr:rowOff>198120</xdr:rowOff>
        </xdr:from>
        <xdr:to>
          <xdr:col>11</xdr:col>
          <xdr:colOff>487680</xdr:colOff>
          <xdr:row>18</xdr:row>
          <xdr:rowOff>419100</xdr:rowOff>
        </xdr:to>
        <xdr:sp macro="" textlink="">
          <xdr:nvSpPr>
            <xdr:cNvPr id="1059" name="Option Button 35" hidden="1">
              <a:extLst>
                <a:ext uri="{63B3BB69-23CF-44E3-9099-C40C66FF867C}">
                  <a14:compatExt spid="_x0000_s1059"/>
                </a:ext>
                <a:ext uri="{FF2B5EF4-FFF2-40B4-BE49-F238E27FC236}">
                  <a16:creationId xmlns:a16="http://schemas.microsoft.com/office/drawing/2014/main" id="{00000000-0008-0000-0700-00002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137160</xdr:colOff>
          <xdr:row>19</xdr:row>
          <xdr:rowOff>198120</xdr:rowOff>
        </xdr:from>
        <xdr:to>
          <xdr:col>5</xdr:col>
          <xdr:colOff>487680</xdr:colOff>
          <xdr:row>19</xdr:row>
          <xdr:rowOff>419100</xdr:rowOff>
        </xdr:to>
        <xdr:sp macro="" textlink="">
          <xdr:nvSpPr>
            <xdr:cNvPr id="1060" name="Option Button 36" hidden="1">
              <a:extLst>
                <a:ext uri="{63B3BB69-23CF-44E3-9099-C40C66FF867C}">
                  <a14:compatExt spid="_x0000_s1060"/>
                </a:ext>
                <a:ext uri="{FF2B5EF4-FFF2-40B4-BE49-F238E27FC236}">
                  <a16:creationId xmlns:a16="http://schemas.microsoft.com/office/drawing/2014/main" id="{00000000-0008-0000-0700-00002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137160</xdr:colOff>
          <xdr:row>19</xdr:row>
          <xdr:rowOff>198120</xdr:rowOff>
        </xdr:from>
        <xdr:to>
          <xdr:col>9</xdr:col>
          <xdr:colOff>60960</xdr:colOff>
          <xdr:row>19</xdr:row>
          <xdr:rowOff>419100</xdr:rowOff>
        </xdr:to>
        <xdr:sp macro="" textlink="">
          <xdr:nvSpPr>
            <xdr:cNvPr id="1061" name="Option Button 37" hidden="1">
              <a:extLst>
                <a:ext uri="{63B3BB69-23CF-44E3-9099-C40C66FF867C}">
                  <a14:compatExt spid="_x0000_s1061"/>
                </a:ext>
                <a:ext uri="{FF2B5EF4-FFF2-40B4-BE49-F238E27FC236}">
                  <a16:creationId xmlns:a16="http://schemas.microsoft.com/office/drawing/2014/main" id="{00000000-0008-0000-0700-00002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137160</xdr:colOff>
          <xdr:row>19</xdr:row>
          <xdr:rowOff>198120</xdr:rowOff>
        </xdr:from>
        <xdr:to>
          <xdr:col>11</xdr:col>
          <xdr:colOff>487680</xdr:colOff>
          <xdr:row>19</xdr:row>
          <xdr:rowOff>419100</xdr:rowOff>
        </xdr:to>
        <xdr:sp macro="" textlink="">
          <xdr:nvSpPr>
            <xdr:cNvPr id="1062" name="Option Button 38" hidden="1">
              <a:extLst>
                <a:ext uri="{63B3BB69-23CF-44E3-9099-C40C66FF867C}">
                  <a14:compatExt spid="_x0000_s1062"/>
                </a:ext>
                <a:ext uri="{FF2B5EF4-FFF2-40B4-BE49-F238E27FC236}">
                  <a16:creationId xmlns:a16="http://schemas.microsoft.com/office/drawing/2014/main" id="{00000000-0008-0000-0700-00002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137160</xdr:colOff>
          <xdr:row>20</xdr:row>
          <xdr:rowOff>198120</xdr:rowOff>
        </xdr:from>
        <xdr:to>
          <xdr:col>5</xdr:col>
          <xdr:colOff>487680</xdr:colOff>
          <xdr:row>20</xdr:row>
          <xdr:rowOff>419100</xdr:rowOff>
        </xdr:to>
        <xdr:sp macro="" textlink="">
          <xdr:nvSpPr>
            <xdr:cNvPr id="1063" name="Option Button 39" hidden="1">
              <a:extLst>
                <a:ext uri="{63B3BB69-23CF-44E3-9099-C40C66FF867C}">
                  <a14:compatExt spid="_x0000_s1063"/>
                </a:ext>
                <a:ext uri="{FF2B5EF4-FFF2-40B4-BE49-F238E27FC236}">
                  <a16:creationId xmlns:a16="http://schemas.microsoft.com/office/drawing/2014/main" id="{00000000-0008-0000-0700-00002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137160</xdr:colOff>
          <xdr:row>20</xdr:row>
          <xdr:rowOff>198120</xdr:rowOff>
        </xdr:from>
        <xdr:to>
          <xdr:col>9</xdr:col>
          <xdr:colOff>60960</xdr:colOff>
          <xdr:row>20</xdr:row>
          <xdr:rowOff>419100</xdr:rowOff>
        </xdr:to>
        <xdr:sp macro="" textlink="">
          <xdr:nvSpPr>
            <xdr:cNvPr id="1064" name="Option Button 40" hidden="1">
              <a:extLst>
                <a:ext uri="{63B3BB69-23CF-44E3-9099-C40C66FF867C}">
                  <a14:compatExt spid="_x0000_s1064"/>
                </a:ext>
                <a:ext uri="{FF2B5EF4-FFF2-40B4-BE49-F238E27FC236}">
                  <a16:creationId xmlns:a16="http://schemas.microsoft.com/office/drawing/2014/main" id="{00000000-0008-0000-0700-00002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137160</xdr:colOff>
          <xdr:row>20</xdr:row>
          <xdr:rowOff>198120</xdr:rowOff>
        </xdr:from>
        <xdr:to>
          <xdr:col>11</xdr:col>
          <xdr:colOff>487680</xdr:colOff>
          <xdr:row>20</xdr:row>
          <xdr:rowOff>419100</xdr:rowOff>
        </xdr:to>
        <xdr:sp macro="" textlink="">
          <xdr:nvSpPr>
            <xdr:cNvPr id="1065" name="Option Button 41" hidden="1">
              <a:extLst>
                <a:ext uri="{63B3BB69-23CF-44E3-9099-C40C66FF867C}">
                  <a14:compatExt spid="_x0000_s1065"/>
                </a:ext>
                <a:ext uri="{FF2B5EF4-FFF2-40B4-BE49-F238E27FC236}">
                  <a16:creationId xmlns:a16="http://schemas.microsoft.com/office/drawing/2014/main" id="{00000000-0008-0000-0700-00002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137160</xdr:colOff>
          <xdr:row>21</xdr:row>
          <xdr:rowOff>198120</xdr:rowOff>
        </xdr:from>
        <xdr:to>
          <xdr:col>5</xdr:col>
          <xdr:colOff>487680</xdr:colOff>
          <xdr:row>21</xdr:row>
          <xdr:rowOff>419100</xdr:rowOff>
        </xdr:to>
        <xdr:sp macro="" textlink="">
          <xdr:nvSpPr>
            <xdr:cNvPr id="1066" name="Option Button 42" hidden="1">
              <a:extLst>
                <a:ext uri="{63B3BB69-23CF-44E3-9099-C40C66FF867C}">
                  <a14:compatExt spid="_x0000_s1066"/>
                </a:ext>
                <a:ext uri="{FF2B5EF4-FFF2-40B4-BE49-F238E27FC236}">
                  <a16:creationId xmlns:a16="http://schemas.microsoft.com/office/drawing/2014/main" id="{00000000-0008-0000-0700-00002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137160</xdr:colOff>
          <xdr:row>21</xdr:row>
          <xdr:rowOff>198120</xdr:rowOff>
        </xdr:from>
        <xdr:to>
          <xdr:col>9</xdr:col>
          <xdr:colOff>60960</xdr:colOff>
          <xdr:row>21</xdr:row>
          <xdr:rowOff>419100</xdr:rowOff>
        </xdr:to>
        <xdr:sp macro="" textlink="">
          <xdr:nvSpPr>
            <xdr:cNvPr id="1067" name="Option Button 43" hidden="1">
              <a:extLst>
                <a:ext uri="{63B3BB69-23CF-44E3-9099-C40C66FF867C}">
                  <a14:compatExt spid="_x0000_s1067"/>
                </a:ext>
                <a:ext uri="{FF2B5EF4-FFF2-40B4-BE49-F238E27FC236}">
                  <a16:creationId xmlns:a16="http://schemas.microsoft.com/office/drawing/2014/main" id="{00000000-0008-0000-0700-00002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137160</xdr:colOff>
          <xdr:row>21</xdr:row>
          <xdr:rowOff>198120</xdr:rowOff>
        </xdr:from>
        <xdr:to>
          <xdr:col>11</xdr:col>
          <xdr:colOff>487680</xdr:colOff>
          <xdr:row>21</xdr:row>
          <xdr:rowOff>419100</xdr:rowOff>
        </xdr:to>
        <xdr:sp macro="" textlink="">
          <xdr:nvSpPr>
            <xdr:cNvPr id="1068" name="Option Button 44" hidden="1">
              <a:extLst>
                <a:ext uri="{63B3BB69-23CF-44E3-9099-C40C66FF867C}">
                  <a14:compatExt spid="_x0000_s1068"/>
                </a:ext>
                <a:ext uri="{FF2B5EF4-FFF2-40B4-BE49-F238E27FC236}">
                  <a16:creationId xmlns:a16="http://schemas.microsoft.com/office/drawing/2014/main" id="{00000000-0008-0000-0700-00002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137160</xdr:colOff>
          <xdr:row>22</xdr:row>
          <xdr:rowOff>198120</xdr:rowOff>
        </xdr:from>
        <xdr:to>
          <xdr:col>5</xdr:col>
          <xdr:colOff>487680</xdr:colOff>
          <xdr:row>22</xdr:row>
          <xdr:rowOff>419100</xdr:rowOff>
        </xdr:to>
        <xdr:sp macro="" textlink="">
          <xdr:nvSpPr>
            <xdr:cNvPr id="1069" name="Option Button 45" hidden="1">
              <a:extLst>
                <a:ext uri="{63B3BB69-23CF-44E3-9099-C40C66FF867C}">
                  <a14:compatExt spid="_x0000_s1069"/>
                </a:ext>
                <a:ext uri="{FF2B5EF4-FFF2-40B4-BE49-F238E27FC236}">
                  <a16:creationId xmlns:a16="http://schemas.microsoft.com/office/drawing/2014/main" id="{00000000-0008-0000-0700-00002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137160</xdr:colOff>
          <xdr:row>22</xdr:row>
          <xdr:rowOff>198120</xdr:rowOff>
        </xdr:from>
        <xdr:to>
          <xdr:col>9</xdr:col>
          <xdr:colOff>60960</xdr:colOff>
          <xdr:row>22</xdr:row>
          <xdr:rowOff>419100</xdr:rowOff>
        </xdr:to>
        <xdr:sp macro="" textlink="">
          <xdr:nvSpPr>
            <xdr:cNvPr id="1070" name="Option Button 46" hidden="1">
              <a:extLst>
                <a:ext uri="{63B3BB69-23CF-44E3-9099-C40C66FF867C}">
                  <a14:compatExt spid="_x0000_s1070"/>
                </a:ext>
                <a:ext uri="{FF2B5EF4-FFF2-40B4-BE49-F238E27FC236}">
                  <a16:creationId xmlns:a16="http://schemas.microsoft.com/office/drawing/2014/main" id="{00000000-0008-0000-0700-00002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137160</xdr:colOff>
          <xdr:row>22</xdr:row>
          <xdr:rowOff>198120</xdr:rowOff>
        </xdr:from>
        <xdr:to>
          <xdr:col>11</xdr:col>
          <xdr:colOff>487680</xdr:colOff>
          <xdr:row>22</xdr:row>
          <xdr:rowOff>419100</xdr:rowOff>
        </xdr:to>
        <xdr:sp macro="" textlink="">
          <xdr:nvSpPr>
            <xdr:cNvPr id="1071" name="Option Button 47" hidden="1">
              <a:extLst>
                <a:ext uri="{63B3BB69-23CF-44E3-9099-C40C66FF867C}">
                  <a14:compatExt spid="_x0000_s1071"/>
                </a:ext>
                <a:ext uri="{FF2B5EF4-FFF2-40B4-BE49-F238E27FC236}">
                  <a16:creationId xmlns:a16="http://schemas.microsoft.com/office/drawing/2014/main" id="{00000000-0008-0000-0700-00002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137160</xdr:colOff>
          <xdr:row>23</xdr:row>
          <xdr:rowOff>198120</xdr:rowOff>
        </xdr:from>
        <xdr:to>
          <xdr:col>5</xdr:col>
          <xdr:colOff>487680</xdr:colOff>
          <xdr:row>23</xdr:row>
          <xdr:rowOff>419100</xdr:rowOff>
        </xdr:to>
        <xdr:sp macro="" textlink="">
          <xdr:nvSpPr>
            <xdr:cNvPr id="1072" name="Option Button 48" hidden="1">
              <a:extLst>
                <a:ext uri="{63B3BB69-23CF-44E3-9099-C40C66FF867C}">
                  <a14:compatExt spid="_x0000_s1072"/>
                </a:ext>
                <a:ext uri="{FF2B5EF4-FFF2-40B4-BE49-F238E27FC236}">
                  <a16:creationId xmlns:a16="http://schemas.microsoft.com/office/drawing/2014/main" id="{00000000-0008-0000-0700-00003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137160</xdr:colOff>
          <xdr:row>23</xdr:row>
          <xdr:rowOff>198120</xdr:rowOff>
        </xdr:from>
        <xdr:to>
          <xdr:col>9</xdr:col>
          <xdr:colOff>60960</xdr:colOff>
          <xdr:row>23</xdr:row>
          <xdr:rowOff>419100</xdr:rowOff>
        </xdr:to>
        <xdr:sp macro="" textlink="">
          <xdr:nvSpPr>
            <xdr:cNvPr id="1073" name="Option Button 49" hidden="1">
              <a:extLst>
                <a:ext uri="{63B3BB69-23CF-44E3-9099-C40C66FF867C}">
                  <a14:compatExt spid="_x0000_s1073"/>
                </a:ext>
                <a:ext uri="{FF2B5EF4-FFF2-40B4-BE49-F238E27FC236}">
                  <a16:creationId xmlns:a16="http://schemas.microsoft.com/office/drawing/2014/main" id="{00000000-0008-0000-0700-00003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137160</xdr:colOff>
          <xdr:row>23</xdr:row>
          <xdr:rowOff>198120</xdr:rowOff>
        </xdr:from>
        <xdr:to>
          <xdr:col>11</xdr:col>
          <xdr:colOff>487680</xdr:colOff>
          <xdr:row>23</xdr:row>
          <xdr:rowOff>419100</xdr:rowOff>
        </xdr:to>
        <xdr:sp macro="" textlink="">
          <xdr:nvSpPr>
            <xdr:cNvPr id="1074" name="Option Button 50" hidden="1">
              <a:extLst>
                <a:ext uri="{63B3BB69-23CF-44E3-9099-C40C66FF867C}">
                  <a14:compatExt spid="_x0000_s1074"/>
                </a:ext>
                <a:ext uri="{FF2B5EF4-FFF2-40B4-BE49-F238E27FC236}">
                  <a16:creationId xmlns:a16="http://schemas.microsoft.com/office/drawing/2014/main" id="{00000000-0008-0000-0700-00003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137160</xdr:colOff>
          <xdr:row>24</xdr:row>
          <xdr:rowOff>198120</xdr:rowOff>
        </xdr:from>
        <xdr:to>
          <xdr:col>5</xdr:col>
          <xdr:colOff>487680</xdr:colOff>
          <xdr:row>24</xdr:row>
          <xdr:rowOff>419100</xdr:rowOff>
        </xdr:to>
        <xdr:sp macro="" textlink="">
          <xdr:nvSpPr>
            <xdr:cNvPr id="1075" name="Option Button 51" hidden="1">
              <a:extLst>
                <a:ext uri="{63B3BB69-23CF-44E3-9099-C40C66FF867C}">
                  <a14:compatExt spid="_x0000_s1075"/>
                </a:ext>
                <a:ext uri="{FF2B5EF4-FFF2-40B4-BE49-F238E27FC236}">
                  <a16:creationId xmlns:a16="http://schemas.microsoft.com/office/drawing/2014/main" id="{00000000-0008-0000-0700-00003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137160</xdr:colOff>
          <xdr:row>24</xdr:row>
          <xdr:rowOff>198120</xdr:rowOff>
        </xdr:from>
        <xdr:to>
          <xdr:col>9</xdr:col>
          <xdr:colOff>60960</xdr:colOff>
          <xdr:row>24</xdr:row>
          <xdr:rowOff>419100</xdr:rowOff>
        </xdr:to>
        <xdr:sp macro="" textlink="">
          <xdr:nvSpPr>
            <xdr:cNvPr id="1076" name="Option Button 52" hidden="1">
              <a:extLst>
                <a:ext uri="{63B3BB69-23CF-44E3-9099-C40C66FF867C}">
                  <a14:compatExt spid="_x0000_s1076"/>
                </a:ext>
                <a:ext uri="{FF2B5EF4-FFF2-40B4-BE49-F238E27FC236}">
                  <a16:creationId xmlns:a16="http://schemas.microsoft.com/office/drawing/2014/main" id="{00000000-0008-0000-0700-00003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137160</xdr:colOff>
          <xdr:row>24</xdr:row>
          <xdr:rowOff>198120</xdr:rowOff>
        </xdr:from>
        <xdr:to>
          <xdr:col>11</xdr:col>
          <xdr:colOff>487680</xdr:colOff>
          <xdr:row>24</xdr:row>
          <xdr:rowOff>419100</xdr:rowOff>
        </xdr:to>
        <xdr:sp macro="" textlink="">
          <xdr:nvSpPr>
            <xdr:cNvPr id="1077" name="Option Button 53" hidden="1">
              <a:extLst>
                <a:ext uri="{63B3BB69-23CF-44E3-9099-C40C66FF867C}">
                  <a14:compatExt spid="_x0000_s1077"/>
                </a:ext>
                <a:ext uri="{FF2B5EF4-FFF2-40B4-BE49-F238E27FC236}">
                  <a16:creationId xmlns:a16="http://schemas.microsoft.com/office/drawing/2014/main" id="{00000000-0008-0000-0700-00003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mailto:baraa.boughanmi@avocarbon.com" TargetMode="External"/><Relationship Id="rId7" Type="http://schemas.openxmlformats.org/officeDocument/2006/relationships/comments" Target="../comments1.xml"/><Relationship Id="rId2" Type="http://schemas.openxmlformats.org/officeDocument/2006/relationships/hyperlink" Target="mailto:riadh.nefzi@avocarbon.com" TargetMode="External"/><Relationship Id="rId1" Type="http://schemas.openxmlformats.org/officeDocument/2006/relationships/hyperlink" Target="mailto:Lassaad.charaabi@avocarbon.com" TargetMode="External"/><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omments" Target="../comments4.xml"/><Relationship Id="rId4" Type="http://schemas.openxmlformats.org/officeDocument/2006/relationships/ctrlProp" Target="../ctrlProps/ctrlProp8.xml"/></Relationships>
</file>

<file path=xl/worksheets/_rels/sheet8.xml.rels><?xml version="1.0" encoding="UTF-8" standalone="yes"?>
<Relationships xmlns="http://schemas.openxmlformats.org/package/2006/relationships"><Relationship Id="rId13" Type="http://schemas.openxmlformats.org/officeDocument/2006/relationships/ctrlProp" Target="../ctrlProps/ctrlProp18.xml"/><Relationship Id="rId18" Type="http://schemas.openxmlformats.org/officeDocument/2006/relationships/ctrlProp" Target="../ctrlProps/ctrlProp23.xml"/><Relationship Id="rId26" Type="http://schemas.openxmlformats.org/officeDocument/2006/relationships/ctrlProp" Target="../ctrlProps/ctrlProp31.xml"/><Relationship Id="rId39" Type="http://schemas.openxmlformats.org/officeDocument/2006/relationships/ctrlProp" Target="../ctrlProps/ctrlProp44.xml"/><Relationship Id="rId21" Type="http://schemas.openxmlformats.org/officeDocument/2006/relationships/ctrlProp" Target="../ctrlProps/ctrlProp26.xml"/><Relationship Id="rId34" Type="http://schemas.openxmlformats.org/officeDocument/2006/relationships/ctrlProp" Target="../ctrlProps/ctrlProp39.xml"/><Relationship Id="rId42" Type="http://schemas.openxmlformats.org/officeDocument/2006/relationships/ctrlProp" Target="../ctrlProps/ctrlProp47.xml"/><Relationship Id="rId47" Type="http://schemas.openxmlformats.org/officeDocument/2006/relationships/ctrlProp" Target="../ctrlProps/ctrlProp52.xml"/><Relationship Id="rId50" Type="http://schemas.openxmlformats.org/officeDocument/2006/relationships/ctrlProp" Target="../ctrlProps/ctrlProp55.xml"/><Relationship Id="rId55" Type="http://schemas.openxmlformats.org/officeDocument/2006/relationships/ctrlProp" Target="../ctrlProps/ctrlProp60.xml"/><Relationship Id="rId7" Type="http://schemas.openxmlformats.org/officeDocument/2006/relationships/ctrlProp" Target="../ctrlProps/ctrlProp12.xml"/><Relationship Id="rId2" Type="http://schemas.openxmlformats.org/officeDocument/2006/relationships/drawing" Target="../drawings/drawing8.xml"/><Relationship Id="rId16" Type="http://schemas.openxmlformats.org/officeDocument/2006/relationships/ctrlProp" Target="../ctrlProps/ctrlProp21.xml"/><Relationship Id="rId29" Type="http://schemas.openxmlformats.org/officeDocument/2006/relationships/ctrlProp" Target="../ctrlProps/ctrlProp34.xml"/><Relationship Id="rId11" Type="http://schemas.openxmlformats.org/officeDocument/2006/relationships/ctrlProp" Target="../ctrlProps/ctrlProp16.xml"/><Relationship Id="rId24" Type="http://schemas.openxmlformats.org/officeDocument/2006/relationships/ctrlProp" Target="../ctrlProps/ctrlProp29.xml"/><Relationship Id="rId32" Type="http://schemas.openxmlformats.org/officeDocument/2006/relationships/ctrlProp" Target="../ctrlProps/ctrlProp37.xml"/><Relationship Id="rId37" Type="http://schemas.openxmlformats.org/officeDocument/2006/relationships/ctrlProp" Target="../ctrlProps/ctrlProp42.xml"/><Relationship Id="rId40" Type="http://schemas.openxmlformats.org/officeDocument/2006/relationships/ctrlProp" Target="../ctrlProps/ctrlProp45.xml"/><Relationship Id="rId45" Type="http://schemas.openxmlformats.org/officeDocument/2006/relationships/ctrlProp" Target="../ctrlProps/ctrlProp50.xml"/><Relationship Id="rId53" Type="http://schemas.openxmlformats.org/officeDocument/2006/relationships/ctrlProp" Target="../ctrlProps/ctrlProp58.xml"/><Relationship Id="rId5" Type="http://schemas.openxmlformats.org/officeDocument/2006/relationships/ctrlProp" Target="../ctrlProps/ctrlProp10.xml"/><Relationship Id="rId10" Type="http://schemas.openxmlformats.org/officeDocument/2006/relationships/ctrlProp" Target="../ctrlProps/ctrlProp15.xml"/><Relationship Id="rId19" Type="http://schemas.openxmlformats.org/officeDocument/2006/relationships/ctrlProp" Target="../ctrlProps/ctrlProp24.xml"/><Relationship Id="rId31" Type="http://schemas.openxmlformats.org/officeDocument/2006/relationships/ctrlProp" Target="../ctrlProps/ctrlProp36.xml"/><Relationship Id="rId44" Type="http://schemas.openxmlformats.org/officeDocument/2006/relationships/ctrlProp" Target="../ctrlProps/ctrlProp49.xml"/><Relationship Id="rId52" Type="http://schemas.openxmlformats.org/officeDocument/2006/relationships/ctrlProp" Target="../ctrlProps/ctrlProp57.xml"/><Relationship Id="rId4" Type="http://schemas.openxmlformats.org/officeDocument/2006/relationships/ctrlProp" Target="../ctrlProps/ctrlProp9.xml"/><Relationship Id="rId9" Type="http://schemas.openxmlformats.org/officeDocument/2006/relationships/ctrlProp" Target="../ctrlProps/ctrlProp14.xml"/><Relationship Id="rId14" Type="http://schemas.openxmlformats.org/officeDocument/2006/relationships/ctrlProp" Target="../ctrlProps/ctrlProp19.xml"/><Relationship Id="rId22" Type="http://schemas.openxmlformats.org/officeDocument/2006/relationships/ctrlProp" Target="../ctrlProps/ctrlProp27.xml"/><Relationship Id="rId27" Type="http://schemas.openxmlformats.org/officeDocument/2006/relationships/ctrlProp" Target="../ctrlProps/ctrlProp32.xml"/><Relationship Id="rId30" Type="http://schemas.openxmlformats.org/officeDocument/2006/relationships/ctrlProp" Target="../ctrlProps/ctrlProp35.xml"/><Relationship Id="rId35" Type="http://schemas.openxmlformats.org/officeDocument/2006/relationships/ctrlProp" Target="../ctrlProps/ctrlProp40.xml"/><Relationship Id="rId43" Type="http://schemas.openxmlformats.org/officeDocument/2006/relationships/ctrlProp" Target="../ctrlProps/ctrlProp48.xml"/><Relationship Id="rId48" Type="http://schemas.openxmlformats.org/officeDocument/2006/relationships/ctrlProp" Target="../ctrlProps/ctrlProp53.xml"/><Relationship Id="rId8" Type="http://schemas.openxmlformats.org/officeDocument/2006/relationships/ctrlProp" Target="../ctrlProps/ctrlProp13.xml"/><Relationship Id="rId51" Type="http://schemas.openxmlformats.org/officeDocument/2006/relationships/ctrlProp" Target="../ctrlProps/ctrlProp56.xml"/><Relationship Id="rId3" Type="http://schemas.openxmlformats.org/officeDocument/2006/relationships/vmlDrawing" Target="../drawings/vmlDrawing6.vml"/><Relationship Id="rId12" Type="http://schemas.openxmlformats.org/officeDocument/2006/relationships/ctrlProp" Target="../ctrlProps/ctrlProp17.xml"/><Relationship Id="rId17" Type="http://schemas.openxmlformats.org/officeDocument/2006/relationships/ctrlProp" Target="../ctrlProps/ctrlProp22.xml"/><Relationship Id="rId25" Type="http://schemas.openxmlformats.org/officeDocument/2006/relationships/ctrlProp" Target="../ctrlProps/ctrlProp30.xml"/><Relationship Id="rId33" Type="http://schemas.openxmlformats.org/officeDocument/2006/relationships/ctrlProp" Target="../ctrlProps/ctrlProp38.xml"/><Relationship Id="rId38" Type="http://schemas.openxmlformats.org/officeDocument/2006/relationships/ctrlProp" Target="../ctrlProps/ctrlProp43.xml"/><Relationship Id="rId46" Type="http://schemas.openxmlformats.org/officeDocument/2006/relationships/ctrlProp" Target="../ctrlProps/ctrlProp51.xml"/><Relationship Id="rId20" Type="http://schemas.openxmlformats.org/officeDocument/2006/relationships/ctrlProp" Target="../ctrlProps/ctrlProp25.xml"/><Relationship Id="rId41" Type="http://schemas.openxmlformats.org/officeDocument/2006/relationships/ctrlProp" Target="../ctrlProps/ctrlProp46.xml"/><Relationship Id="rId54" Type="http://schemas.openxmlformats.org/officeDocument/2006/relationships/ctrlProp" Target="../ctrlProps/ctrlProp59.xml"/><Relationship Id="rId1" Type="http://schemas.openxmlformats.org/officeDocument/2006/relationships/printerSettings" Target="../printerSettings/printerSettings8.bin"/><Relationship Id="rId6" Type="http://schemas.openxmlformats.org/officeDocument/2006/relationships/ctrlProp" Target="../ctrlProps/ctrlProp11.xml"/><Relationship Id="rId15" Type="http://schemas.openxmlformats.org/officeDocument/2006/relationships/ctrlProp" Target="../ctrlProps/ctrlProp20.xml"/><Relationship Id="rId23" Type="http://schemas.openxmlformats.org/officeDocument/2006/relationships/ctrlProp" Target="../ctrlProps/ctrlProp28.xml"/><Relationship Id="rId28" Type="http://schemas.openxmlformats.org/officeDocument/2006/relationships/ctrlProp" Target="../ctrlProps/ctrlProp33.xml"/><Relationship Id="rId36" Type="http://schemas.openxmlformats.org/officeDocument/2006/relationships/ctrlProp" Target="../ctrlProps/ctrlProp41.xml"/><Relationship Id="rId49" Type="http://schemas.openxmlformats.org/officeDocument/2006/relationships/ctrlProp" Target="../ctrlProps/ctrlProp5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Arkusz1">
    <pageSetUpPr fitToPage="1"/>
  </sheetPr>
  <dimension ref="A1:AF81"/>
  <sheetViews>
    <sheetView tabSelected="1" view="pageBreakPreview" zoomScaleNormal="100" zoomScaleSheetLayoutView="100" workbookViewId="0">
      <selection activeCell="F6" sqref="F6:J6"/>
    </sheetView>
  </sheetViews>
  <sheetFormatPr baseColWidth="10" defaultColWidth="4.33203125" defaultRowHeight="10.199999999999999"/>
  <cols>
    <col min="1" max="1" width="1.44140625" style="46" customWidth="1"/>
    <col min="2" max="21" width="4.33203125" style="46" customWidth="1"/>
    <col min="22" max="22" width="5.5546875" style="46" customWidth="1"/>
    <col min="23" max="23" width="4.33203125" style="46" customWidth="1"/>
    <col min="24" max="24" width="9.88671875" style="46" customWidth="1"/>
    <col min="25" max="25" width="1.44140625" style="46" customWidth="1"/>
    <col min="26" max="29" width="4.33203125" style="46" customWidth="1"/>
    <col min="30" max="30" width="4.33203125" style="47" customWidth="1"/>
    <col min="31" max="16384" width="4.33203125" style="46"/>
  </cols>
  <sheetData>
    <row r="1" spans="1:32" ht="12.75" customHeight="1">
      <c r="A1" s="365"/>
      <c r="B1" s="365"/>
      <c r="C1" s="365"/>
      <c r="D1" s="365"/>
      <c r="E1" s="365"/>
      <c r="F1" s="365"/>
      <c r="G1" s="365"/>
      <c r="H1" s="365"/>
      <c r="I1" s="365"/>
      <c r="J1" s="418" t="s">
        <v>183</v>
      </c>
      <c r="K1" s="418"/>
      <c r="L1" s="418"/>
      <c r="M1" s="418"/>
      <c r="N1" s="418"/>
      <c r="O1" s="418"/>
      <c r="P1" s="418"/>
      <c r="Q1" s="418"/>
      <c r="R1" s="417" t="s">
        <v>182</v>
      </c>
      <c r="S1" s="417"/>
      <c r="T1" s="417"/>
      <c r="U1" s="417"/>
      <c r="V1" s="417"/>
      <c r="W1" s="417"/>
      <c r="X1" s="417"/>
      <c r="Y1" s="417"/>
      <c r="AD1" s="47" t="s">
        <v>181</v>
      </c>
    </row>
    <row r="2" spans="1:32">
      <c r="A2" s="365"/>
      <c r="B2" s="365"/>
      <c r="C2" s="365"/>
      <c r="D2" s="365"/>
      <c r="E2" s="365"/>
      <c r="F2" s="365"/>
      <c r="G2" s="365"/>
      <c r="H2" s="365"/>
      <c r="I2" s="365"/>
      <c r="J2" s="418"/>
      <c r="K2" s="418"/>
      <c r="L2" s="418"/>
      <c r="M2" s="418"/>
      <c r="N2" s="418"/>
      <c r="O2" s="418"/>
      <c r="P2" s="418"/>
      <c r="Q2" s="418"/>
      <c r="R2" s="417"/>
      <c r="S2" s="417"/>
      <c r="T2" s="417"/>
      <c r="U2" s="417"/>
      <c r="V2" s="417"/>
      <c r="W2" s="417"/>
      <c r="X2" s="417"/>
      <c r="Y2" s="417"/>
      <c r="AD2" s="47" t="s">
        <v>180</v>
      </c>
    </row>
    <row r="3" spans="1:32" ht="10.8" thickBot="1">
      <c r="A3" s="416"/>
      <c r="B3" s="416"/>
      <c r="C3" s="416"/>
      <c r="D3" s="416"/>
      <c r="E3" s="416"/>
      <c r="F3" s="416"/>
      <c r="G3" s="416"/>
      <c r="H3" s="416"/>
      <c r="I3" s="416"/>
      <c r="J3" s="419"/>
      <c r="K3" s="419"/>
      <c r="L3" s="419"/>
      <c r="M3" s="419"/>
      <c r="N3" s="419"/>
      <c r="O3" s="419"/>
      <c r="P3" s="419"/>
      <c r="Q3" s="419"/>
      <c r="R3" s="417"/>
      <c r="S3" s="417"/>
      <c r="T3" s="417"/>
      <c r="U3" s="417"/>
      <c r="V3" s="417"/>
      <c r="W3" s="417"/>
      <c r="X3" s="417"/>
      <c r="Y3" s="417"/>
      <c r="AD3" s="47" t="s">
        <v>179</v>
      </c>
    </row>
    <row r="4" spans="1:32">
      <c r="A4" s="88" t="s">
        <v>178</v>
      </c>
      <c r="B4" s="86"/>
      <c r="C4" s="86"/>
      <c r="D4" s="86"/>
      <c r="E4" s="86"/>
      <c r="F4" s="420" t="s">
        <v>167</v>
      </c>
      <c r="G4" s="420"/>
      <c r="H4" s="420"/>
      <c r="I4" s="420"/>
      <c r="J4" s="420"/>
      <c r="K4" s="87" t="s">
        <v>177</v>
      </c>
      <c r="L4" s="86"/>
      <c r="M4" s="420" t="s">
        <v>348</v>
      </c>
      <c r="N4" s="420"/>
      <c r="O4" s="420"/>
      <c r="P4" s="420"/>
      <c r="Q4" s="420"/>
      <c r="R4" s="86"/>
      <c r="S4" s="87" t="s">
        <v>176</v>
      </c>
      <c r="T4" s="86"/>
      <c r="U4" s="86"/>
      <c r="V4" s="423">
        <v>45946</v>
      </c>
      <c r="W4" s="423"/>
      <c r="X4" s="423"/>
      <c r="Y4" s="424"/>
      <c r="AD4" s="47" t="s">
        <v>175</v>
      </c>
    </row>
    <row r="5" spans="1:32">
      <c r="A5" s="85" t="s">
        <v>174</v>
      </c>
      <c r="B5" s="83"/>
      <c r="C5" s="83"/>
      <c r="D5" s="83"/>
      <c r="E5" s="83"/>
      <c r="F5" s="428" t="s">
        <v>351</v>
      </c>
      <c r="G5" s="428"/>
      <c r="H5" s="428"/>
      <c r="I5" s="428"/>
      <c r="J5" s="428"/>
      <c r="K5" s="84" t="s">
        <v>173</v>
      </c>
      <c r="L5" s="83"/>
      <c r="M5" s="428"/>
      <c r="N5" s="428"/>
      <c r="O5" s="428"/>
      <c r="P5" s="428"/>
      <c r="Q5" s="428"/>
      <c r="R5" s="83"/>
      <c r="S5" s="84" t="s">
        <v>172</v>
      </c>
      <c r="T5" s="83"/>
      <c r="U5" s="83"/>
      <c r="V5" s="421">
        <v>45947</v>
      </c>
      <c r="W5" s="421"/>
      <c r="X5" s="421"/>
      <c r="Y5" s="422"/>
      <c r="AD5" s="47" t="s">
        <v>171</v>
      </c>
    </row>
    <row r="6" spans="1:32" ht="10.8" thickBot="1">
      <c r="A6" s="82" t="s">
        <v>170</v>
      </c>
      <c r="B6" s="79"/>
      <c r="C6" s="79"/>
      <c r="D6" s="79"/>
      <c r="E6" s="79"/>
      <c r="F6" s="427" t="s">
        <v>353</v>
      </c>
      <c r="G6" s="427"/>
      <c r="H6" s="427"/>
      <c r="I6" s="427"/>
      <c r="J6" s="427"/>
      <c r="K6" s="81" t="s">
        <v>169</v>
      </c>
      <c r="L6" s="79"/>
      <c r="M6" s="427"/>
      <c r="N6" s="427"/>
      <c r="O6" s="427"/>
      <c r="P6" s="427"/>
      <c r="Q6" s="427"/>
      <c r="R6" s="79"/>
      <c r="S6" s="80" t="s">
        <v>168</v>
      </c>
      <c r="T6" s="79"/>
      <c r="U6" s="79"/>
      <c r="V6" s="425">
        <v>45947</v>
      </c>
      <c r="W6" s="425"/>
      <c r="X6" s="425"/>
      <c r="Y6" s="426"/>
      <c r="AD6" s="47" t="s">
        <v>167</v>
      </c>
    </row>
    <row r="7" spans="1:32" ht="10.8" thickBot="1">
      <c r="AD7" s="47" t="s">
        <v>166</v>
      </c>
      <c r="AE7" s="78"/>
      <c r="AF7" s="78"/>
    </row>
    <row r="8" spans="1:32" ht="13.8">
      <c r="A8" s="440" t="s">
        <v>165</v>
      </c>
      <c r="B8" s="441"/>
      <c r="C8" s="441"/>
      <c r="D8" s="441"/>
      <c r="E8" s="441"/>
      <c r="F8" s="441"/>
      <c r="G8" s="441"/>
      <c r="H8" s="441"/>
      <c r="I8" s="441"/>
      <c r="J8" s="441"/>
      <c r="K8" s="441"/>
      <c r="L8" s="441"/>
      <c r="M8" s="441"/>
      <c r="N8" s="441"/>
      <c r="O8" s="441"/>
      <c r="P8" s="441"/>
      <c r="Q8" s="441"/>
      <c r="R8" s="441"/>
      <c r="S8" s="441"/>
      <c r="T8" s="441"/>
      <c r="U8" s="441"/>
      <c r="V8" s="441"/>
      <c r="W8" s="441"/>
      <c r="X8" s="441"/>
      <c r="Y8" s="442"/>
      <c r="AD8" s="47" t="s">
        <v>164</v>
      </c>
    </row>
    <row r="9" spans="1:32" ht="12.6" thickBot="1">
      <c r="A9" s="443" t="s">
        <v>163</v>
      </c>
      <c r="B9" s="444"/>
      <c r="C9" s="444"/>
      <c r="D9" s="444"/>
      <c r="E9" s="444"/>
      <c r="F9" s="444"/>
      <c r="G9" s="444"/>
      <c r="H9" s="444"/>
      <c r="I9" s="444"/>
      <c r="J9" s="444"/>
      <c r="K9" s="444"/>
      <c r="L9" s="444"/>
      <c r="M9" s="444"/>
      <c r="N9" s="444"/>
      <c r="O9" s="444"/>
      <c r="P9" s="444"/>
      <c r="Q9" s="444"/>
      <c r="R9" s="444"/>
      <c r="S9" s="444"/>
      <c r="T9" s="444"/>
      <c r="U9" s="444"/>
      <c r="V9" s="444"/>
      <c r="W9" s="444"/>
      <c r="X9" s="444"/>
      <c r="Y9" s="445"/>
    </row>
    <row r="10" spans="1:32" ht="7.5" customHeight="1" thickBot="1">
      <c r="B10" s="47"/>
      <c r="D10" s="47"/>
      <c r="F10" s="47"/>
      <c r="H10" s="47"/>
      <c r="J10" s="47"/>
      <c r="L10" s="47"/>
      <c r="N10" s="47"/>
      <c r="P10" s="47"/>
      <c r="R10" s="47"/>
      <c r="T10" s="47"/>
      <c r="V10" s="47"/>
      <c r="X10" s="47"/>
      <c r="Z10" s="47"/>
    </row>
    <row r="11" spans="1:32" ht="13.8" thickBot="1">
      <c r="A11" s="59" t="s">
        <v>162</v>
      </c>
      <c r="B11" s="57"/>
      <c r="C11" s="57"/>
      <c r="D11" s="57"/>
      <c r="E11" s="57"/>
      <c r="F11" s="57"/>
      <c r="G11" s="57"/>
      <c r="H11" s="57"/>
      <c r="I11" s="57"/>
      <c r="J11" s="57"/>
      <c r="K11" s="57"/>
      <c r="L11" s="57"/>
      <c r="M11" s="57"/>
      <c r="N11" s="57"/>
      <c r="O11" s="57"/>
      <c r="P11" s="57"/>
      <c r="Q11" s="57"/>
      <c r="R11" s="57"/>
      <c r="S11" s="57"/>
      <c r="T11" s="57"/>
      <c r="U11" s="57"/>
      <c r="V11" s="57"/>
      <c r="W11" s="57"/>
      <c r="X11" s="57"/>
      <c r="Y11" s="56"/>
    </row>
    <row r="12" spans="1:32">
      <c r="A12" s="52"/>
      <c r="B12" s="53" t="s">
        <v>161</v>
      </c>
      <c r="Y12" s="51"/>
      <c r="AD12" s="47" t="s">
        <v>160</v>
      </c>
    </row>
    <row r="13" spans="1:32">
      <c r="A13" s="52"/>
      <c r="B13" s="446" t="s">
        <v>159</v>
      </c>
      <c r="C13" s="446"/>
      <c r="D13" s="446"/>
      <c r="E13" s="447"/>
      <c r="F13" s="395" t="s">
        <v>357</v>
      </c>
      <c r="G13" s="396"/>
      <c r="H13" s="396"/>
      <c r="I13" s="396"/>
      <c r="J13" s="396"/>
      <c r="K13" s="396"/>
      <c r="L13" s="397"/>
      <c r="N13" s="446" t="s">
        <v>158</v>
      </c>
      <c r="O13" s="446"/>
      <c r="P13" s="446"/>
      <c r="Q13" s="447"/>
      <c r="R13" s="395" t="s">
        <v>356</v>
      </c>
      <c r="S13" s="396"/>
      <c r="T13" s="396"/>
      <c r="U13" s="396"/>
      <c r="V13" s="396"/>
      <c r="W13" s="396"/>
      <c r="X13" s="397"/>
      <c r="Y13" s="51"/>
      <c r="AD13" s="47" t="s">
        <v>157</v>
      </c>
    </row>
    <row r="14" spans="1:32">
      <c r="A14" s="52"/>
      <c r="B14" s="446"/>
      <c r="C14" s="446"/>
      <c r="D14" s="446"/>
      <c r="E14" s="447"/>
      <c r="F14" s="392"/>
      <c r="G14" s="393"/>
      <c r="H14" s="393"/>
      <c r="I14" s="393"/>
      <c r="J14" s="393"/>
      <c r="K14" s="393"/>
      <c r="L14" s="394"/>
      <c r="N14" s="446"/>
      <c r="O14" s="446"/>
      <c r="P14" s="446"/>
      <c r="Q14" s="447"/>
      <c r="R14" s="392"/>
      <c r="S14" s="393"/>
      <c r="T14" s="393"/>
      <c r="U14" s="393"/>
      <c r="V14" s="393"/>
      <c r="W14" s="393"/>
      <c r="X14" s="394"/>
      <c r="Y14" s="51"/>
      <c r="AD14" s="47" t="s">
        <v>156</v>
      </c>
    </row>
    <row r="15" spans="1:32">
      <c r="A15" s="52"/>
      <c r="B15" s="446"/>
      <c r="C15" s="446"/>
      <c r="D15" s="446"/>
      <c r="E15" s="447"/>
      <c r="F15" s="392"/>
      <c r="G15" s="393"/>
      <c r="H15" s="393"/>
      <c r="I15" s="393"/>
      <c r="J15" s="393"/>
      <c r="K15" s="393"/>
      <c r="L15" s="394"/>
      <c r="N15" s="446" t="s">
        <v>155</v>
      </c>
      <c r="O15" s="446"/>
      <c r="P15" s="446"/>
      <c r="Q15" s="447"/>
      <c r="R15" s="392" t="s">
        <v>358</v>
      </c>
      <c r="S15" s="393"/>
      <c r="T15" s="393"/>
      <c r="U15" s="393"/>
      <c r="V15" s="393"/>
      <c r="W15" s="393"/>
      <c r="X15" s="394"/>
      <c r="Y15" s="51"/>
      <c r="AD15" s="47" t="s">
        <v>154</v>
      </c>
    </row>
    <row r="16" spans="1:32">
      <c r="A16" s="52"/>
      <c r="B16" s="46" t="s">
        <v>153</v>
      </c>
      <c r="F16" s="383" t="s">
        <v>160</v>
      </c>
      <c r="G16" s="342"/>
      <c r="H16" s="342"/>
      <c r="I16" s="342"/>
      <c r="J16" s="342"/>
      <c r="K16" s="342"/>
      <c r="L16" s="343"/>
      <c r="N16" s="446"/>
      <c r="O16" s="446"/>
      <c r="P16" s="446"/>
      <c r="Q16" s="447"/>
      <c r="R16" s="392"/>
      <c r="S16" s="393"/>
      <c r="T16" s="393"/>
      <c r="U16" s="393"/>
      <c r="V16" s="393"/>
      <c r="W16" s="393"/>
      <c r="X16" s="394"/>
      <c r="Y16" s="51"/>
      <c r="AD16" s="47" t="s">
        <v>349</v>
      </c>
    </row>
    <row r="17" spans="1:30" ht="13.2">
      <c r="A17" s="52"/>
      <c r="B17" s="46" t="s">
        <v>152</v>
      </c>
      <c r="F17" s="383" t="s">
        <v>354</v>
      </c>
      <c r="G17" s="342"/>
      <c r="H17" s="342"/>
      <c r="I17" s="342"/>
      <c r="J17" s="342"/>
      <c r="K17" s="342"/>
      <c r="L17" s="343"/>
      <c r="N17" s="46" t="s">
        <v>151</v>
      </c>
      <c r="R17" s="380">
        <v>45930</v>
      </c>
      <c r="S17" s="381"/>
      <c r="T17" s="381"/>
      <c r="U17" s="381"/>
      <c r="V17" s="381"/>
      <c r="W17" s="381"/>
      <c r="X17" s="382"/>
      <c r="Y17" s="51"/>
      <c r="AD17" s="47" t="s">
        <v>150</v>
      </c>
    </row>
    <row r="18" spans="1:30">
      <c r="A18" s="52"/>
      <c r="B18" s="46" t="s">
        <v>149</v>
      </c>
      <c r="F18" s="383" t="s">
        <v>355</v>
      </c>
      <c r="G18" s="342"/>
      <c r="H18" s="342"/>
      <c r="I18" s="342"/>
      <c r="J18" s="342"/>
      <c r="K18" s="342"/>
      <c r="L18" s="343"/>
      <c r="N18" s="46" t="s">
        <v>148</v>
      </c>
      <c r="R18" s="383" t="s">
        <v>350</v>
      </c>
      <c r="S18" s="342"/>
      <c r="T18" s="342"/>
      <c r="U18" s="342"/>
      <c r="V18" s="342"/>
      <c r="W18" s="342"/>
      <c r="X18" s="343"/>
      <c r="Y18" s="51"/>
      <c r="AD18" s="47" t="s">
        <v>147</v>
      </c>
    </row>
    <row r="19" spans="1:30" ht="11.25" customHeight="1">
      <c r="A19" s="52"/>
      <c r="B19" s="46" t="s">
        <v>146</v>
      </c>
      <c r="F19" s="341">
        <v>2508292</v>
      </c>
      <c r="G19" s="342"/>
      <c r="H19" s="342"/>
      <c r="I19" s="342"/>
      <c r="J19" s="342"/>
      <c r="K19" s="342"/>
      <c r="L19" s="343"/>
      <c r="N19" s="46" t="s">
        <v>145</v>
      </c>
      <c r="R19" s="383" t="s">
        <v>359</v>
      </c>
      <c r="S19" s="342"/>
      <c r="T19" s="342"/>
      <c r="U19" s="342"/>
      <c r="V19" s="342"/>
      <c r="W19" s="342"/>
      <c r="X19" s="343"/>
      <c r="Y19" s="51"/>
    </row>
    <row r="20" spans="1:30">
      <c r="A20" s="52"/>
      <c r="B20" s="46" t="s">
        <v>144</v>
      </c>
      <c r="F20" s="383" t="s">
        <v>147</v>
      </c>
      <c r="G20" s="342"/>
      <c r="H20" s="342"/>
      <c r="I20" s="342"/>
      <c r="J20" s="342"/>
      <c r="K20" s="342"/>
      <c r="L20" s="343"/>
      <c r="N20" s="46" t="s">
        <v>143</v>
      </c>
      <c r="R20" s="383" t="s">
        <v>360</v>
      </c>
      <c r="S20" s="342"/>
      <c r="T20" s="342"/>
      <c r="U20" s="342"/>
      <c r="V20" s="342"/>
      <c r="W20" s="342"/>
      <c r="X20" s="343"/>
      <c r="Y20" s="51"/>
      <c r="AD20" s="47" t="s">
        <v>142</v>
      </c>
    </row>
    <row r="21" spans="1:30">
      <c r="A21" s="52"/>
      <c r="B21" s="46" t="s">
        <v>141</v>
      </c>
      <c r="F21" s="349" t="s">
        <v>80</v>
      </c>
      <c r="G21" s="350"/>
      <c r="H21" s="350"/>
      <c r="I21" s="350"/>
      <c r="J21" s="350"/>
      <c r="K21" s="350"/>
      <c r="L21" s="351"/>
      <c r="N21" s="46" t="s">
        <v>140</v>
      </c>
      <c r="R21" s="349">
        <v>2</v>
      </c>
      <c r="S21" s="350"/>
      <c r="T21" s="350"/>
      <c r="U21" s="350"/>
      <c r="V21" s="350"/>
      <c r="W21" s="350"/>
      <c r="X21" s="351"/>
      <c r="Y21" s="51"/>
      <c r="AD21" s="47" t="s">
        <v>139</v>
      </c>
    </row>
    <row r="22" spans="1:30" ht="10.8" thickBot="1">
      <c r="A22" s="52"/>
      <c r="Y22" s="51"/>
      <c r="AD22" s="47" t="s">
        <v>80</v>
      </c>
    </row>
    <row r="23" spans="1:30" ht="12.75" customHeight="1">
      <c r="A23" s="52"/>
      <c r="B23" s="401" t="s">
        <v>138</v>
      </c>
      <c r="C23" s="402"/>
      <c r="D23" s="77"/>
      <c r="E23" s="77"/>
      <c r="F23" s="77"/>
      <c r="G23" s="77"/>
      <c r="H23" s="77"/>
      <c r="I23" s="77"/>
      <c r="J23" s="77"/>
      <c r="K23" s="77"/>
      <c r="L23" s="76"/>
      <c r="N23" s="407" t="s">
        <v>137</v>
      </c>
      <c r="O23" s="408"/>
      <c r="P23" s="75"/>
      <c r="Q23" s="75"/>
      <c r="R23" s="75"/>
      <c r="S23" s="75"/>
      <c r="T23" s="75"/>
      <c r="U23" s="75"/>
      <c r="V23" s="75"/>
      <c r="W23" s="75"/>
      <c r="X23" s="74"/>
      <c r="Y23" s="51"/>
      <c r="AD23" s="47" t="s">
        <v>352</v>
      </c>
    </row>
    <row r="24" spans="1:30" ht="12.75" customHeight="1">
      <c r="A24" s="52"/>
      <c r="B24" s="403"/>
      <c r="C24" s="404"/>
      <c r="D24" s="66"/>
      <c r="E24" s="66"/>
      <c r="F24" s="66"/>
      <c r="G24" s="66"/>
      <c r="H24" s="66"/>
      <c r="I24" s="66"/>
      <c r="J24" s="66"/>
      <c r="K24" s="66"/>
      <c r="L24" s="73"/>
      <c r="N24" s="409"/>
      <c r="O24" s="410"/>
      <c r="P24" s="66"/>
      <c r="Q24" s="66"/>
      <c r="R24" s="66"/>
      <c r="S24" s="66"/>
      <c r="T24" s="66"/>
      <c r="U24" s="66"/>
      <c r="V24" s="66"/>
      <c r="W24" s="66"/>
      <c r="X24" s="72"/>
      <c r="Y24" s="51"/>
      <c r="AD24" s="47" t="s">
        <v>70</v>
      </c>
    </row>
    <row r="25" spans="1:30" ht="12.75" customHeight="1">
      <c r="A25" s="52"/>
      <c r="B25" s="403"/>
      <c r="C25" s="404"/>
      <c r="D25" s="66"/>
      <c r="E25" s="66"/>
      <c r="F25" s="66"/>
      <c r="G25" s="66"/>
      <c r="H25" s="66"/>
      <c r="I25" s="66"/>
      <c r="J25" s="66"/>
      <c r="K25" s="66"/>
      <c r="L25" s="73"/>
      <c r="N25" s="409"/>
      <c r="O25" s="410"/>
      <c r="P25" s="66"/>
      <c r="Q25" s="66"/>
      <c r="R25" s="66"/>
      <c r="S25" s="66"/>
      <c r="T25" s="66"/>
      <c r="U25" s="66"/>
      <c r="V25" s="66"/>
      <c r="W25" s="66"/>
      <c r="X25" s="72"/>
      <c r="Y25" s="51"/>
      <c r="AD25" s="47" t="s">
        <v>80</v>
      </c>
    </row>
    <row r="26" spans="1:30" ht="12.75" customHeight="1">
      <c r="A26" s="52"/>
      <c r="B26" s="403"/>
      <c r="C26" s="404"/>
      <c r="D26" s="66"/>
      <c r="E26" s="66"/>
      <c r="F26" s="66"/>
      <c r="G26" s="66"/>
      <c r="H26" s="66"/>
      <c r="I26" s="66"/>
      <c r="J26" s="66"/>
      <c r="K26" s="66"/>
      <c r="L26" s="73"/>
      <c r="N26" s="409"/>
      <c r="O26" s="410"/>
      <c r="P26" s="66"/>
      <c r="Q26" s="66"/>
      <c r="R26" s="66"/>
      <c r="S26" s="66"/>
      <c r="T26" s="66"/>
      <c r="U26" s="66"/>
      <c r="V26" s="66"/>
      <c r="W26" s="66"/>
      <c r="X26" s="72"/>
      <c r="Y26" s="51"/>
    </row>
    <row r="27" spans="1:30" ht="12.75" customHeight="1">
      <c r="A27" s="52"/>
      <c r="B27" s="403"/>
      <c r="C27" s="404"/>
      <c r="D27" s="66"/>
      <c r="E27" s="66"/>
      <c r="F27" s="66"/>
      <c r="G27" s="66"/>
      <c r="H27" s="66"/>
      <c r="I27" s="66"/>
      <c r="J27" s="66"/>
      <c r="K27" s="66"/>
      <c r="L27" s="73"/>
      <c r="N27" s="409"/>
      <c r="O27" s="410"/>
      <c r="P27" s="66"/>
      <c r="Q27" s="66"/>
      <c r="R27" s="66"/>
      <c r="S27" s="66"/>
      <c r="T27" s="66"/>
      <c r="U27" s="66"/>
      <c r="V27" s="66"/>
      <c r="W27" s="66"/>
      <c r="X27" s="72"/>
      <c r="Y27" s="51"/>
    </row>
    <row r="28" spans="1:30" ht="12.75" customHeight="1">
      <c r="A28" s="52"/>
      <c r="B28" s="403"/>
      <c r="C28" s="404"/>
      <c r="D28" s="66"/>
      <c r="E28" s="66"/>
      <c r="F28" s="66"/>
      <c r="G28" s="66"/>
      <c r="H28" s="66"/>
      <c r="I28" s="66"/>
      <c r="J28" s="66"/>
      <c r="K28" s="66"/>
      <c r="L28" s="73"/>
      <c r="N28" s="409"/>
      <c r="O28" s="410"/>
      <c r="P28" s="66"/>
      <c r="Q28" s="66"/>
      <c r="R28" s="66"/>
      <c r="S28" s="66"/>
      <c r="T28" s="66"/>
      <c r="U28" s="66"/>
      <c r="V28" s="66"/>
      <c r="W28" s="66"/>
      <c r="X28" s="72"/>
      <c r="Y28" s="51"/>
    </row>
    <row r="29" spans="1:30" ht="12.75" customHeight="1">
      <c r="A29" s="52"/>
      <c r="B29" s="403"/>
      <c r="C29" s="404"/>
      <c r="D29" s="66"/>
      <c r="E29" s="66"/>
      <c r="F29" s="66"/>
      <c r="G29" s="66"/>
      <c r="H29" s="66"/>
      <c r="I29" s="66"/>
      <c r="J29" s="66"/>
      <c r="K29" s="66"/>
      <c r="L29" s="73"/>
      <c r="N29" s="409"/>
      <c r="O29" s="410"/>
      <c r="P29" s="66"/>
      <c r="Q29" s="66"/>
      <c r="R29" s="66"/>
      <c r="S29" s="66"/>
      <c r="T29" s="66"/>
      <c r="U29" s="66"/>
      <c r="V29" s="66"/>
      <c r="W29" s="66"/>
      <c r="X29" s="72"/>
      <c r="Y29" s="51"/>
    </row>
    <row r="30" spans="1:30" ht="13.5" customHeight="1" thickBot="1">
      <c r="A30" s="52"/>
      <c r="B30" s="405"/>
      <c r="C30" s="406"/>
      <c r="D30" s="71"/>
      <c r="E30" s="71"/>
      <c r="F30" s="71"/>
      <c r="G30" s="71"/>
      <c r="H30" s="71"/>
      <c r="I30" s="71"/>
      <c r="J30" s="71"/>
      <c r="K30" s="71"/>
      <c r="L30" s="70"/>
      <c r="N30" s="411"/>
      <c r="O30" s="412"/>
      <c r="P30" s="69"/>
      <c r="Q30" s="69"/>
      <c r="R30" s="69"/>
      <c r="S30" s="69"/>
      <c r="T30" s="69"/>
      <c r="U30" s="69"/>
      <c r="V30" s="69"/>
      <c r="W30" s="69"/>
      <c r="X30" s="68"/>
      <c r="Y30" s="51"/>
    </row>
    <row r="31" spans="1:30" ht="7.5" customHeight="1">
      <c r="A31" s="52"/>
      <c r="Y31" s="51"/>
    </row>
    <row r="32" spans="1:30">
      <c r="A32" s="52"/>
      <c r="B32" s="53" t="s">
        <v>136</v>
      </c>
      <c r="Y32" s="51"/>
    </row>
    <row r="33" spans="1:30">
      <c r="A33" s="52"/>
      <c r="B33" s="398" t="s">
        <v>135</v>
      </c>
      <c r="C33" s="353"/>
      <c r="D33" s="353"/>
      <c r="E33" s="353"/>
      <c r="F33" s="353"/>
      <c r="G33" s="353" t="s">
        <v>134</v>
      </c>
      <c r="H33" s="353"/>
      <c r="I33" s="353"/>
      <c r="J33" s="353"/>
      <c r="K33" s="353"/>
      <c r="L33" s="353" t="s">
        <v>133</v>
      </c>
      <c r="M33" s="353"/>
      <c r="N33" s="353"/>
      <c r="O33" s="353" t="s">
        <v>132</v>
      </c>
      <c r="P33" s="353"/>
      <c r="Q33" s="353"/>
      <c r="R33" s="353"/>
      <c r="S33" s="353" t="s">
        <v>131</v>
      </c>
      <c r="T33" s="353"/>
      <c r="U33" s="353"/>
      <c r="V33" s="353"/>
      <c r="W33" s="353"/>
      <c r="X33" s="354"/>
      <c r="Y33" s="51"/>
    </row>
    <row r="34" spans="1:30" ht="12.75" customHeight="1">
      <c r="A34" s="52"/>
      <c r="B34" s="391" t="s">
        <v>365</v>
      </c>
      <c r="C34" s="348"/>
      <c r="D34" s="348"/>
      <c r="E34" s="348"/>
      <c r="F34" s="348"/>
      <c r="G34" s="348" t="s">
        <v>366</v>
      </c>
      <c r="H34" s="348"/>
      <c r="I34" s="348"/>
      <c r="J34" s="348"/>
      <c r="K34" s="348"/>
      <c r="L34" s="348"/>
      <c r="M34" s="348"/>
      <c r="N34" s="348"/>
      <c r="O34" s="348">
        <v>21658588813</v>
      </c>
      <c r="P34" s="344"/>
      <c r="Q34" s="344"/>
      <c r="R34" s="344"/>
      <c r="S34" s="399" t="s">
        <v>367</v>
      </c>
      <c r="T34" s="348"/>
      <c r="U34" s="348"/>
      <c r="V34" s="348"/>
      <c r="W34" s="348"/>
      <c r="X34" s="400"/>
      <c r="Y34" s="51"/>
    </row>
    <row r="35" spans="1:30" ht="14.4">
      <c r="A35" s="52"/>
      <c r="B35" s="391" t="s">
        <v>368</v>
      </c>
      <c r="C35" s="348"/>
      <c r="D35" s="348"/>
      <c r="E35" s="348"/>
      <c r="F35" s="348"/>
      <c r="G35" s="348" t="s">
        <v>369</v>
      </c>
      <c r="H35" s="348"/>
      <c r="I35" s="348"/>
      <c r="J35" s="348"/>
      <c r="K35" s="348"/>
      <c r="L35" s="348"/>
      <c r="M35" s="348"/>
      <c r="N35" s="348"/>
      <c r="O35" s="344">
        <v>21658588825</v>
      </c>
      <c r="P35" s="344"/>
      <c r="Q35" s="344"/>
      <c r="R35" s="344"/>
      <c r="S35" s="399" t="s">
        <v>370</v>
      </c>
      <c r="T35" s="348"/>
      <c r="U35" s="348"/>
      <c r="V35" s="348"/>
      <c r="W35" s="348"/>
      <c r="X35" s="400"/>
      <c r="Y35" s="51"/>
    </row>
    <row r="36" spans="1:30" ht="14.4">
      <c r="A36" s="52"/>
      <c r="B36" s="391" t="s">
        <v>371</v>
      </c>
      <c r="C36" s="348"/>
      <c r="D36" s="348"/>
      <c r="E36" s="348"/>
      <c r="F36" s="348"/>
      <c r="G36" s="348" t="s">
        <v>372</v>
      </c>
      <c r="H36" s="348"/>
      <c r="I36" s="348"/>
      <c r="J36" s="348"/>
      <c r="K36" s="348"/>
      <c r="L36" s="348"/>
      <c r="M36" s="348"/>
      <c r="N36" s="348"/>
      <c r="O36" s="344">
        <v>21658598711</v>
      </c>
      <c r="P36" s="344"/>
      <c r="Q36" s="344"/>
      <c r="R36" s="344"/>
      <c r="S36" s="399" t="s">
        <v>373</v>
      </c>
      <c r="T36" s="348"/>
      <c r="U36" s="348"/>
      <c r="V36" s="348"/>
      <c r="W36" s="348"/>
      <c r="X36" s="400"/>
      <c r="Y36" s="51"/>
    </row>
    <row r="37" spans="1:30">
      <c r="A37" s="52"/>
      <c r="B37" s="391"/>
      <c r="C37" s="348"/>
      <c r="D37" s="348"/>
      <c r="E37" s="348"/>
      <c r="F37" s="348"/>
      <c r="G37" s="348"/>
      <c r="H37" s="348"/>
      <c r="I37" s="348"/>
      <c r="J37" s="348"/>
      <c r="K37" s="348"/>
      <c r="L37" s="348"/>
      <c r="M37" s="348"/>
      <c r="N37" s="348"/>
      <c r="O37" s="344"/>
      <c r="P37" s="344"/>
      <c r="Q37" s="344"/>
      <c r="R37" s="344"/>
      <c r="S37" s="348"/>
      <c r="T37" s="348"/>
      <c r="U37" s="348"/>
      <c r="V37" s="348"/>
      <c r="W37" s="348"/>
      <c r="X37" s="400"/>
      <c r="Y37" s="51"/>
    </row>
    <row r="38" spans="1:30">
      <c r="A38" s="52"/>
      <c r="B38" s="345"/>
      <c r="C38" s="346"/>
      <c r="D38" s="346"/>
      <c r="E38" s="346"/>
      <c r="F38" s="346"/>
      <c r="G38" s="346"/>
      <c r="H38" s="346"/>
      <c r="I38" s="346"/>
      <c r="J38" s="346"/>
      <c r="K38" s="346"/>
      <c r="L38" s="346"/>
      <c r="M38" s="346"/>
      <c r="N38" s="346"/>
      <c r="O38" s="347"/>
      <c r="P38" s="347"/>
      <c r="Q38" s="347"/>
      <c r="R38" s="347"/>
      <c r="S38" s="346"/>
      <c r="T38" s="346"/>
      <c r="U38" s="346"/>
      <c r="V38" s="346"/>
      <c r="W38" s="346"/>
      <c r="X38" s="352"/>
      <c r="Y38" s="51"/>
    </row>
    <row r="39" spans="1:30" ht="7.5" customHeight="1">
      <c r="A39" s="52"/>
      <c r="Y39" s="51"/>
    </row>
    <row r="40" spans="1:30">
      <c r="A40" s="52"/>
      <c r="B40" s="53" t="s">
        <v>130</v>
      </c>
      <c r="Y40" s="51"/>
    </row>
    <row r="41" spans="1:30">
      <c r="A41" s="52"/>
      <c r="C41" s="67" t="s">
        <v>124</v>
      </c>
      <c r="D41" s="46" t="s">
        <v>129</v>
      </c>
      <c r="F41" s="67" t="s">
        <v>124</v>
      </c>
      <c r="G41" s="46" t="s">
        <v>128</v>
      </c>
      <c r="I41" s="67" t="s">
        <v>124</v>
      </c>
      <c r="J41" s="46" t="s">
        <v>127</v>
      </c>
      <c r="L41" s="67" t="s">
        <v>124</v>
      </c>
      <c r="M41" s="46" t="s">
        <v>126</v>
      </c>
      <c r="O41" s="67" t="s">
        <v>124</v>
      </c>
      <c r="P41" s="66" t="s">
        <v>125</v>
      </c>
      <c r="R41" s="67"/>
      <c r="S41" s="66" t="s">
        <v>113</v>
      </c>
      <c r="T41" s="429"/>
      <c r="U41" s="429"/>
      <c r="V41" s="429"/>
      <c r="W41" s="429"/>
      <c r="X41" s="429"/>
      <c r="Y41" s="51"/>
    </row>
    <row r="42" spans="1:30" ht="7.5" customHeight="1">
      <c r="A42" s="52"/>
      <c r="Y42" s="51"/>
      <c r="AB42" s="46" t="s">
        <v>124</v>
      </c>
    </row>
    <row r="43" spans="1:30">
      <c r="A43" s="52"/>
      <c r="B43" s="53" t="s">
        <v>123</v>
      </c>
      <c r="Y43" s="51"/>
    </row>
    <row r="44" spans="1:30">
      <c r="A44" s="52"/>
      <c r="B44" s="430" t="s">
        <v>377</v>
      </c>
      <c r="C44" s="431"/>
      <c r="D44" s="431"/>
      <c r="E44" s="431"/>
      <c r="F44" s="431"/>
      <c r="G44" s="431"/>
      <c r="H44" s="431"/>
      <c r="I44" s="431"/>
      <c r="J44" s="431"/>
      <c r="K44" s="431"/>
      <c r="L44" s="431"/>
      <c r="M44" s="431"/>
      <c r="N44" s="431"/>
      <c r="O44" s="431"/>
      <c r="P44" s="431"/>
      <c r="Q44" s="431"/>
      <c r="R44" s="431"/>
      <c r="S44" s="431"/>
      <c r="T44" s="431"/>
      <c r="U44" s="431"/>
      <c r="V44" s="431"/>
      <c r="W44" s="431"/>
      <c r="X44" s="432"/>
      <c r="Y44" s="51"/>
    </row>
    <row r="45" spans="1:30">
      <c r="A45" s="52"/>
      <c r="B45" s="430"/>
      <c r="C45" s="431"/>
      <c r="D45" s="431"/>
      <c r="E45" s="431"/>
      <c r="F45" s="431"/>
      <c r="G45" s="431"/>
      <c r="H45" s="431"/>
      <c r="I45" s="431"/>
      <c r="J45" s="431"/>
      <c r="K45" s="431"/>
      <c r="L45" s="431"/>
      <c r="M45" s="431"/>
      <c r="N45" s="431"/>
      <c r="O45" s="431"/>
      <c r="P45" s="431"/>
      <c r="Q45" s="431"/>
      <c r="R45" s="431"/>
      <c r="S45" s="431"/>
      <c r="T45" s="431"/>
      <c r="U45" s="431"/>
      <c r="V45" s="431"/>
      <c r="W45" s="431"/>
      <c r="X45" s="432"/>
      <c r="Y45" s="51"/>
    </row>
    <row r="46" spans="1:30" ht="7.5" customHeight="1">
      <c r="A46" s="52"/>
      <c r="B46" s="65"/>
      <c r="C46" s="65"/>
      <c r="D46" s="65"/>
      <c r="E46" s="65"/>
      <c r="F46" s="65"/>
      <c r="G46" s="65"/>
      <c r="H46" s="65"/>
      <c r="I46" s="65"/>
      <c r="J46" s="65"/>
      <c r="K46" s="65"/>
      <c r="L46" s="65"/>
      <c r="M46" s="65"/>
      <c r="N46" s="65"/>
      <c r="O46" s="65"/>
      <c r="P46" s="65"/>
      <c r="Q46" s="65"/>
      <c r="R46" s="65"/>
      <c r="S46" s="65"/>
      <c r="T46" s="65"/>
      <c r="U46" s="65"/>
      <c r="V46" s="65"/>
      <c r="W46" s="65"/>
      <c r="X46" s="65"/>
      <c r="Y46" s="51"/>
    </row>
    <row r="47" spans="1:30">
      <c r="A47" s="52"/>
      <c r="B47" s="62" t="s">
        <v>122</v>
      </c>
      <c r="C47" s="63"/>
      <c r="D47" s="63"/>
      <c r="E47" s="63"/>
      <c r="F47" s="63"/>
      <c r="G47" s="63"/>
      <c r="H47" s="63"/>
      <c r="I47" s="63"/>
      <c r="J47" s="433" t="s">
        <v>70</v>
      </c>
      <c r="K47" s="434"/>
      <c r="L47" s="64"/>
      <c r="M47" s="64"/>
      <c r="N47" s="63"/>
      <c r="O47" s="62"/>
      <c r="Q47" s="61" t="s">
        <v>121</v>
      </c>
      <c r="R47" s="435" t="s">
        <v>374</v>
      </c>
      <c r="S47" s="436"/>
      <c r="T47" s="436"/>
      <c r="U47" s="436"/>
      <c r="V47" s="436"/>
      <c r="W47" s="436"/>
      <c r="X47" s="437"/>
      <c r="Y47" s="51"/>
      <c r="AD47" s="46"/>
    </row>
    <row r="48" spans="1:30" ht="10.8" thickBot="1">
      <c r="A48" s="50"/>
      <c r="B48" s="49"/>
      <c r="C48" s="49"/>
      <c r="D48" s="49"/>
      <c r="E48" s="49"/>
      <c r="F48" s="49"/>
      <c r="G48" s="49"/>
      <c r="H48" s="49"/>
      <c r="I48" s="49"/>
      <c r="J48" s="49"/>
      <c r="K48" s="49"/>
      <c r="L48" s="49"/>
      <c r="M48" s="49"/>
      <c r="N48" s="49"/>
      <c r="O48" s="49"/>
      <c r="P48" s="49"/>
      <c r="Q48" s="49"/>
      <c r="R48" s="49"/>
      <c r="S48" s="49"/>
      <c r="T48" s="49"/>
      <c r="U48" s="49"/>
      <c r="V48" s="49"/>
      <c r="W48" s="49"/>
      <c r="X48" s="49"/>
      <c r="Y48" s="48"/>
    </row>
    <row r="49" spans="1:25" ht="10.8" thickBot="1"/>
    <row r="50" spans="1:25" ht="13.8" thickBot="1">
      <c r="A50" s="59" t="s">
        <v>120</v>
      </c>
      <c r="B50" s="57"/>
      <c r="C50" s="57"/>
      <c r="D50" s="57"/>
      <c r="E50" s="57"/>
      <c r="F50" s="57"/>
      <c r="G50" s="57"/>
      <c r="H50" s="57"/>
      <c r="I50" s="57"/>
      <c r="J50" s="57"/>
      <c r="K50" s="57"/>
      <c r="L50" s="57"/>
      <c r="M50" s="57"/>
      <c r="N50" s="57"/>
      <c r="O50" s="57"/>
      <c r="P50" s="57"/>
      <c r="Q50" s="57"/>
      <c r="R50" s="57"/>
      <c r="S50" s="57"/>
      <c r="T50" s="57"/>
      <c r="U50" s="57"/>
      <c r="V50" s="57"/>
      <c r="W50" s="57"/>
      <c r="X50" s="57"/>
      <c r="Y50" s="56"/>
    </row>
    <row r="51" spans="1:25">
      <c r="A51" s="52"/>
      <c r="B51" s="53" t="s">
        <v>119</v>
      </c>
      <c r="K51" s="54" t="s">
        <v>118</v>
      </c>
      <c r="L51" s="54"/>
      <c r="M51" s="54"/>
      <c r="N51" s="54"/>
      <c r="O51" s="54"/>
      <c r="P51" s="54"/>
      <c r="Q51" s="54"/>
      <c r="R51" s="54"/>
      <c r="S51" s="54"/>
      <c r="T51" s="54"/>
      <c r="U51" s="54"/>
      <c r="V51" s="54"/>
      <c r="W51" s="54"/>
      <c r="X51" s="54"/>
      <c r="Y51" s="51"/>
    </row>
    <row r="52" spans="1:25" ht="11.25" customHeight="1">
      <c r="A52" s="52"/>
      <c r="B52" s="46" t="s">
        <v>117</v>
      </c>
      <c r="G52" s="438" t="s">
        <v>80</v>
      </c>
      <c r="H52" s="439"/>
      <c r="K52" s="371"/>
      <c r="L52" s="372"/>
      <c r="M52" s="372"/>
      <c r="N52" s="372"/>
      <c r="O52" s="372"/>
      <c r="P52" s="372"/>
      <c r="Q52" s="372"/>
      <c r="R52" s="372"/>
      <c r="S52" s="372"/>
      <c r="T52" s="372"/>
      <c r="U52" s="372"/>
      <c r="V52" s="372"/>
      <c r="W52" s="372"/>
      <c r="X52" s="373"/>
      <c r="Y52" s="51"/>
    </row>
    <row r="53" spans="1:25" ht="11.25" customHeight="1">
      <c r="A53" s="52"/>
      <c r="B53" s="46" t="s">
        <v>116</v>
      </c>
      <c r="G53" s="413" t="s">
        <v>80</v>
      </c>
      <c r="H53" s="414"/>
      <c r="K53" s="374"/>
      <c r="L53" s="375"/>
      <c r="M53" s="375"/>
      <c r="N53" s="375"/>
      <c r="O53" s="375"/>
      <c r="P53" s="375"/>
      <c r="Q53" s="375"/>
      <c r="R53" s="375"/>
      <c r="S53" s="375"/>
      <c r="T53" s="375"/>
      <c r="U53" s="375"/>
      <c r="V53" s="375"/>
      <c r="W53" s="375"/>
      <c r="X53" s="376"/>
      <c r="Y53" s="51"/>
    </row>
    <row r="54" spans="1:25" ht="11.25" customHeight="1">
      <c r="A54" s="52"/>
      <c r="B54" s="46" t="s">
        <v>115</v>
      </c>
      <c r="G54" s="413" t="s">
        <v>80</v>
      </c>
      <c r="H54" s="414"/>
      <c r="K54" s="374"/>
      <c r="L54" s="375"/>
      <c r="M54" s="375"/>
      <c r="N54" s="375"/>
      <c r="O54" s="375"/>
      <c r="P54" s="375"/>
      <c r="Q54" s="375"/>
      <c r="R54" s="375"/>
      <c r="S54" s="375"/>
      <c r="T54" s="375"/>
      <c r="U54" s="375"/>
      <c r="V54" s="375"/>
      <c r="W54" s="375"/>
      <c r="X54" s="376"/>
      <c r="Y54" s="51"/>
    </row>
    <row r="55" spans="1:25" s="60" customFormat="1" ht="11.25" customHeight="1">
      <c r="A55" s="300"/>
      <c r="B55" s="355" t="s">
        <v>114</v>
      </c>
      <c r="C55" s="355"/>
      <c r="D55" s="355"/>
      <c r="E55" s="299"/>
      <c r="F55" s="46"/>
      <c r="G55" s="413" t="s">
        <v>80</v>
      </c>
      <c r="H55" s="414"/>
      <c r="I55" s="46"/>
      <c r="J55" s="46"/>
      <c r="K55" s="374"/>
      <c r="L55" s="375"/>
      <c r="M55" s="375"/>
      <c r="N55" s="375"/>
      <c r="O55" s="375"/>
      <c r="P55" s="375"/>
      <c r="Q55" s="375"/>
      <c r="R55" s="375"/>
      <c r="S55" s="375"/>
      <c r="T55" s="375"/>
      <c r="U55" s="375"/>
      <c r="V55" s="375"/>
      <c r="W55" s="375"/>
      <c r="X55" s="376"/>
      <c r="Y55" s="284"/>
    </row>
    <row r="56" spans="1:25" ht="11.25" customHeight="1">
      <c r="A56" s="52"/>
      <c r="B56" s="46" t="s">
        <v>113</v>
      </c>
      <c r="G56" s="359" t="s">
        <v>80</v>
      </c>
      <c r="H56" s="360"/>
      <c r="K56" s="377"/>
      <c r="L56" s="378"/>
      <c r="M56" s="378"/>
      <c r="N56" s="378"/>
      <c r="O56" s="378"/>
      <c r="P56" s="378"/>
      <c r="Q56" s="378"/>
      <c r="R56" s="378"/>
      <c r="S56" s="378"/>
      <c r="T56" s="378"/>
      <c r="U56" s="378"/>
      <c r="V56" s="378"/>
      <c r="W56" s="378"/>
      <c r="X56" s="379"/>
      <c r="Y56" s="51"/>
    </row>
    <row r="57" spans="1:25" ht="7.5" customHeight="1" thickBot="1">
      <c r="A57" s="50"/>
      <c r="B57" s="49"/>
      <c r="C57" s="49"/>
      <c r="D57" s="49"/>
      <c r="E57" s="49"/>
      <c r="F57" s="49"/>
      <c r="G57" s="49"/>
      <c r="H57" s="49"/>
      <c r="I57" s="49"/>
      <c r="J57" s="49"/>
      <c r="K57" s="49"/>
      <c r="L57" s="49"/>
      <c r="M57" s="49"/>
      <c r="N57" s="49"/>
      <c r="O57" s="49"/>
      <c r="P57" s="49"/>
      <c r="Q57" s="49"/>
      <c r="R57" s="49"/>
      <c r="S57" s="49"/>
      <c r="T57" s="49"/>
      <c r="U57" s="49"/>
      <c r="V57" s="49"/>
      <c r="W57" s="49"/>
      <c r="X57" s="49"/>
      <c r="Y57" s="48"/>
    </row>
    <row r="58" spans="1:25" ht="10.8" thickBot="1"/>
    <row r="59" spans="1:25" ht="13.8" thickBot="1">
      <c r="A59" s="59" t="s">
        <v>112</v>
      </c>
      <c r="B59" s="57"/>
      <c r="C59" s="57"/>
      <c r="D59" s="57"/>
      <c r="E59" s="57"/>
      <c r="F59" s="57"/>
      <c r="G59" s="57"/>
      <c r="H59" s="57"/>
      <c r="I59" s="57"/>
      <c r="J59" s="57"/>
      <c r="K59" s="57"/>
      <c r="L59" s="57"/>
      <c r="M59" s="57"/>
      <c r="N59" s="57"/>
      <c r="O59" s="57"/>
      <c r="P59" s="58" t="s">
        <v>111</v>
      </c>
      <c r="Q59" s="57"/>
      <c r="R59" s="57"/>
      <c r="S59" s="57"/>
      <c r="T59" s="57"/>
      <c r="U59" s="57"/>
      <c r="V59" s="57"/>
      <c r="W59" s="57"/>
      <c r="X59" s="57"/>
      <c r="Y59" s="56"/>
    </row>
    <row r="60" spans="1:25">
      <c r="A60" s="52"/>
      <c r="B60" s="55" t="s">
        <v>110</v>
      </c>
      <c r="Y60" s="51"/>
    </row>
    <row r="61" spans="1:25" ht="11.25" customHeight="1">
      <c r="A61" s="52"/>
      <c r="B61" s="46" t="s">
        <v>109</v>
      </c>
      <c r="I61" s="365" t="s">
        <v>108</v>
      </c>
      <c r="J61" s="365"/>
      <c r="K61" s="365"/>
      <c r="L61" s="365" t="s">
        <v>107</v>
      </c>
      <c r="M61" s="365"/>
      <c r="N61" s="365"/>
      <c r="O61" s="365" t="s">
        <v>106</v>
      </c>
      <c r="P61" s="365"/>
      <c r="Q61" s="365"/>
      <c r="R61" s="365" t="s">
        <v>105</v>
      </c>
      <c r="S61" s="365"/>
      <c r="T61" s="365"/>
      <c r="U61" s="307" t="s">
        <v>104</v>
      </c>
      <c r="V61" s="307"/>
      <c r="W61" s="307" t="s">
        <v>90</v>
      </c>
      <c r="X61" s="307"/>
      <c r="Y61" s="51"/>
    </row>
    <row r="62" spans="1:25" ht="11.25" customHeight="1">
      <c r="A62" s="52"/>
      <c r="B62" s="46" t="s">
        <v>103</v>
      </c>
      <c r="I62" s="366" t="s">
        <v>361</v>
      </c>
      <c r="J62" s="366"/>
      <c r="K62" s="366"/>
      <c r="L62" s="303">
        <v>0</v>
      </c>
      <c r="M62" s="303"/>
      <c r="N62" s="303"/>
      <c r="O62" s="303">
        <v>0</v>
      </c>
      <c r="P62" s="303"/>
      <c r="Q62" s="303"/>
      <c r="R62" s="367" t="e">
        <f t="shared" ref="R62:R68" si="0">IF(L62="","",O62/L62*1000000)</f>
        <v>#DIV/0!</v>
      </c>
      <c r="S62" s="368"/>
      <c r="T62" s="369"/>
      <c r="U62" s="305">
        <f>V4</f>
        <v>45946</v>
      </c>
      <c r="V62" s="305"/>
      <c r="W62" s="303"/>
      <c r="X62" s="303"/>
      <c r="Y62" s="51"/>
    </row>
    <row r="63" spans="1:25" ht="11.25" customHeight="1">
      <c r="A63" s="52"/>
      <c r="B63" s="46" t="s">
        <v>102</v>
      </c>
      <c r="I63" s="364">
        <v>0</v>
      </c>
      <c r="J63" s="364"/>
      <c r="K63" s="364"/>
      <c r="L63" s="304">
        <v>0</v>
      </c>
      <c r="M63" s="304"/>
      <c r="N63" s="304"/>
      <c r="O63" s="304">
        <v>0</v>
      </c>
      <c r="P63" s="304"/>
      <c r="Q63" s="304"/>
      <c r="R63" s="361" t="e">
        <f t="shared" si="0"/>
        <v>#DIV/0!</v>
      </c>
      <c r="S63" s="362"/>
      <c r="T63" s="363"/>
      <c r="U63" s="306"/>
      <c r="V63" s="306"/>
      <c r="W63" s="304"/>
      <c r="X63" s="304"/>
      <c r="Y63" s="51"/>
    </row>
    <row r="64" spans="1:25" ht="11.25" customHeight="1">
      <c r="A64" s="52"/>
      <c r="B64" s="46" t="s">
        <v>101</v>
      </c>
      <c r="I64" s="364">
        <v>232</v>
      </c>
      <c r="J64" s="364"/>
      <c r="K64" s="364"/>
      <c r="L64" s="304">
        <v>0</v>
      </c>
      <c r="M64" s="304"/>
      <c r="N64" s="304"/>
      <c r="O64" s="304">
        <v>0</v>
      </c>
      <c r="P64" s="304"/>
      <c r="Q64" s="304"/>
      <c r="R64" s="361" t="e">
        <f t="shared" si="0"/>
        <v>#DIV/0!</v>
      </c>
      <c r="S64" s="362"/>
      <c r="T64" s="363"/>
      <c r="U64" s="306"/>
      <c r="V64" s="306"/>
      <c r="W64" s="304" t="s">
        <v>376</v>
      </c>
      <c r="X64" s="304"/>
      <c r="Y64" s="51"/>
    </row>
    <row r="65" spans="1:27" ht="11.25" customHeight="1">
      <c r="A65" s="52"/>
      <c r="B65" s="46" t="s">
        <v>100</v>
      </c>
      <c r="I65" s="356"/>
      <c r="J65" s="356"/>
      <c r="K65" s="356"/>
      <c r="L65" s="311"/>
      <c r="M65" s="311"/>
      <c r="N65" s="311"/>
      <c r="O65" s="311"/>
      <c r="P65" s="311"/>
      <c r="Q65" s="311"/>
      <c r="R65" s="312" t="str">
        <f t="shared" si="0"/>
        <v/>
      </c>
      <c r="S65" s="313"/>
      <c r="T65" s="314"/>
      <c r="U65" s="318"/>
      <c r="V65" s="318"/>
      <c r="W65" s="311"/>
      <c r="X65" s="311"/>
      <c r="Y65" s="51"/>
    </row>
    <row r="66" spans="1:27" ht="11.25" customHeight="1">
      <c r="A66" s="52"/>
      <c r="B66" s="46" t="s">
        <v>99</v>
      </c>
      <c r="I66" s="356"/>
      <c r="J66" s="356"/>
      <c r="K66" s="356"/>
      <c r="L66" s="311"/>
      <c r="M66" s="311"/>
      <c r="N66" s="311"/>
      <c r="O66" s="311"/>
      <c r="P66" s="311"/>
      <c r="Q66" s="311"/>
      <c r="R66" s="312" t="str">
        <f t="shared" si="0"/>
        <v/>
      </c>
      <c r="S66" s="313"/>
      <c r="T66" s="314"/>
      <c r="U66" s="318"/>
      <c r="V66" s="318"/>
      <c r="W66" s="311"/>
      <c r="X66" s="311"/>
      <c r="Y66" s="51"/>
    </row>
    <row r="67" spans="1:27" ht="11.25" customHeight="1">
      <c r="A67" s="52"/>
      <c r="B67" s="46" t="s">
        <v>98</v>
      </c>
      <c r="I67" s="356"/>
      <c r="J67" s="356"/>
      <c r="K67" s="356"/>
      <c r="L67" s="311"/>
      <c r="M67" s="311"/>
      <c r="N67" s="311"/>
      <c r="O67" s="311"/>
      <c r="P67" s="311"/>
      <c r="Q67" s="311"/>
      <c r="R67" s="312" t="str">
        <f t="shared" si="0"/>
        <v/>
      </c>
      <c r="S67" s="313"/>
      <c r="T67" s="314"/>
      <c r="U67" s="318"/>
      <c r="V67" s="318"/>
      <c r="W67" s="311"/>
      <c r="X67" s="311"/>
      <c r="Y67" s="51"/>
    </row>
    <row r="68" spans="1:27" ht="11.25" customHeight="1">
      <c r="A68" s="52"/>
      <c r="B68" s="54" t="s">
        <v>97</v>
      </c>
      <c r="C68" s="54"/>
      <c r="D68" s="54"/>
      <c r="E68" s="54"/>
      <c r="F68" s="54"/>
      <c r="G68" s="54"/>
      <c r="H68" s="54"/>
      <c r="I68" s="370"/>
      <c r="J68" s="370"/>
      <c r="K68" s="370"/>
      <c r="L68" s="358"/>
      <c r="M68" s="358"/>
      <c r="N68" s="358"/>
      <c r="O68" s="358"/>
      <c r="P68" s="358"/>
      <c r="Q68" s="358"/>
      <c r="R68" s="315" t="str">
        <f t="shared" si="0"/>
        <v/>
      </c>
      <c r="S68" s="316"/>
      <c r="T68" s="317"/>
      <c r="U68" s="302"/>
      <c r="V68" s="302"/>
      <c r="W68" s="358"/>
      <c r="X68" s="358"/>
      <c r="Y68" s="51"/>
    </row>
    <row r="69" spans="1:27" ht="7.5" customHeight="1">
      <c r="A69" s="52"/>
      <c r="Y69" s="51"/>
    </row>
    <row r="70" spans="1:27">
      <c r="A70" s="52"/>
      <c r="B70" s="46" t="s">
        <v>96</v>
      </c>
      <c r="I70" s="388" t="s">
        <v>378</v>
      </c>
      <c r="J70" s="389"/>
      <c r="K70" s="389"/>
      <c r="L70" s="389"/>
      <c r="M70" s="389"/>
      <c r="N70" s="389"/>
      <c r="O70" s="389"/>
      <c r="P70" s="389"/>
      <c r="Q70" s="389"/>
      <c r="R70" s="389"/>
      <c r="S70" s="389"/>
      <c r="T70" s="389"/>
      <c r="U70" s="389"/>
      <c r="V70" s="389"/>
      <c r="W70" s="389"/>
      <c r="X70" s="390"/>
      <c r="Y70" s="51"/>
    </row>
    <row r="71" spans="1:27">
      <c r="A71" s="52"/>
      <c r="B71" s="46" t="s">
        <v>95</v>
      </c>
      <c r="I71" s="308" t="s">
        <v>379</v>
      </c>
      <c r="J71" s="309"/>
      <c r="K71" s="309"/>
      <c r="L71" s="309"/>
      <c r="M71" s="309"/>
      <c r="N71" s="309"/>
      <c r="O71" s="309"/>
      <c r="P71" s="309"/>
      <c r="Q71" s="309"/>
      <c r="R71" s="309"/>
      <c r="S71" s="309"/>
      <c r="T71" s="309"/>
      <c r="U71" s="309"/>
      <c r="V71" s="309"/>
      <c r="W71" s="309"/>
      <c r="X71" s="310"/>
      <c r="Y71" s="51"/>
    </row>
    <row r="72" spans="1:27">
      <c r="A72" s="52"/>
      <c r="B72" s="46" t="s">
        <v>94</v>
      </c>
      <c r="I72" s="385">
        <v>45947</v>
      </c>
      <c r="J72" s="386"/>
      <c r="K72" s="386"/>
      <c r="L72" s="386"/>
      <c r="M72" s="386"/>
      <c r="N72" s="386"/>
      <c r="O72" s="386"/>
      <c r="P72" s="386"/>
      <c r="Q72" s="386"/>
      <c r="R72" s="386"/>
      <c r="S72" s="386"/>
      <c r="T72" s="386"/>
      <c r="U72" s="386"/>
      <c r="V72" s="386"/>
      <c r="W72" s="386"/>
      <c r="X72" s="387"/>
      <c r="Y72" s="51"/>
    </row>
    <row r="73" spans="1:27" ht="7.5" customHeight="1">
      <c r="A73" s="52"/>
      <c r="Y73" s="51"/>
    </row>
    <row r="74" spans="1:27">
      <c r="A74" s="52"/>
      <c r="B74" s="53" t="s">
        <v>93</v>
      </c>
      <c r="Y74" s="51"/>
    </row>
    <row r="75" spans="1:27">
      <c r="A75" s="52"/>
      <c r="B75" s="357" t="s">
        <v>92</v>
      </c>
      <c r="C75" s="357"/>
      <c r="D75" s="357"/>
      <c r="E75" s="357"/>
      <c r="F75" s="357"/>
      <c r="G75" s="357"/>
      <c r="H75" s="357"/>
      <c r="I75" s="357"/>
      <c r="J75" s="357"/>
      <c r="K75" s="357"/>
      <c r="L75" s="307" t="s">
        <v>91</v>
      </c>
      <c r="M75" s="307"/>
      <c r="N75" s="307"/>
      <c r="O75" s="307"/>
      <c r="P75" s="307" t="s">
        <v>90</v>
      </c>
      <c r="Q75" s="307"/>
      <c r="R75" s="307"/>
      <c r="S75" s="307" t="s">
        <v>89</v>
      </c>
      <c r="T75" s="307"/>
      <c r="U75" s="307"/>
      <c r="V75" s="307" t="s">
        <v>88</v>
      </c>
      <c r="W75" s="307"/>
      <c r="X75" s="307"/>
      <c r="Y75" s="51"/>
    </row>
    <row r="76" spans="1:27" ht="12.75" customHeight="1">
      <c r="A76" s="52"/>
      <c r="B76" s="327" t="s">
        <v>87</v>
      </c>
      <c r="C76" s="328"/>
      <c r="D76" s="328"/>
      <c r="E76" s="328"/>
      <c r="F76" s="328"/>
      <c r="G76" s="328"/>
      <c r="H76" s="328"/>
      <c r="I76" s="328"/>
      <c r="J76" s="328"/>
      <c r="K76" s="328"/>
      <c r="L76" s="324" t="s">
        <v>86</v>
      </c>
      <c r="M76" s="325"/>
      <c r="N76" s="325"/>
      <c r="O76" s="326"/>
      <c r="P76" s="332" t="s">
        <v>362</v>
      </c>
      <c r="Q76" s="332"/>
      <c r="R76" s="332"/>
      <c r="S76" s="331" t="s">
        <v>363</v>
      </c>
      <c r="T76" s="331"/>
      <c r="U76" s="331"/>
      <c r="V76" s="330"/>
      <c r="W76" s="330"/>
      <c r="X76" s="330"/>
      <c r="Y76" s="51"/>
      <c r="AA76" s="46" t="s">
        <v>86</v>
      </c>
    </row>
    <row r="77" spans="1:27">
      <c r="A77" s="52"/>
      <c r="B77" s="319" t="s">
        <v>85</v>
      </c>
      <c r="C77" s="320"/>
      <c r="D77" s="320"/>
      <c r="E77" s="320"/>
      <c r="F77" s="320"/>
      <c r="G77" s="320"/>
      <c r="H77" s="320"/>
      <c r="I77" s="320"/>
      <c r="J77" s="320"/>
      <c r="K77" s="320"/>
      <c r="L77" s="321" t="s">
        <v>86</v>
      </c>
      <c r="M77" s="322"/>
      <c r="N77" s="322"/>
      <c r="O77" s="323"/>
      <c r="P77" s="304" t="s">
        <v>364</v>
      </c>
      <c r="Q77" s="304"/>
      <c r="R77" s="304"/>
      <c r="S77" s="306">
        <v>45953</v>
      </c>
      <c r="T77" s="306"/>
      <c r="U77" s="306"/>
      <c r="V77" s="329"/>
      <c r="W77" s="329"/>
      <c r="X77" s="329"/>
      <c r="Y77" s="51"/>
      <c r="AA77" s="46" t="s">
        <v>84</v>
      </c>
    </row>
    <row r="78" spans="1:27">
      <c r="A78" s="52"/>
      <c r="B78" s="384" t="s">
        <v>83</v>
      </c>
      <c r="C78" s="384"/>
      <c r="D78" s="384"/>
      <c r="E78" s="384"/>
      <c r="F78" s="384"/>
      <c r="G78" s="384"/>
      <c r="H78" s="384"/>
      <c r="I78" s="384"/>
      <c r="J78" s="384"/>
      <c r="K78" s="384"/>
      <c r="L78" s="384"/>
      <c r="M78" s="384"/>
      <c r="N78" s="384"/>
      <c r="O78" s="384"/>
      <c r="P78" s="311" t="s">
        <v>375</v>
      </c>
      <c r="Q78" s="311"/>
      <c r="R78" s="311"/>
      <c r="S78" s="318">
        <v>45937</v>
      </c>
      <c r="T78" s="318"/>
      <c r="U78" s="318"/>
      <c r="V78" s="318">
        <v>45937</v>
      </c>
      <c r="W78" s="318"/>
      <c r="X78" s="318"/>
      <c r="Y78" s="51"/>
    </row>
    <row r="79" spans="1:27">
      <c r="A79" s="52"/>
      <c r="B79" s="308" t="s">
        <v>82</v>
      </c>
      <c r="C79" s="309"/>
      <c r="D79" s="309"/>
      <c r="E79" s="309"/>
      <c r="F79" s="309"/>
      <c r="G79" s="309"/>
      <c r="H79" s="309"/>
      <c r="I79" s="309"/>
      <c r="J79" s="309"/>
      <c r="K79" s="309"/>
      <c r="L79" s="309"/>
      <c r="M79" s="309"/>
      <c r="N79" s="309"/>
      <c r="O79" s="310"/>
      <c r="P79" s="338"/>
      <c r="Q79" s="339"/>
      <c r="R79" s="340"/>
      <c r="S79" s="335"/>
      <c r="T79" s="336"/>
      <c r="U79" s="337"/>
      <c r="V79" s="335"/>
      <c r="W79" s="336"/>
      <c r="X79" s="337"/>
      <c r="Y79" s="51"/>
    </row>
    <row r="80" spans="1:27">
      <c r="A80" s="52"/>
      <c r="B80" s="415"/>
      <c r="C80" s="415"/>
      <c r="D80" s="415"/>
      <c r="E80" s="415"/>
      <c r="F80" s="415"/>
      <c r="G80" s="415"/>
      <c r="H80" s="415"/>
      <c r="I80" s="415"/>
      <c r="J80" s="415"/>
      <c r="K80" s="415"/>
      <c r="L80" s="415"/>
      <c r="M80" s="415"/>
      <c r="N80" s="415"/>
      <c r="O80" s="415"/>
      <c r="P80" s="333"/>
      <c r="Q80" s="333"/>
      <c r="R80" s="333"/>
      <c r="S80" s="334"/>
      <c r="T80" s="334"/>
      <c r="U80" s="334"/>
      <c r="V80" s="334"/>
      <c r="W80" s="334"/>
      <c r="X80" s="334"/>
      <c r="Y80" s="51"/>
    </row>
    <row r="81" spans="1:25" ht="13.5" customHeight="1" thickBot="1">
      <c r="A81" s="50"/>
      <c r="B81" s="49"/>
      <c r="C81" s="49"/>
      <c r="D81" s="49"/>
      <c r="E81" s="49"/>
      <c r="F81" s="49"/>
      <c r="G81" s="49"/>
      <c r="H81" s="49"/>
      <c r="I81" s="49"/>
      <c r="J81" s="49"/>
      <c r="K81" s="49"/>
      <c r="L81" s="49"/>
      <c r="M81" s="49"/>
      <c r="N81" s="49"/>
      <c r="O81" s="49"/>
      <c r="P81" s="49"/>
      <c r="Q81" s="49"/>
      <c r="R81" s="49"/>
      <c r="S81" s="49"/>
      <c r="T81" s="49"/>
      <c r="U81" s="49"/>
      <c r="V81" s="49"/>
      <c r="W81" s="49"/>
      <c r="X81" s="49"/>
      <c r="Y81" s="48"/>
    </row>
  </sheetData>
  <sheetProtection selectLockedCells="1"/>
  <mergeCells count="152">
    <mergeCell ref="M4:Q4"/>
    <mergeCell ref="M5:Q5"/>
    <mergeCell ref="M6:Q6"/>
    <mergeCell ref="L33:N33"/>
    <mergeCell ref="F20:L20"/>
    <mergeCell ref="F5:J5"/>
    <mergeCell ref="T41:X41"/>
    <mergeCell ref="L63:N63"/>
    <mergeCell ref="O35:R35"/>
    <mergeCell ref="S35:X35"/>
    <mergeCell ref="B44:X45"/>
    <mergeCell ref="J47:K47"/>
    <mergeCell ref="R47:X47"/>
    <mergeCell ref="S37:X37"/>
    <mergeCell ref="L35:N35"/>
    <mergeCell ref="G52:H52"/>
    <mergeCell ref="G53:H53"/>
    <mergeCell ref="G54:H54"/>
    <mergeCell ref="A8:Y8"/>
    <mergeCell ref="A9:Y9"/>
    <mergeCell ref="R13:X14"/>
    <mergeCell ref="B13:E15"/>
    <mergeCell ref="N13:Q14"/>
    <mergeCell ref="N15:Q16"/>
    <mergeCell ref="B80:O80"/>
    <mergeCell ref="A1:I3"/>
    <mergeCell ref="R1:Y3"/>
    <mergeCell ref="J1:Q3"/>
    <mergeCell ref="F4:J4"/>
    <mergeCell ref="V5:Y5"/>
    <mergeCell ref="V4:Y4"/>
    <mergeCell ref="B37:F37"/>
    <mergeCell ref="G37:K37"/>
    <mergeCell ref="L37:N37"/>
    <mergeCell ref="V6:Y6"/>
    <mergeCell ref="S34:X34"/>
    <mergeCell ref="B36:F36"/>
    <mergeCell ref="G36:K36"/>
    <mergeCell ref="L36:N36"/>
    <mergeCell ref="O36:R36"/>
    <mergeCell ref="R20:X20"/>
    <mergeCell ref="F6:J6"/>
    <mergeCell ref="F21:L21"/>
    <mergeCell ref="F17:L17"/>
    <mergeCell ref="F18:L18"/>
    <mergeCell ref="B79:O79"/>
    <mergeCell ref="G33:K33"/>
    <mergeCell ref="O34:R34"/>
    <mergeCell ref="R17:X17"/>
    <mergeCell ref="R18:X18"/>
    <mergeCell ref="R19:X19"/>
    <mergeCell ref="F16:L16"/>
    <mergeCell ref="I61:K61"/>
    <mergeCell ref="L61:N61"/>
    <mergeCell ref="B78:O78"/>
    <mergeCell ref="O61:Q61"/>
    <mergeCell ref="I72:X72"/>
    <mergeCell ref="I70:X70"/>
    <mergeCell ref="O64:Q64"/>
    <mergeCell ref="L62:N62"/>
    <mergeCell ref="B34:F34"/>
    <mergeCell ref="G34:K34"/>
    <mergeCell ref="R15:X16"/>
    <mergeCell ref="F13:L15"/>
    <mergeCell ref="B33:F33"/>
    <mergeCell ref="B35:F35"/>
    <mergeCell ref="G35:K35"/>
    <mergeCell ref="O33:R33"/>
    <mergeCell ref="S36:X36"/>
    <mergeCell ref="B23:C30"/>
    <mergeCell ref="N23:O30"/>
    <mergeCell ref="G55:H55"/>
    <mergeCell ref="K52:X56"/>
    <mergeCell ref="U65:V65"/>
    <mergeCell ref="W65:X65"/>
    <mergeCell ref="U66:V66"/>
    <mergeCell ref="I65:K65"/>
    <mergeCell ref="R66:T66"/>
    <mergeCell ref="L65:N65"/>
    <mergeCell ref="L66:N66"/>
    <mergeCell ref="I66:K66"/>
    <mergeCell ref="O63:Q63"/>
    <mergeCell ref="B55:D55"/>
    <mergeCell ref="I67:K67"/>
    <mergeCell ref="L67:N67"/>
    <mergeCell ref="O67:Q67"/>
    <mergeCell ref="R67:T67"/>
    <mergeCell ref="L75:O75"/>
    <mergeCell ref="B75:K75"/>
    <mergeCell ref="W61:X61"/>
    <mergeCell ref="U61:V61"/>
    <mergeCell ref="W68:X68"/>
    <mergeCell ref="W66:X66"/>
    <mergeCell ref="G56:H56"/>
    <mergeCell ref="R63:T63"/>
    <mergeCell ref="R64:T64"/>
    <mergeCell ref="L68:N68"/>
    <mergeCell ref="I64:K64"/>
    <mergeCell ref="L64:N64"/>
    <mergeCell ref="R61:T61"/>
    <mergeCell ref="I62:K62"/>
    <mergeCell ref="O62:Q62"/>
    <mergeCell ref="R62:T62"/>
    <mergeCell ref="I68:K68"/>
    <mergeCell ref="O68:Q68"/>
    <mergeCell ref="I63:K63"/>
    <mergeCell ref="F19:L19"/>
    <mergeCell ref="O37:R37"/>
    <mergeCell ref="B38:F38"/>
    <mergeCell ref="G38:K38"/>
    <mergeCell ref="O38:R38"/>
    <mergeCell ref="L34:N34"/>
    <mergeCell ref="R21:X21"/>
    <mergeCell ref="S38:X38"/>
    <mergeCell ref="L38:N38"/>
    <mergeCell ref="S33:X33"/>
    <mergeCell ref="P80:R80"/>
    <mergeCell ref="S80:U80"/>
    <mergeCell ref="S78:U78"/>
    <mergeCell ref="S79:U79"/>
    <mergeCell ref="P79:R79"/>
    <mergeCell ref="V79:X79"/>
    <mergeCell ref="P78:R78"/>
    <mergeCell ref="V78:X78"/>
    <mergeCell ref="V80:X80"/>
    <mergeCell ref="B77:K77"/>
    <mergeCell ref="L77:O77"/>
    <mergeCell ref="L76:O76"/>
    <mergeCell ref="B76:K76"/>
    <mergeCell ref="P77:R77"/>
    <mergeCell ref="S77:U77"/>
    <mergeCell ref="V77:X77"/>
    <mergeCell ref="V76:X76"/>
    <mergeCell ref="S76:U76"/>
    <mergeCell ref="P76:R76"/>
    <mergeCell ref="U68:V68"/>
    <mergeCell ref="W62:X62"/>
    <mergeCell ref="W63:X63"/>
    <mergeCell ref="U62:V62"/>
    <mergeCell ref="U64:V64"/>
    <mergeCell ref="U63:V63"/>
    <mergeCell ref="V75:X75"/>
    <mergeCell ref="W64:X64"/>
    <mergeCell ref="I71:X71"/>
    <mergeCell ref="O65:Q65"/>
    <mergeCell ref="R65:T65"/>
    <mergeCell ref="S75:U75"/>
    <mergeCell ref="O66:Q66"/>
    <mergeCell ref="W67:X67"/>
    <mergeCell ref="P75:R75"/>
    <mergeCell ref="R68:T68"/>
    <mergeCell ref="U67:V67"/>
  </mergeCells>
  <conditionalFormatting sqref="F20:L20">
    <cfRule type="cellIs" dxfId="5" priority="1" stopIfTrue="1" operator="equal">
      <formula>$AD$17</formula>
    </cfRule>
  </conditionalFormatting>
  <conditionalFormatting sqref="F21:L21">
    <cfRule type="cellIs" dxfId="4" priority="2" stopIfTrue="1" operator="equal">
      <formula>$AD$20</formula>
    </cfRule>
    <cfRule type="cellIs" dxfId="3" priority="3" stopIfTrue="1" operator="equal">
      <formula>$AD$21</formula>
    </cfRule>
  </conditionalFormatting>
  <dataValidations count="10">
    <dataValidation type="list" allowBlank="1" showInputMessage="1" showErrorMessage="1" sqref="C41 IY41 SU41 ACQ41 AMM41 AWI41 BGE41 BQA41 BZW41 CJS41 CTO41 DDK41 DNG41 DXC41 EGY41 EQU41 FAQ41 FKM41 FUI41 GEE41 GOA41 GXW41 HHS41 HRO41 IBK41 ILG41 IVC41 JEY41 JOU41 JYQ41 KIM41 KSI41 LCE41 LMA41 LVW41 MFS41 MPO41 MZK41 NJG41 NTC41 OCY41 OMU41 OWQ41 PGM41 PQI41 QAE41 QKA41 QTW41 RDS41 RNO41 RXK41 SHG41 SRC41 TAY41 TKU41 TUQ41 UEM41 UOI41 UYE41 VIA41 VRW41 WBS41 WLO41 WVK41 C65577 IY65577 SU65577 ACQ65577 AMM65577 AWI65577 BGE65577 BQA65577 BZW65577 CJS65577 CTO65577 DDK65577 DNG65577 DXC65577 EGY65577 EQU65577 FAQ65577 FKM65577 FUI65577 GEE65577 GOA65577 GXW65577 HHS65577 HRO65577 IBK65577 ILG65577 IVC65577 JEY65577 JOU65577 JYQ65577 KIM65577 KSI65577 LCE65577 LMA65577 LVW65577 MFS65577 MPO65577 MZK65577 NJG65577 NTC65577 OCY65577 OMU65577 OWQ65577 PGM65577 PQI65577 QAE65577 QKA65577 QTW65577 RDS65577 RNO65577 RXK65577 SHG65577 SRC65577 TAY65577 TKU65577 TUQ65577 UEM65577 UOI65577 UYE65577 VIA65577 VRW65577 WBS65577 WLO65577 WVK65577 C131113 IY131113 SU131113 ACQ131113 AMM131113 AWI131113 BGE131113 BQA131113 BZW131113 CJS131113 CTO131113 DDK131113 DNG131113 DXC131113 EGY131113 EQU131113 FAQ131113 FKM131113 FUI131113 GEE131113 GOA131113 GXW131113 HHS131113 HRO131113 IBK131113 ILG131113 IVC131113 JEY131113 JOU131113 JYQ131113 KIM131113 KSI131113 LCE131113 LMA131113 LVW131113 MFS131113 MPO131113 MZK131113 NJG131113 NTC131113 OCY131113 OMU131113 OWQ131113 PGM131113 PQI131113 QAE131113 QKA131113 QTW131113 RDS131113 RNO131113 RXK131113 SHG131113 SRC131113 TAY131113 TKU131113 TUQ131113 UEM131113 UOI131113 UYE131113 VIA131113 VRW131113 WBS131113 WLO131113 WVK131113 C196649 IY196649 SU196649 ACQ196649 AMM196649 AWI196649 BGE196649 BQA196649 BZW196649 CJS196649 CTO196649 DDK196649 DNG196649 DXC196649 EGY196649 EQU196649 FAQ196649 FKM196649 FUI196649 GEE196649 GOA196649 GXW196649 HHS196649 HRO196649 IBK196649 ILG196649 IVC196649 JEY196649 JOU196649 JYQ196649 KIM196649 KSI196649 LCE196649 LMA196649 LVW196649 MFS196649 MPO196649 MZK196649 NJG196649 NTC196649 OCY196649 OMU196649 OWQ196649 PGM196649 PQI196649 QAE196649 QKA196649 QTW196649 RDS196649 RNO196649 RXK196649 SHG196649 SRC196649 TAY196649 TKU196649 TUQ196649 UEM196649 UOI196649 UYE196649 VIA196649 VRW196649 WBS196649 WLO196649 WVK196649 C262185 IY262185 SU262185 ACQ262185 AMM262185 AWI262185 BGE262185 BQA262185 BZW262185 CJS262185 CTO262185 DDK262185 DNG262185 DXC262185 EGY262185 EQU262185 FAQ262185 FKM262185 FUI262185 GEE262185 GOA262185 GXW262185 HHS262185 HRO262185 IBK262185 ILG262185 IVC262185 JEY262185 JOU262185 JYQ262185 KIM262185 KSI262185 LCE262185 LMA262185 LVW262185 MFS262185 MPO262185 MZK262185 NJG262185 NTC262185 OCY262185 OMU262185 OWQ262185 PGM262185 PQI262185 QAE262185 QKA262185 QTW262185 RDS262185 RNO262185 RXK262185 SHG262185 SRC262185 TAY262185 TKU262185 TUQ262185 UEM262185 UOI262185 UYE262185 VIA262185 VRW262185 WBS262185 WLO262185 WVK262185 C327721 IY327721 SU327721 ACQ327721 AMM327721 AWI327721 BGE327721 BQA327721 BZW327721 CJS327721 CTO327721 DDK327721 DNG327721 DXC327721 EGY327721 EQU327721 FAQ327721 FKM327721 FUI327721 GEE327721 GOA327721 GXW327721 HHS327721 HRO327721 IBK327721 ILG327721 IVC327721 JEY327721 JOU327721 JYQ327721 KIM327721 KSI327721 LCE327721 LMA327721 LVW327721 MFS327721 MPO327721 MZK327721 NJG327721 NTC327721 OCY327721 OMU327721 OWQ327721 PGM327721 PQI327721 QAE327721 QKA327721 QTW327721 RDS327721 RNO327721 RXK327721 SHG327721 SRC327721 TAY327721 TKU327721 TUQ327721 UEM327721 UOI327721 UYE327721 VIA327721 VRW327721 WBS327721 WLO327721 WVK327721 C393257 IY393257 SU393257 ACQ393257 AMM393257 AWI393257 BGE393257 BQA393257 BZW393257 CJS393257 CTO393257 DDK393257 DNG393257 DXC393257 EGY393257 EQU393257 FAQ393257 FKM393257 FUI393257 GEE393257 GOA393257 GXW393257 HHS393257 HRO393257 IBK393257 ILG393257 IVC393257 JEY393257 JOU393257 JYQ393257 KIM393257 KSI393257 LCE393257 LMA393257 LVW393257 MFS393257 MPO393257 MZK393257 NJG393257 NTC393257 OCY393257 OMU393257 OWQ393257 PGM393257 PQI393257 QAE393257 QKA393257 QTW393257 RDS393257 RNO393257 RXK393257 SHG393257 SRC393257 TAY393257 TKU393257 TUQ393257 UEM393257 UOI393257 UYE393257 VIA393257 VRW393257 WBS393257 WLO393257 WVK393257 C458793 IY458793 SU458793 ACQ458793 AMM458793 AWI458793 BGE458793 BQA458793 BZW458793 CJS458793 CTO458793 DDK458793 DNG458793 DXC458793 EGY458793 EQU458793 FAQ458793 FKM458793 FUI458793 GEE458793 GOA458793 GXW458793 HHS458793 HRO458793 IBK458793 ILG458793 IVC458793 JEY458793 JOU458793 JYQ458793 KIM458793 KSI458793 LCE458793 LMA458793 LVW458793 MFS458793 MPO458793 MZK458793 NJG458793 NTC458793 OCY458793 OMU458793 OWQ458793 PGM458793 PQI458793 QAE458793 QKA458793 QTW458793 RDS458793 RNO458793 RXK458793 SHG458793 SRC458793 TAY458793 TKU458793 TUQ458793 UEM458793 UOI458793 UYE458793 VIA458793 VRW458793 WBS458793 WLO458793 WVK458793 C524329 IY524329 SU524329 ACQ524329 AMM524329 AWI524329 BGE524329 BQA524329 BZW524329 CJS524329 CTO524329 DDK524329 DNG524329 DXC524329 EGY524329 EQU524329 FAQ524329 FKM524329 FUI524329 GEE524329 GOA524329 GXW524329 HHS524329 HRO524329 IBK524329 ILG524329 IVC524329 JEY524329 JOU524329 JYQ524329 KIM524329 KSI524329 LCE524329 LMA524329 LVW524329 MFS524329 MPO524329 MZK524329 NJG524329 NTC524329 OCY524329 OMU524329 OWQ524329 PGM524329 PQI524329 QAE524329 QKA524329 QTW524329 RDS524329 RNO524329 RXK524329 SHG524329 SRC524329 TAY524329 TKU524329 TUQ524329 UEM524329 UOI524329 UYE524329 VIA524329 VRW524329 WBS524329 WLO524329 WVK524329 C589865 IY589865 SU589865 ACQ589865 AMM589865 AWI589865 BGE589865 BQA589865 BZW589865 CJS589865 CTO589865 DDK589865 DNG589865 DXC589865 EGY589865 EQU589865 FAQ589865 FKM589865 FUI589865 GEE589865 GOA589865 GXW589865 HHS589865 HRO589865 IBK589865 ILG589865 IVC589865 JEY589865 JOU589865 JYQ589865 KIM589865 KSI589865 LCE589865 LMA589865 LVW589865 MFS589865 MPO589865 MZK589865 NJG589865 NTC589865 OCY589865 OMU589865 OWQ589865 PGM589865 PQI589865 QAE589865 QKA589865 QTW589865 RDS589865 RNO589865 RXK589865 SHG589865 SRC589865 TAY589865 TKU589865 TUQ589865 UEM589865 UOI589865 UYE589865 VIA589865 VRW589865 WBS589865 WLO589865 WVK589865 C655401 IY655401 SU655401 ACQ655401 AMM655401 AWI655401 BGE655401 BQA655401 BZW655401 CJS655401 CTO655401 DDK655401 DNG655401 DXC655401 EGY655401 EQU655401 FAQ655401 FKM655401 FUI655401 GEE655401 GOA655401 GXW655401 HHS655401 HRO655401 IBK655401 ILG655401 IVC655401 JEY655401 JOU655401 JYQ655401 KIM655401 KSI655401 LCE655401 LMA655401 LVW655401 MFS655401 MPO655401 MZK655401 NJG655401 NTC655401 OCY655401 OMU655401 OWQ655401 PGM655401 PQI655401 QAE655401 QKA655401 QTW655401 RDS655401 RNO655401 RXK655401 SHG655401 SRC655401 TAY655401 TKU655401 TUQ655401 UEM655401 UOI655401 UYE655401 VIA655401 VRW655401 WBS655401 WLO655401 WVK655401 C720937 IY720937 SU720937 ACQ720937 AMM720937 AWI720937 BGE720937 BQA720937 BZW720937 CJS720937 CTO720937 DDK720937 DNG720937 DXC720937 EGY720937 EQU720937 FAQ720937 FKM720937 FUI720937 GEE720937 GOA720937 GXW720937 HHS720937 HRO720937 IBK720937 ILG720937 IVC720937 JEY720937 JOU720937 JYQ720937 KIM720937 KSI720937 LCE720937 LMA720937 LVW720937 MFS720937 MPO720937 MZK720937 NJG720937 NTC720937 OCY720937 OMU720937 OWQ720937 PGM720937 PQI720937 QAE720937 QKA720937 QTW720937 RDS720937 RNO720937 RXK720937 SHG720937 SRC720937 TAY720937 TKU720937 TUQ720937 UEM720937 UOI720937 UYE720937 VIA720937 VRW720937 WBS720937 WLO720937 WVK720937 C786473 IY786473 SU786473 ACQ786473 AMM786473 AWI786473 BGE786473 BQA786473 BZW786473 CJS786473 CTO786473 DDK786473 DNG786473 DXC786473 EGY786473 EQU786473 FAQ786473 FKM786473 FUI786473 GEE786473 GOA786473 GXW786473 HHS786473 HRO786473 IBK786473 ILG786473 IVC786473 JEY786473 JOU786473 JYQ786473 KIM786473 KSI786473 LCE786473 LMA786473 LVW786473 MFS786473 MPO786473 MZK786473 NJG786473 NTC786473 OCY786473 OMU786473 OWQ786473 PGM786473 PQI786473 QAE786473 QKA786473 QTW786473 RDS786473 RNO786473 RXK786473 SHG786473 SRC786473 TAY786473 TKU786473 TUQ786473 UEM786473 UOI786473 UYE786473 VIA786473 VRW786473 WBS786473 WLO786473 WVK786473 C852009 IY852009 SU852009 ACQ852009 AMM852009 AWI852009 BGE852009 BQA852009 BZW852009 CJS852009 CTO852009 DDK852009 DNG852009 DXC852009 EGY852009 EQU852009 FAQ852009 FKM852009 FUI852009 GEE852009 GOA852009 GXW852009 HHS852009 HRO852009 IBK852009 ILG852009 IVC852009 JEY852009 JOU852009 JYQ852009 KIM852009 KSI852009 LCE852009 LMA852009 LVW852009 MFS852009 MPO852009 MZK852009 NJG852009 NTC852009 OCY852009 OMU852009 OWQ852009 PGM852009 PQI852009 QAE852009 QKA852009 QTW852009 RDS852009 RNO852009 RXK852009 SHG852009 SRC852009 TAY852009 TKU852009 TUQ852009 UEM852009 UOI852009 UYE852009 VIA852009 VRW852009 WBS852009 WLO852009 WVK852009 C917545 IY917545 SU917545 ACQ917545 AMM917545 AWI917545 BGE917545 BQA917545 BZW917545 CJS917545 CTO917545 DDK917545 DNG917545 DXC917545 EGY917545 EQU917545 FAQ917545 FKM917545 FUI917545 GEE917545 GOA917545 GXW917545 HHS917545 HRO917545 IBK917545 ILG917545 IVC917545 JEY917545 JOU917545 JYQ917545 KIM917545 KSI917545 LCE917545 LMA917545 LVW917545 MFS917545 MPO917545 MZK917545 NJG917545 NTC917545 OCY917545 OMU917545 OWQ917545 PGM917545 PQI917545 QAE917545 QKA917545 QTW917545 RDS917545 RNO917545 RXK917545 SHG917545 SRC917545 TAY917545 TKU917545 TUQ917545 UEM917545 UOI917545 UYE917545 VIA917545 VRW917545 WBS917545 WLO917545 WVK917545 C983081 IY983081 SU983081 ACQ983081 AMM983081 AWI983081 BGE983081 BQA983081 BZW983081 CJS983081 CTO983081 DDK983081 DNG983081 DXC983081 EGY983081 EQU983081 FAQ983081 FKM983081 FUI983081 GEE983081 GOA983081 GXW983081 HHS983081 HRO983081 IBK983081 ILG983081 IVC983081 JEY983081 JOU983081 JYQ983081 KIM983081 KSI983081 LCE983081 LMA983081 LVW983081 MFS983081 MPO983081 MZK983081 NJG983081 NTC983081 OCY983081 OMU983081 OWQ983081 PGM983081 PQI983081 QAE983081 QKA983081 QTW983081 RDS983081 RNO983081 RXK983081 SHG983081 SRC983081 TAY983081 TKU983081 TUQ983081 UEM983081 UOI983081 UYE983081 VIA983081 VRW983081 WBS983081 WLO983081 WVK983081 F41 JB41 SX41 ACT41 AMP41 AWL41 BGH41 BQD41 BZZ41 CJV41 CTR41 DDN41 DNJ41 DXF41 EHB41 EQX41 FAT41 FKP41 FUL41 GEH41 GOD41 GXZ41 HHV41 HRR41 IBN41 ILJ41 IVF41 JFB41 JOX41 JYT41 KIP41 KSL41 LCH41 LMD41 LVZ41 MFV41 MPR41 MZN41 NJJ41 NTF41 ODB41 OMX41 OWT41 PGP41 PQL41 QAH41 QKD41 QTZ41 RDV41 RNR41 RXN41 SHJ41 SRF41 TBB41 TKX41 TUT41 UEP41 UOL41 UYH41 VID41 VRZ41 WBV41 WLR41 WVN41 F65577 JB65577 SX65577 ACT65577 AMP65577 AWL65577 BGH65577 BQD65577 BZZ65577 CJV65577 CTR65577 DDN65577 DNJ65577 DXF65577 EHB65577 EQX65577 FAT65577 FKP65577 FUL65577 GEH65577 GOD65577 GXZ65577 HHV65577 HRR65577 IBN65577 ILJ65577 IVF65577 JFB65577 JOX65577 JYT65577 KIP65577 KSL65577 LCH65577 LMD65577 LVZ65577 MFV65577 MPR65577 MZN65577 NJJ65577 NTF65577 ODB65577 OMX65577 OWT65577 PGP65577 PQL65577 QAH65577 QKD65577 QTZ65577 RDV65577 RNR65577 RXN65577 SHJ65577 SRF65577 TBB65577 TKX65577 TUT65577 UEP65577 UOL65577 UYH65577 VID65577 VRZ65577 WBV65577 WLR65577 WVN65577 F131113 JB131113 SX131113 ACT131113 AMP131113 AWL131113 BGH131113 BQD131113 BZZ131113 CJV131113 CTR131113 DDN131113 DNJ131113 DXF131113 EHB131113 EQX131113 FAT131113 FKP131113 FUL131113 GEH131113 GOD131113 GXZ131113 HHV131113 HRR131113 IBN131113 ILJ131113 IVF131113 JFB131113 JOX131113 JYT131113 KIP131113 KSL131113 LCH131113 LMD131113 LVZ131113 MFV131113 MPR131113 MZN131113 NJJ131113 NTF131113 ODB131113 OMX131113 OWT131113 PGP131113 PQL131113 QAH131113 QKD131113 QTZ131113 RDV131113 RNR131113 RXN131113 SHJ131113 SRF131113 TBB131113 TKX131113 TUT131113 UEP131113 UOL131113 UYH131113 VID131113 VRZ131113 WBV131113 WLR131113 WVN131113 F196649 JB196649 SX196649 ACT196649 AMP196649 AWL196649 BGH196649 BQD196649 BZZ196649 CJV196649 CTR196649 DDN196649 DNJ196649 DXF196649 EHB196649 EQX196649 FAT196649 FKP196649 FUL196649 GEH196649 GOD196649 GXZ196649 HHV196649 HRR196649 IBN196649 ILJ196649 IVF196649 JFB196649 JOX196649 JYT196649 KIP196649 KSL196649 LCH196649 LMD196649 LVZ196649 MFV196649 MPR196649 MZN196649 NJJ196649 NTF196649 ODB196649 OMX196649 OWT196649 PGP196649 PQL196649 QAH196649 QKD196649 QTZ196649 RDV196649 RNR196649 RXN196649 SHJ196649 SRF196649 TBB196649 TKX196649 TUT196649 UEP196649 UOL196649 UYH196649 VID196649 VRZ196649 WBV196649 WLR196649 WVN196649 F262185 JB262185 SX262185 ACT262185 AMP262185 AWL262185 BGH262185 BQD262185 BZZ262185 CJV262185 CTR262185 DDN262185 DNJ262185 DXF262185 EHB262185 EQX262185 FAT262185 FKP262185 FUL262185 GEH262185 GOD262185 GXZ262185 HHV262185 HRR262185 IBN262185 ILJ262185 IVF262185 JFB262185 JOX262185 JYT262185 KIP262185 KSL262185 LCH262185 LMD262185 LVZ262185 MFV262185 MPR262185 MZN262185 NJJ262185 NTF262185 ODB262185 OMX262185 OWT262185 PGP262185 PQL262185 QAH262185 QKD262185 QTZ262185 RDV262185 RNR262185 RXN262185 SHJ262185 SRF262185 TBB262185 TKX262185 TUT262185 UEP262185 UOL262185 UYH262185 VID262185 VRZ262185 WBV262185 WLR262185 WVN262185 F327721 JB327721 SX327721 ACT327721 AMP327721 AWL327721 BGH327721 BQD327721 BZZ327721 CJV327721 CTR327721 DDN327721 DNJ327721 DXF327721 EHB327721 EQX327721 FAT327721 FKP327721 FUL327721 GEH327721 GOD327721 GXZ327721 HHV327721 HRR327721 IBN327721 ILJ327721 IVF327721 JFB327721 JOX327721 JYT327721 KIP327721 KSL327721 LCH327721 LMD327721 LVZ327721 MFV327721 MPR327721 MZN327721 NJJ327721 NTF327721 ODB327721 OMX327721 OWT327721 PGP327721 PQL327721 QAH327721 QKD327721 QTZ327721 RDV327721 RNR327721 RXN327721 SHJ327721 SRF327721 TBB327721 TKX327721 TUT327721 UEP327721 UOL327721 UYH327721 VID327721 VRZ327721 WBV327721 WLR327721 WVN327721 F393257 JB393257 SX393257 ACT393257 AMP393257 AWL393257 BGH393257 BQD393257 BZZ393257 CJV393257 CTR393257 DDN393257 DNJ393257 DXF393257 EHB393257 EQX393257 FAT393257 FKP393257 FUL393257 GEH393257 GOD393257 GXZ393257 HHV393257 HRR393257 IBN393257 ILJ393257 IVF393257 JFB393257 JOX393257 JYT393257 KIP393257 KSL393257 LCH393257 LMD393257 LVZ393257 MFV393257 MPR393257 MZN393257 NJJ393257 NTF393257 ODB393257 OMX393257 OWT393257 PGP393257 PQL393257 QAH393257 QKD393257 QTZ393257 RDV393257 RNR393257 RXN393257 SHJ393257 SRF393257 TBB393257 TKX393257 TUT393257 UEP393257 UOL393257 UYH393257 VID393257 VRZ393257 WBV393257 WLR393257 WVN393257 F458793 JB458793 SX458793 ACT458793 AMP458793 AWL458793 BGH458793 BQD458793 BZZ458793 CJV458793 CTR458793 DDN458793 DNJ458793 DXF458793 EHB458793 EQX458793 FAT458793 FKP458793 FUL458793 GEH458793 GOD458793 GXZ458793 HHV458793 HRR458793 IBN458793 ILJ458793 IVF458793 JFB458793 JOX458793 JYT458793 KIP458793 KSL458793 LCH458793 LMD458793 LVZ458793 MFV458793 MPR458793 MZN458793 NJJ458793 NTF458793 ODB458793 OMX458793 OWT458793 PGP458793 PQL458793 QAH458793 QKD458793 QTZ458793 RDV458793 RNR458793 RXN458793 SHJ458793 SRF458793 TBB458793 TKX458793 TUT458793 UEP458793 UOL458793 UYH458793 VID458793 VRZ458793 WBV458793 WLR458793 WVN458793 F524329 JB524329 SX524329 ACT524329 AMP524329 AWL524329 BGH524329 BQD524329 BZZ524329 CJV524329 CTR524329 DDN524329 DNJ524329 DXF524329 EHB524329 EQX524329 FAT524329 FKP524329 FUL524329 GEH524329 GOD524329 GXZ524329 HHV524329 HRR524329 IBN524329 ILJ524329 IVF524329 JFB524329 JOX524329 JYT524329 KIP524329 KSL524329 LCH524329 LMD524329 LVZ524329 MFV524329 MPR524329 MZN524329 NJJ524329 NTF524329 ODB524329 OMX524329 OWT524329 PGP524329 PQL524329 QAH524329 QKD524329 QTZ524329 RDV524329 RNR524329 RXN524329 SHJ524329 SRF524329 TBB524329 TKX524329 TUT524329 UEP524329 UOL524329 UYH524329 VID524329 VRZ524329 WBV524329 WLR524329 WVN524329 F589865 JB589865 SX589865 ACT589865 AMP589865 AWL589865 BGH589865 BQD589865 BZZ589865 CJV589865 CTR589865 DDN589865 DNJ589865 DXF589865 EHB589865 EQX589865 FAT589865 FKP589865 FUL589865 GEH589865 GOD589865 GXZ589865 HHV589865 HRR589865 IBN589865 ILJ589865 IVF589865 JFB589865 JOX589865 JYT589865 KIP589865 KSL589865 LCH589865 LMD589865 LVZ589865 MFV589865 MPR589865 MZN589865 NJJ589865 NTF589865 ODB589865 OMX589865 OWT589865 PGP589865 PQL589865 QAH589865 QKD589865 QTZ589865 RDV589865 RNR589865 RXN589865 SHJ589865 SRF589865 TBB589865 TKX589865 TUT589865 UEP589865 UOL589865 UYH589865 VID589865 VRZ589865 WBV589865 WLR589865 WVN589865 F655401 JB655401 SX655401 ACT655401 AMP655401 AWL655401 BGH655401 BQD655401 BZZ655401 CJV655401 CTR655401 DDN655401 DNJ655401 DXF655401 EHB655401 EQX655401 FAT655401 FKP655401 FUL655401 GEH655401 GOD655401 GXZ655401 HHV655401 HRR655401 IBN655401 ILJ655401 IVF655401 JFB655401 JOX655401 JYT655401 KIP655401 KSL655401 LCH655401 LMD655401 LVZ655401 MFV655401 MPR655401 MZN655401 NJJ655401 NTF655401 ODB655401 OMX655401 OWT655401 PGP655401 PQL655401 QAH655401 QKD655401 QTZ655401 RDV655401 RNR655401 RXN655401 SHJ655401 SRF655401 TBB655401 TKX655401 TUT655401 UEP655401 UOL655401 UYH655401 VID655401 VRZ655401 WBV655401 WLR655401 WVN655401 F720937 JB720937 SX720937 ACT720937 AMP720937 AWL720937 BGH720937 BQD720937 BZZ720937 CJV720937 CTR720937 DDN720937 DNJ720937 DXF720937 EHB720937 EQX720937 FAT720937 FKP720937 FUL720937 GEH720937 GOD720937 GXZ720937 HHV720937 HRR720937 IBN720937 ILJ720937 IVF720937 JFB720937 JOX720937 JYT720937 KIP720937 KSL720937 LCH720937 LMD720937 LVZ720937 MFV720937 MPR720937 MZN720937 NJJ720937 NTF720937 ODB720937 OMX720937 OWT720937 PGP720937 PQL720937 QAH720937 QKD720937 QTZ720937 RDV720937 RNR720937 RXN720937 SHJ720937 SRF720937 TBB720937 TKX720937 TUT720937 UEP720937 UOL720937 UYH720937 VID720937 VRZ720937 WBV720937 WLR720937 WVN720937 F786473 JB786473 SX786473 ACT786473 AMP786473 AWL786473 BGH786473 BQD786473 BZZ786473 CJV786473 CTR786473 DDN786473 DNJ786473 DXF786473 EHB786473 EQX786473 FAT786473 FKP786473 FUL786473 GEH786473 GOD786473 GXZ786473 HHV786473 HRR786473 IBN786473 ILJ786473 IVF786473 JFB786473 JOX786473 JYT786473 KIP786473 KSL786473 LCH786473 LMD786473 LVZ786473 MFV786473 MPR786473 MZN786473 NJJ786473 NTF786473 ODB786473 OMX786473 OWT786473 PGP786473 PQL786473 QAH786473 QKD786473 QTZ786473 RDV786473 RNR786473 RXN786473 SHJ786473 SRF786473 TBB786473 TKX786473 TUT786473 UEP786473 UOL786473 UYH786473 VID786473 VRZ786473 WBV786473 WLR786473 WVN786473 F852009 JB852009 SX852009 ACT852009 AMP852009 AWL852009 BGH852009 BQD852009 BZZ852009 CJV852009 CTR852009 DDN852009 DNJ852009 DXF852009 EHB852009 EQX852009 FAT852009 FKP852009 FUL852009 GEH852009 GOD852009 GXZ852009 HHV852009 HRR852009 IBN852009 ILJ852009 IVF852009 JFB852009 JOX852009 JYT852009 KIP852009 KSL852009 LCH852009 LMD852009 LVZ852009 MFV852009 MPR852009 MZN852009 NJJ852009 NTF852009 ODB852009 OMX852009 OWT852009 PGP852009 PQL852009 QAH852009 QKD852009 QTZ852009 RDV852009 RNR852009 RXN852009 SHJ852009 SRF852009 TBB852009 TKX852009 TUT852009 UEP852009 UOL852009 UYH852009 VID852009 VRZ852009 WBV852009 WLR852009 WVN852009 F917545 JB917545 SX917545 ACT917545 AMP917545 AWL917545 BGH917545 BQD917545 BZZ917545 CJV917545 CTR917545 DDN917545 DNJ917545 DXF917545 EHB917545 EQX917545 FAT917545 FKP917545 FUL917545 GEH917545 GOD917545 GXZ917545 HHV917545 HRR917545 IBN917545 ILJ917545 IVF917545 JFB917545 JOX917545 JYT917545 KIP917545 KSL917545 LCH917545 LMD917545 LVZ917545 MFV917545 MPR917545 MZN917545 NJJ917545 NTF917545 ODB917545 OMX917545 OWT917545 PGP917545 PQL917545 QAH917545 QKD917545 QTZ917545 RDV917545 RNR917545 RXN917545 SHJ917545 SRF917545 TBB917545 TKX917545 TUT917545 UEP917545 UOL917545 UYH917545 VID917545 VRZ917545 WBV917545 WLR917545 WVN917545 F983081 JB983081 SX983081 ACT983081 AMP983081 AWL983081 BGH983081 BQD983081 BZZ983081 CJV983081 CTR983081 DDN983081 DNJ983081 DXF983081 EHB983081 EQX983081 FAT983081 FKP983081 FUL983081 GEH983081 GOD983081 GXZ983081 HHV983081 HRR983081 IBN983081 ILJ983081 IVF983081 JFB983081 JOX983081 JYT983081 KIP983081 KSL983081 LCH983081 LMD983081 LVZ983081 MFV983081 MPR983081 MZN983081 NJJ983081 NTF983081 ODB983081 OMX983081 OWT983081 PGP983081 PQL983081 QAH983081 QKD983081 QTZ983081 RDV983081 RNR983081 RXN983081 SHJ983081 SRF983081 TBB983081 TKX983081 TUT983081 UEP983081 UOL983081 UYH983081 VID983081 VRZ983081 WBV983081 WLR983081 WVN983081 I41 JE41 TA41 ACW41 AMS41 AWO41 BGK41 BQG41 CAC41 CJY41 CTU41 DDQ41 DNM41 DXI41 EHE41 ERA41 FAW41 FKS41 FUO41 GEK41 GOG41 GYC41 HHY41 HRU41 IBQ41 ILM41 IVI41 JFE41 JPA41 JYW41 KIS41 KSO41 LCK41 LMG41 LWC41 MFY41 MPU41 MZQ41 NJM41 NTI41 ODE41 ONA41 OWW41 PGS41 PQO41 QAK41 QKG41 QUC41 RDY41 RNU41 RXQ41 SHM41 SRI41 TBE41 TLA41 TUW41 UES41 UOO41 UYK41 VIG41 VSC41 WBY41 WLU41 WVQ41 I65577 JE65577 TA65577 ACW65577 AMS65577 AWO65577 BGK65577 BQG65577 CAC65577 CJY65577 CTU65577 DDQ65577 DNM65577 DXI65577 EHE65577 ERA65577 FAW65577 FKS65577 FUO65577 GEK65577 GOG65577 GYC65577 HHY65577 HRU65577 IBQ65577 ILM65577 IVI65577 JFE65577 JPA65577 JYW65577 KIS65577 KSO65577 LCK65577 LMG65577 LWC65577 MFY65577 MPU65577 MZQ65577 NJM65577 NTI65577 ODE65577 ONA65577 OWW65577 PGS65577 PQO65577 QAK65577 QKG65577 QUC65577 RDY65577 RNU65577 RXQ65577 SHM65577 SRI65577 TBE65577 TLA65577 TUW65577 UES65577 UOO65577 UYK65577 VIG65577 VSC65577 WBY65577 WLU65577 WVQ65577 I131113 JE131113 TA131113 ACW131113 AMS131113 AWO131113 BGK131113 BQG131113 CAC131113 CJY131113 CTU131113 DDQ131113 DNM131113 DXI131113 EHE131113 ERA131113 FAW131113 FKS131113 FUO131113 GEK131113 GOG131113 GYC131113 HHY131113 HRU131113 IBQ131113 ILM131113 IVI131113 JFE131113 JPA131113 JYW131113 KIS131113 KSO131113 LCK131113 LMG131113 LWC131113 MFY131113 MPU131113 MZQ131113 NJM131113 NTI131113 ODE131113 ONA131113 OWW131113 PGS131113 PQO131113 QAK131113 QKG131113 QUC131113 RDY131113 RNU131113 RXQ131113 SHM131113 SRI131113 TBE131113 TLA131113 TUW131113 UES131113 UOO131113 UYK131113 VIG131113 VSC131113 WBY131113 WLU131113 WVQ131113 I196649 JE196649 TA196649 ACW196649 AMS196649 AWO196649 BGK196649 BQG196649 CAC196649 CJY196649 CTU196649 DDQ196649 DNM196649 DXI196649 EHE196649 ERA196649 FAW196649 FKS196649 FUO196649 GEK196649 GOG196649 GYC196649 HHY196649 HRU196649 IBQ196649 ILM196649 IVI196649 JFE196649 JPA196649 JYW196649 KIS196649 KSO196649 LCK196649 LMG196649 LWC196649 MFY196649 MPU196649 MZQ196649 NJM196649 NTI196649 ODE196649 ONA196649 OWW196649 PGS196649 PQO196649 QAK196649 QKG196649 QUC196649 RDY196649 RNU196649 RXQ196649 SHM196649 SRI196649 TBE196649 TLA196649 TUW196649 UES196649 UOO196649 UYK196649 VIG196649 VSC196649 WBY196649 WLU196649 WVQ196649 I262185 JE262185 TA262185 ACW262185 AMS262185 AWO262185 BGK262185 BQG262185 CAC262185 CJY262185 CTU262185 DDQ262185 DNM262185 DXI262185 EHE262185 ERA262185 FAW262185 FKS262185 FUO262185 GEK262185 GOG262185 GYC262185 HHY262185 HRU262185 IBQ262185 ILM262185 IVI262185 JFE262185 JPA262185 JYW262185 KIS262185 KSO262185 LCK262185 LMG262185 LWC262185 MFY262185 MPU262185 MZQ262185 NJM262185 NTI262185 ODE262185 ONA262185 OWW262185 PGS262185 PQO262185 QAK262185 QKG262185 QUC262185 RDY262185 RNU262185 RXQ262185 SHM262185 SRI262185 TBE262185 TLA262185 TUW262185 UES262185 UOO262185 UYK262185 VIG262185 VSC262185 WBY262185 WLU262185 WVQ262185 I327721 JE327721 TA327721 ACW327721 AMS327721 AWO327721 BGK327721 BQG327721 CAC327721 CJY327721 CTU327721 DDQ327721 DNM327721 DXI327721 EHE327721 ERA327721 FAW327721 FKS327721 FUO327721 GEK327721 GOG327721 GYC327721 HHY327721 HRU327721 IBQ327721 ILM327721 IVI327721 JFE327721 JPA327721 JYW327721 KIS327721 KSO327721 LCK327721 LMG327721 LWC327721 MFY327721 MPU327721 MZQ327721 NJM327721 NTI327721 ODE327721 ONA327721 OWW327721 PGS327721 PQO327721 QAK327721 QKG327721 QUC327721 RDY327721 RNU327721 RXQ327721 SHM327721 SRI327721 TBE327721 TLA327721 TUW327721 UES327721 UOO327721 UYK327721 VIG327721 VSC327721 WBY327721 WLU327721 WVQ327721 I393257 JE393257 TA393257 ACW393257 AMS393257 AWO393257 BGK393257 BQG393257 CAC393257 CJY393257 CTU393257 DDQ393257 DNM393257 DXI393257 EHE393257 ERA393257 FAW393257 FKS393257 FUO393257 GEK393257 GOG393257 GYC393257 HHY393257 HRU393257 IBQ393257 ILM393257 IVI393257 JFE393257 JPA393257 JYW393257 KIS393257 KSO393257 LCK393257 LMG393257 LWC393257 MFY393257 MPU393257 MZQ393257 NJM393257 NTI393257 ODE393257 ONA393257 OWW393257 PGS393257 PQO393257 QAK393257 QKG393257 QUC393257 RDY393257 RNU393257 RXQ393257 SHM393257 SRI393257 TBE393257 TLA393257 TUW393257 UES393257 UOO393257 UYK393257 VIG393257 VSC393257 WBY393257 WLU393257 WVQ393257 I458793 JE458793 TA458793 ACW458793 AMS458793 AWO458793 BGK458793 BQG458793 CAC458793 CJY458793 CTU458793 DDQ458793 DNM458793 DXI458793 EHE458793 ERA458793 FAW458793 FKS458793 FUO458793 GEK458793 GOG458793 GYC458793 HHY458793 HRU458793 IBQ458793 ILM458793 IVI458793 JFE458793 JPA458793 JYW458793 KIS458793 KSO458793 LCK458793 LMG458793 LWC458793 MFY458793 MPU458793 MZQ458793 NJM458793 NTI458793 ODE458793 ONA458793 OWW458793 PGS458793 PQO458793 QAK458793 QKG458793 QUC458793 RDY458793 RNU458793 RXQ458793 SHM458793 SRI458793 TBE458793 TLA458793 TUW458793 UES458793 UOO458793 UYK458793 VIG458793 VSC458793 WBY458793 WLU458793 WVQ458793 I524329 JE524329 TA524329 ACW524329 AMS524329 AWO524329 BGK524329 BQG524329 CAC524329 CJY524329 CTU524329 DDQ524329 DNM524329 DXI524329 EHE524329 ERA524329 FAW524329 FKS524329 FUO524329 GEK524329 GOG524329 GYC524329 HHY524329 HRU524329 IBQ524329 ILM524329 IVI524329 JFE524329 JPA524329 JYW524329 KIS524329 KSO524329 LCK524329 LMG524329 LWC524329 MFY524329 MPU524329 MZQ524329 NJM524329 NTI524329 ODE524329 ONA524329 OWW524329 PGS524329 PQO524329 QAK524329 QKG524329 QUC524329 RDY524329 RNU524329 RXQ524329 SHM524329 SRI524329 TBE524329 TLA524329 TUW524329 UES524329 UOO524329 UYK524329 VIG524329 VSC524329 WBY524329 WLU524329 WVQ524329 I589865 JE589865 TA589865 ACW589865 AMS589865 AWO589865 BGK589865 BQG589865 CAC589865 CJY589865 CTU589865 DDQ589865 DNM589865 DXI589865 EHE589865 ERA589865 FAW589865 FKS589865 FUO589865 GEK589865 GOG589865 GYC589865 HHY589865 HRU589865 IBQ589865 ILM589865 IVI589865 JFE589865 JPA589865 JYW589865 KIS589865 KSO589865 LCK589865 LMG589865 LWC589865 MFY589865 MPU589865 MZQ589865 NJM589865 NTI589865 ODE589865 ONA589865 OWW589865 PGS589865 PQO589865 QAK589865 QKG589865 QUC589865 RDY589865 RNU589865 RXQ589865 SHM589865 SRI589865 TBE589865 TLA589865 TUW589865 UES589865 UOO589865 UYK589865 VIG589865 VSC589865 WBY589865 WLU589865 WVQ589865 I655401 JE655401 TA655401 ACW655401 AMS655401 AWO655401 BGK655401 BQG655401 CAC655401 CJY655401 CTU655401 DDQ655401 DNM655401 DXI655401 EHE655401 ERA655401 FAW655401 FKS655401 FUO655401 GEK655401 GOG655401 GYC655401 HHY655401 HRU655401 IBQ655401 ILM655401 IVI655401 JFE655401 JPA655401 JYW655401 KIS655401 KSO655401 LCK655401 LMG655401 LWC655401 MFY655401 MPU655401 MZQ655401 NJM655401 NTI655401 ODE655401 ONA655401 OWW655401 PGS655401 PQO655401 QAK655401 QKG655401 QUC655401 RDY655401 RNU655401 RXQ655401 SHM655401 SRI655401 TBE655401 TLA655401 TUW655401 UES655401 UOO655401 UYK655401 VIG655401 VSC655401 WBY655401 WLU655401 WVQ655401 I720937 JE720937 TA720937 ACW720937 AMS720937 AWO720937 BGK720937 BQG720937 CAC720937 CJY720937 CTU720937 DDQ720937 DNM720937 DXI720937 EHE720937 ERA720937 FAW720937 FKS720937 FUO720937 GEK720937 GOG720937 GYC720937 HHY720937 HRU720937 IBQ720937 ILM720937 IVI720937 JFE720937 JPA720937 JYW720937 KIS720937 KSO720937 LCK720937 LMG720937 LWC720937 MFY720937 MPU720937 MZQ720937 NJM720937 NTI720937 ODE720937 ONA720937 OWW720937 PGS720937 PQO720937 QAK720937 QKG720937 QUC720937 RDY720937 RNU720937 RXQ720937 SHM720937 SRI720937 TBE720937 TLA720937 TUW720937 UES720937 UOO720937 UYK720937 VIG720937 VSC720937 WBY720937 WLU720937 WVQ720937 I786473 JE786473 TA786473 ACW786473 AMS786473 AWO786473 BGK786473 BQG786473 CAC786473 CJY786473 CTU786473 DDQ786473 DNM786473 DXI786473 EHE786473 ERA786473 FAW786473 FKS786473 FUO786473 GEK786473 GOG786473 GYC786473 HHY786473 HRU786473 IBQ786473 ILM786473 IVI786473 JFE786473 JPA786473 JYW786473 KIS786473 KSO786473 LCK786473 LMG786473 LWC786473 MFY786473 MPU786473 MZQ786473 NJM786473 NTI786473 ODE786473 ONA786473 OWW786473 PGS786473 PQO786473 QAK786473 QKG786473 QUC786473 RDY786473 RNU786473 RXQ786473 SHM786473 SRI786473 TBE786473 TLA786473 TUW786473 UES786473 UOO786473 UYK786473 VIG786473 VSC786473 WBY786473 WLU786473 WVQ786473 I852009 JE852009 TA852009 ACW852009 AMS852009 AWO852009 BGK852009 BQG852009 CAC852009 CJY852009 CTU852009 DDQ852009 DNM852009 DXI852009 EHE852009 ERA852009 FAW852009 FKS852009 FUO852009 GEK852009 GOG852009 GYC852009 HHY852009 HRU852009 IBQ852009 ILM852009 IVI852009 JFE852009 JPA852009 JYW852009 KIS852009 KSO852009 LCK852009 LMG852009 LWC852009 MFY852009 MPU852009 MZQ852009 NJM852009 NTI852009 ODE852009 ONA852009 OWW852009 PGS852009 PQO852009 QAK852009 QKG852009 QUC852009 RDY852009 RNU852009 RXQ852009 SHM852009 SRI852009 TBE852009 TLA852009 TUW852009 UES852009 UOO852009 UYK852009 VIG852009 VSC852009 WBY852009 WLU852009 WVQ852009 I917545 JE917545 TA917545 ACW917545 AMS917545 AWO917545 BGK917545 BQG917545 CAC917545 CJY917545 CTU917545 DDQ917545 DNM917545 DXI917545 EHE917545 ERA917545 FAW917545 FKS917545 FUO917545 GEK917545 GOG917545 GYC917545 HHY917545 HRU917545 IBQ917545 ILM917545 IVI917545 JFE917545 JPA917545 JYW917545 KIS917545 KSO917545 LCK917545 LMG917545 LWC917545 MFY917545 MPU917545 MZQ917545 NJM917545 NTI917545 ODE917545 ONA917545 OWW917545 PGS917545 PQO917545 QAK917545 QKG917545 QUC917545 RDY917545 RNU917545 RXQ917545 SHM917545 SRI917545 TBE917545 TLA917545 TUW917545 UES917545 UOO917545 UYK917545 VIG917545 VSC917545 WBY917545 WLU917545 WVQ917545 I983081 JE983081 TA983081 ACW983081 AMS983081 AWO983081 BGK983081 BQG983081 CAC983081 CJY983081 CTU983081 DDQ983081 DNM983081 DXI983081 EHE983081 ERA983081 FAW983081 FKS983081 FUO983081 GEK983081 GOG983081 GYC983081 HHY983081 HRU983081 IBQ983081 ILM983081 IVI983081 JFE983081 JPA983081 JYW983081 KIS983081 KSO983081 LCK983081 LMG983081 LWC983081 MFY983081 MPU983081 MZQ983081 NJM983081 NTI983081 ODE983081 ONA983081 OWW983081 PGS983081 PQO983081 QAK983081 QKG983081 QUC983081 RDY983081 RNU983081 RXQ983081 SHM983081 SRI983081 TBE983081 TLA983081 TUW983081 UES983081 UOO983081 UYK983081 VIG983081 VSC983081 WBY983081 WLU983081 WVQ983081 L41 JH41 TD41 ACZ41 AMV41 AWR41 BGN41 BQJ41 CAF41 CKB41 CTX41 DDT41 DNP41 DXL41 EHH41 ERD41 FAZ41 FKV41 FUR41 GEN41 GOJ41 GYF41 HIB41 HRX41 IBT41 ILP41 IVL41 JFH41 JPD41 JYZ41 KIV41 KSR41 LCN41 LMJ41 LWF41 MGB41 MPX41 MZT41 NJP41 NTL41 ODH41 OND41 OWZ41 PGV41 PQR41 QAN41 QKJ41 QUF41 REB41 RNX41 RXT41 SHP41 SRL41 TBH41 TLD41 TUZ41 UEV41 UOR41 UYN41 VIJ41 VSF41 WCB41 WLX41 WVT41 L65577 JH65577 TD65577 ACZ65577 AMV65577 AWR65577 BGN65577 BQJ65577 CAF65577 CKB65577 CTX65577 DDT65577 DNP65577 DXL65577 EHH65577 ERD65577 FAZ65577 FKV65577 FUR65577 GEN65577 GOJ65577 GYF65577 HIB65577 HRX65577 IBT65577 ILP65577 IVL65577 JFH65577 JPD65577 JYZ65577 KIV65577 KSR65577 LCN65577 LMJ65577 LWF65577 MGB65577 MPX65577 MZT65577 NJP65577 NTL65577 ODH65577 OND65577 OWZ65577 PGV65577 PQR65577 QAN65577 QKJ65577 QUF65577 REB65577 RNX65577 RXT65577 SHP65577 SRL65577 TBH65577 TLD65577 TUZ65577 UEV65577 UOR65577 UYN65577 VIJ65577 VSF65577 WCB65577 WLX65577 WVT65577 L131113 JH131113 TD131113 ACZ131113 AMV131113 AWR131113 BGN131113 BQJ131113 CAF131113 CKB131113 CTX131113 DDT131113 DNP131113 DXL131113 EHH131113 ERD131113 FAZ131113 FKV131113 FUR131113 GEN131113 GOJ131113 GYF131113 HIB131113 HRX131113 IBT131113 ILP131113 IVL131113 JFH131113 JPD131113 JYZ131113 KIV131113 KSR131113 LCN131113 LMJ131113 LWF131113 MGB131113 MPX131113 MZT131113 NJP131113 NTL131113 ODH131113 OND131113 OWZ131113 PGV131113 PQR131113 QAN131113 QKJ131113 QUF131113 REB131113 RNX131113 RXT131113 SHP131113 SRL131113 TBH131113 TLD131113 TUZ131113 UEV131113 UOR131113 UYN131113 VIJ131113 VSF131113 WCB131113 WLX131113 WVT131113 L196649 JH196649 TD196649 ACZ196649 AMV196649 AWR196649 BGN196649 BQJ196649 CAF196649 CKB196649 CTX196649 DDT196649 DNP196649 DXL196649 EHH196649 ERD196649 FAZ196649 FKV196649 FUR196649 GEN196649 GOJ196649 GYF196649 HIB196649 HRX196649 IBT196649 ILP196649 IVL196649 JFH196649 JPD196649 JYZ196649 KIV196649 KSR196649 LCN196649 LMJ196649 LWF196649 MGB196649 MPX196649 MZT196649 NJP196649 NTL196649 ODH196649 OND196649 OWZ196649 PGV196649 PQR196649 QAN196649 QKJ196649 QUF196649 REB196649 RNX196649 RXT196649 SHP196649 SRL196649 TBH196649 TLD196649 TUZ196649 UEV196649 UOR196649 UYN196649 VIJ196649 VSF196649 WCB196649 WLX196649 WVT196649 L262185 JH262185 TD262185 ACZ262185 AMV262185 AWR262185 BGN262185 BQJ262185 CAF262185 CKB262185 CTX262185 DDT262185 DNP262185 DXL262185 EHH262185 ERD262185 FAZ262185 FKV262185 FUR262185 GEN262185 GOJ262185 GYF262185 HIB262185 HRX262185 IBT262185 ILP262185 IVL262185 JFH262185 JPD262185 JYZ262185 KIV262185 KSR262185 LCN262185 LMJ262185 LWF262185 MGB262185 MPX262185 MZT262185 NJP262185 NTL262185 ODH262185 OND262185 OWZ262185 PGV262185 PQR262185 QAN262185 QKJ262185 QUF262185 REB262185 RNX262185 RXT262185 SHP262185 SRL262185 TBH262185 TLD262185 TUZ262185 UEV262185 UOR262185 UYN262185 VIJ262185 VSF262185 WCB262185 WLX262185 WVT262185 L327721 JH327721 TD327721 ACZ327721 AMV327721 AWR327721 BGN327721 BQJ327721 CAF327721 CKB327721 CTX327721 DDT327721 DNP327721 DXL327721 EHH327721 ERD327721 FAZ327721 FKV327721 FUR327721 GEN327721 GOJ327721 GYF327721 HIB327721 HRX327721 IBT327721 ILP327721 IVL327721 JFH327721 JPD327721 JYZ327721 KIV327721 KSR327721 LCN327721 LMJ327721 LWF327721 MGB327721 MPX327721 MZT327721 NJP327721 NTL327721 ODH327721 OND327721 OWZ327721 PGV327721 PQR327721 QAN327721 QKJ327721 QUF327721 REB327721 RNX327721 RXT327721 SHP327721 SRL327721 TBH327721 TLD327721 TUZ327721 UEV327721 UOR327721 UYN327721 VIJ327721 VSF327721 WCB327721 WLX327721 WVT327721 L393257 JH393257 TD393257 ACZ393257 AMV393257 AWR393257 BGN393257 BQJ393257 CAF393257 CKB393257 CTX393257 DDT393257 DNP393257 DXL393257 EHH393257 ERD393257 FAZ393257 FKV393257 FUR393257 GEN393257 GOJ393257 GYF393257 HIB393257 HRX393257 IBT393257 ILP393257 IVL393257 JFH393257 JPD393257 JYZ393257 KIV393257 KSR393257 LCN393257 LMJ393257 LWF393257 MGB393257 MPX393257 MZT393257 NJP393257 NTL393257 ODH393257 OND393257 OWZ393257 PGV393257 PQR393257 QAN393257 QKJ393257 QUF393257 REB393257 RNX393257 RXT393257 SHP393257 SRL393257 TBH393257 TLD393257 TUZ393257 UEV393257 UOR393257 UYN393257 VIJ393257 VSF393257 WCB393257 WLX393257 WVT393257 L458793 JH458793 TD458793 ACZ458793 AMV458793 AWR458793 BGN458793 BQJ458793 CAF458793 CKB458793 CTX458793 DDT458793 DNP458793 DXL458793 EHH458793 ERD458793 FAZ458793 FKV458793 FUR458793 GEN458793 GOJ458793 GYF458793 HIB458793 HRX458793 IBT458793 ILP458793 IVL458793 JFH458793 JPD458793 JYZ458793 KIV458793 KSR458793 LCN458793 LMJ458793 LWF458793 MGB458793 MPX458793 MZT458793 NJP458793 NTL458793 ODH458793 OND458793 OWZ458793 PGV458793 PQR458793 QAN458793 QKJ458793 QUF458793 REB458793 RNX458793 RXT458793 SHP458793 SRL458793 TBH458793 TLD458793 TUZ458793 UEV458793 UOR458793 UYN458793 VIJ458793 VSF458793 WCB458793 WLX458793 WVT458793 L524329 JH524329 TD524329 ACZ524329 AMV524329 AWR524329 BGN524329 BQJ524329 CAF524329 CKB524329 CTX524329 DDT524329 DNP524329 DXL524329 EHH524329 ERD524329 FAZ524329 FKV524329 FUR524329 GEN524329 GOJ524329 GYF524329 HIB524329 HRX524329 IBT524329 ILP524329 IVL524329 JFH524329 JPD524329 JYZ524329 KIV524329 KSR524329 LCN524329 LMJ524329 LWF524329 MGB524329 MPX524329 MZT524329 NJP524329 NTL524329 ODH524329 OND524329 OWZ524329 PGV524329 PQR524329 QAN524329 QKJ524329 QUF524329 REB524329 RNX524329 RXT524329 SHP524329 SRL524329 TBH524329 TLD524329 TUZ524329 UEV524329 UOR524329 UYN524329 VIJ524329 VSF524329 WCB524329 WLX524329 WVT524329 L589865 JH589865 TD589865 ACZ589865 AMV589865 AWR589865 BGN589865 BQJ589865 CAF589865 CKB589865 CTX589865 DDT589865 DNP589865 DXL589865 EHH589865 ERD589865 FAZ589865 FKV589865 FUR589865 GEN589865 GOJ589865 GYF589865 HIB589865 HRX589865 IBT589865 ILP589865 IVL589865 JFH589865 JPD589865 JYZ589865 KIV589865 KSR589865 LCN589865 LMJ589865 LWF589865 MGB589865 MPX589865 MZT589865 NJP589865 NTL589865 ODH589865 OND589865 OWZ589865 PGV589865 PQR589865 QAN589865 QKJ589865 QUF589865 REB589865 RNX589865 RXT589865 SHP589865 SRL589865 TBH589865 TLD589865 TUZ589865 UEV589865 UOR589865 UYN589865 VIJ589865 VSF589865 WCB589865 WLX589865 WVT589865 L655401 JH655401 TD655401 ACZ655401 AMV655401 AWR655401 BGN655401 BQJ655401 CAF655401 CKB655401 CTX655401 DDT655401 DNP655401 DXL655401 EHH655401 ERD655401 FAZ655401 FKV655401 FUR655401 GEN655401 GOJ655401 GYF655401 HIB655401 HRX655401 IBT655401 ILP655401 IVL655401 JFH655401 JPD655401 JYZ655401 KIV655401 KSR655401 LCN655401 LMJ655401 LWF655401 MGB655401 MPX655401 MZT655401 NJP655401 NTL655401 ODH655401 OND655401 OWZ655401 PGV655401 PQR655401 QAN655401 QKJ655401 QUF655401 REB655401 RNX655401 RXT655401 SHP655401 SRL655401 TBH655401 TLD655401 TUZ655401 UEV655401 UOR655401 UYN655401 VIJ655401 VSF655401 WCB655401 WLX655401 WVT655401 L720937 JH720937 TD720937 ACZ720937 AMV720937 AWR720937 BGN720937 BQJ720937 CAF720937 CKB720937 CTX720937 DDT720937 DNP720937 DXL720937 EHH720937 ERD720937 FAZ720937 FKV720937 FUR720937 GEN720937 GOJ720937 GYF720937 HIB720937 HRX720937 IBT720937 ILP720937 IVL720937 JFH720937 JPD720937 JYZ720937 KIV720937 KSR720937 LCN720937 LMJ720937 LWF720937 MGB720937 MPX720937 MZT720937 NJP720937 NTL720937 ODH720937 OND720937 OWZ720937 PGV720937 PQR720937 QAN720937 QKJ720937 QUF720937 REB720937 RNX720937 RXT720937 SHP720937 SRL720937 TBH720937 TLD720937 TUZ720937 UEV720937 UOR720937 UYN720937 VIJ720937 VSF720937 WCB720937 WLX720937 WVT720937 L786473 JH786473 TD786473 ACZ786473 AMV786473 AWR786473 BGN786473 BQJ786473 CAF786473 CKB786473 CTX786473 DDT786473 DNP786473 DXL786473 EHH786473 ERD786473 FAZ786473 FKV786473 FUR786473 GEN786473 GOJ786473 GYF786473 HIB786473 HRX786473 IBT786473 ILP786473 IVL786473 JFH786473 JPD786473 JYZ786473 KIV786473 KSR786473 LCN786473 LMJ786473 LWF786473 MGB786473 MPX786473 MZT786473 NJP786473 NTL786473 ODH786473 OND786473 OWZ786473 PGV786473 PQR786473 QAN786473 QKJ786473 QUF786473 REB786473 RNX786473 RXT786473 SHP786473 SRL786473 TBH786473 TLD786473 TUZ786473 UEV786473 UOR786473 UYN786473 VIJ786473 VSF786473 WCB786473 WLX786473 WVT786473 L852009 JH852009 TD852009 ACZ852009 AMV852009 AWR852009 BGN852009 BQJ852009 CAF852009 CKB852009 CTX852009 DDT852009 DNP852009 DXL852009 EHH852009 ERD852009 FAZ852009 FKV852009 FUR852009 GEN852009 GOJ852009 GYF852009 HIB852009 HRX852009 IBT852009 ILP852009 IVL852009 JFH852009 JPD852009 JYZ852009 KIV852009 KSR852009 LCN852009 LMJ852009 LWF852009 MGB852009 MPX852009 MZT852009 NJP852009 NTL852009 ODH852009 OND852009 OWZ852009 PGV852009 PQR852009 QAN852009 QKJ852009 QUF852009 REB852009 RNX852009 RXT852009 SHP852009 SRL852009 TBH852009 TLD852009 TUZ852009 UEV852009 UOR852009 UYN852009 VIJ852009 VSF852009 WCB852009 WLX852009 WVT852009 L917545 JH917545 TD917545 ACZ917545 AMV917545 AWR917545 BGN917545 BQJ917545 CAF917545 CKB917545 CTX917545 DDT917545 DNP917545 DXL917545 EHH917545 ERD917545 FAZ917545 FKV917545 FUR917545 GEN917545 GOJ917545 GYF917545 HIB917545 HRX917545 IBT917545 ILP917545 IVL917545 JFH917545 JPD917545 JYZ917545 KIV917545 KSR917545 LCN917545 LMJ917545 LWF917545 MGB917545 MPX917545 MZT917545 NJP917545 NTL917545 ODH917545 OND917545 OWZ917545 PGV917545 PQR917545 QAN917545 QKJ917545 QUF917545 REB917545 RNX917545 RXT917545 SHP917545 SRL917545 TBH917545 TLD917545 TUZ917545 UEV917545 UOR917545 UYN917545 VIJ917545 VSF917545 WCB917545 WLX917545 WVT917545 L983081 JH983081 TD983081 ACZ983081 AMV983081 AWR983081 BGN983081 BQJ983081 CAF983081 CKB983081 CTX983081 DDT983081 DNP983081 DXL983081 EHH983081 ERD983081 FAZ983081 FKV983081 FUR983081 GEN983081 GOJ983081 GYF983081 HIB983081 HRX983081 IBT983081 ILP983081 IVL983081 JFH983081 JPD983081 JYZ983081 KIV983081 KSR983081 LCN983081 LMJ983081 LWF983081 MGB983081 MPX983081 MZT983081 NJP983081 NTL983081 ODH983081 OND983081 OWZ983081 PGV983081 PQR983081 QAN983081 QKJ983081 QUF983081 REB983081 RNX983081 RXT983081 SHP983081 SRL983081 TBH983081 TLD983081 TUZ983081 UEV983081 UOR983081 UYN983081 VIJ983081 VSF983081 WCB983081 WLX983081 WVT983081 O41 JK41 TG41 ADC41 AMY41 AWU41 BGQ41 BQM41 CAI41 CKE41 CUA41 DDW41 DNS41 DXO41 EHK41 ERG41 FBC41 FKY41 FUU41 GEQ41 GOM41 GYI41 HIE41 HSA41 IBW41 ILS41 IVO41 JFK41 JPG41 JZC41 KIY41 KSU41 LCQ41 LMM41 LWI41 MGE41 MQA41 MZW41 NJS41 NTO41 ODK41 ONG41 OXC41 PGY41 PQU41 QAQ41 QKM41 QUI41 REE41 ROA41 RXW41 SHS41 SRO41 TBK41 TLG41 TVC41 UEY41 UOU41 UYQ41 VIM41 VSI41 WCE41 WMA41 WVW41 O65577 JK65577 TG65577 ADC65577 AMY65577 AWU65577 BGQ65577 BQM65577 CAI65577 CKE65577 CUA65577 DDW65577 DNS65577 DXO65577 EHK65577 ERG65577 FBC65577 FKY65577 FUU65577 GEQ65577 GOM65577 GYI65577 HIE65577 HSA65577 IBW65577 ILS65577 IVO65577 JFK65577 JPG65577 JZC65577 KIY65577 KSU65577 LCQ65577 LMM65577 LWI65577 MGE65577 MQA65577 MZW65577 NJS65577 NTO65577 ODK65577 ONG65577 OXC65577 PGY65577 PQU65577 QAQ65577 QKM65577 QUI65577 REE65577 ROA65577 RXW65577 SHS65577 SRO65577 TBK65577 TLG65577 TVC65577 UEY65577 UOU65577 UYQ65577 VIM65577 VSI65577 WCE65577 WMA65577 WVW65577 O131113 JK131113 TG131113 ADC131113 AMY131113 AWU131113 BGQ131113 BQM131113 CAI131113 CKE131113 CUA131113 DDW131113 DNS131113 DXO131113 EHK131113 ERG131113 FBC131113 FKY131113 FUU131113 GEQ131113 GOM131113 GYI131113 HIE131113 HSA131113 IBW131113 ILS131113 IVO131113 JFK131113 JPG131113 JZC131113 KIY131113 KSU131113 LCQ131113 LMM131113 LWI131113 MGE131113 MQA131113 MZW131113 NJS131113 NTO131113 ODK131113 ONG131113 OXC131113 PGY131113 PQU131113 QAQ131113 QKM131113 QUI131113 REE131113 ROA131113 RXW131113 SHS131113 SRO131113 TBK131113 TLG131113 TVC131113 UEY131113 UOU131113 UYQ131113 VIM131113 VSI131113 WCE131113 WMA131113 WVW131113 O196649 JK196649 TG196649 ADC196649 AMY196649 AWU196649 BGQ196649 BQM196649 CAI196649 CKE196649 CUA196649 DDW196649 DNS196649 DXO196649 EHK196649 ERG196649 FBC196649 FKY196649 FUU196649 GEQ196649 GOM196649 GYI196649 HIE196649 HSA196649 IBW196649 ILS196649 IVO196649 JFK196649 JPG196649 JZC196649 KIY196649 KSU196649 LCQ196649 LMM196649 LWI196649 MGE196649 MQA196649 MZW196649 NJS196649 NTO196649 ODK196649 ONG196649 OXC196649 PGY196649 PQU196649 QAQ196649 QKM196649 QUI196649 REE196649 ROA196649 RXW196649 SHS196649 SRO196649 TBK196649 TLG196649 TVC196649 UEY196649 UOU196649 UYQ196649 VIM196649 VSI196649 WCE196649 WMA196649 WVW196649 O262185 JK262185 TG262185 ADC262185 AMY262185 AWU262185 BGQ262185 BQM262185 CAI262185 CKE262185 CUA262185 DDW262185 DNS262185 DXO262185 EHK262185 ERG262185 FBC262185 FKY262185 FUU262185 GEQ262185 GOM262185 GYI262185 HIE262185 HSA262185 IBW262185 ILS262185 IVO262185 JFK262185 JPG262185 JZC262185 KIY262185 KSU262185 LCQ262185 LMM262185 LWI262185 MGE262185 MQA262185 MZW262185 NJS262185 NTO262185 ODK262185 ONG262185 OXC262185 PGY262185 PQU262185 QAQ262185 QKM262185 QUI262185 REE262185 ROA262185 RXW262185 SHS262185 SRO262185 TBK262185 TLG262185 TVC262185 UEY262185 UOU262185 UYQ262185 VIM262185 VSI262185 WCE262185 WMA262185 WVW262185 O327721 JK327721 TG327721 ADC327721 AMY327721 AWU327721 BGQ327721 BQM327721 CAI327721 CKE327721 CUA327721 DDW327721 DNS327721 DXO327721 EHK327721 ERG327721 FBC327721 FKY327721 FUU327721 GEQ327721 GOM327721 GYI327721 HIE327721 HSA327721 IBW327721 ILS327721 IVO327721 JFK327721 JPG327721 JZC327721 KIY327721 KSU327721 LCQ327721 LMM327721 LWI327721 MGE327721 MQA327721 MZW327721 NJS327721 NTO327721 ODK327721 ONG327721 OXC327721 PGY327721 PQU327721 QAQ327721 QKM327721 QUI327721 REE327721 ROA327721 RXW327721 SHS327721 SRO327721 TBK327721 TLG327721 TVC327721 UEY327721 UOU327721 UYQ327721 VIM327721 VSI327721 WCE327721 WMA327721 WVW327721 O393257 JK393257 TG393257 ADC393257 AMY393257 AWU393257 BGQ393257 BQM393257 CAI393257 CKE393257 CUA393257 DDW393257 DNS393257 DXO393257 EHK393257 ERG393257 FBC393257 FKY393257 FUU393257 GEQ393257 GOM393257 GYI393257 HIE393257 HSA393257 IBW393257 ILS393257 IVO393257 JFK393257 JPG393257 JZC393257 KIY393257 KSU393257 LCQ393257 LMM393257 LWI393257 MGE393257 MQA393257 MZW393257 NJS393257 NTO393257 ODK393257 ONG393257 OXC393257 PGY393257 PQU393257 QAQ393257 QKM393257 QUI393257 REE393257 ROA393257 RXW393257 SHS393257 SRO393257 TBK393257 TLG393257 TVC393257 UEY393257 UOU393257 UYQ393257 VIM393257 VSI393257 WCE393257 WMA393257 WVW393257 O458793 JK458793 TG458793 ADC458793 AMY458793 AWU458793 BGQ458793 BQM458793 CAI458793 CKE458793 CUA458793 DDW458793 DNS458793 DXO458793 EHK458793 ERG458793 FBC458793 FKY458793 FUU458793 GEQ458793 GOM458793 GYI458793 HIE458793 HSA458793 IBW458793 ILS458793 IVO458793 JFK458793 JPG458793 JZC458793 KIY458793 KSU458793 LCQ458793 LMM458793 LWI458793 MGE458793 MQA458793 MZW458793 NJS458793 NTO458793 ODK458793 ONG458793 OXC458793 PGY458793 PQU458793 QAQ458793 QKM458793 QUI458793 REE458793 ROA458793 RXW458793 SHS458793 SRO458793 TBK458793 TLG458793 TVC458793 UEY458793 UOU458793 UYQ458793 VIM458793 VSI458793 WCE458793 WMA458793 WVW458793 O524329 JK524329 TG524329 ADC524329 AMY524329 AWU524329 BGQ524329 BQM524329 CAI524329 CKE524329 CUA524329 DDW524329 DNS524329 DXO524329 EHK524329 ERG524329 FBC524329 FKY524329 FUU524329 GEQ524329 GOM524329 GYI524329 HIE524329 HSA524329 IBW524329 ILS524329 IVO524329 JFK524329 JPG524329 JZC524329 KIY524329 KSU524329 LCQ524329 LMM524329 LWI524329 MGE524329 MQA524329 MZW524329 NJS524329 NTO524329 ODK524329 ONG524329 OXC524329 PGY524329 PQU524329 QAQ524329 QKM524329 QUI524329 REE524329 ROA524329 RXW524329 SHS524329 SRO524329 TBK524329 TLG524329 TVC524329 UEY524329 UOU524329 UYQ524329 VIM524329 VSI524329 WCE524329 WMA524329 WVW524329 O589865 JK589865 TG589865 ADC589865 AMY589865 AWU589865 BGQ589865 BQM589865 CAI589865 CKE589865 CUA589865 DDW589865 DNS589865 DXO589865 EHK589865 ERG589865 FBC589865 FKY589865 FUU589865 GEQ589865 GOM589865 GYI589865 HIE589865 HSA589865 IBW589865 ILS589865 IVO589865 JFK589865 JPG589865 JZC589865 KIY589865 KSU589865 LCQ589865 LMM589865 LWI589865 MGE589865 MQA589865 MZW589865 NJS589865 NTO589865 ODK589865 ONG589865 OXC589865 PGY589865 PQU589865 QAQ589865 QKM589865 QUI589865 REE589865 ROA589865 RXW589865 SHS589865 SRO589865 TBK589865 TLG589865 TVC589865 UEY589865 UOU589865 UYQ589865 VIM589865 VSI589865 WCE589865 WMA589865 WVW589865 O655401 JK655401 TG655401 ADC655401 AMY655401 AWU655401 BGQ655401 BQM655401 CAI655401 CKE655401 CUA655401 DDW655401 DNS655401 DXO655401 EHK655401 ERG655401 FBC655401 FKY655401 FUU655401 GEQ655401 GOM655401 GYI655401 HIE655401 HSA655401 IBW655401 ILS655401 IVO655401 JFK655401 JPG655401 JZC655401 KIY655401 KSU655401 LCQ655401 LMM655401 LWI655401 MGE655401 MQA655401 MZW655401 NJS655401 NTO655401 ODK655401 ONG655401 OXC655401 PGY655401 PQU655401 QAQ655401 QKM655401 QUI655401 REE655401 ROA655401 RXW655401 SHS655401 SRO655401 TBK655401 TLG655401 TVC655401 UEY655401 UOU655401 UYQ655401 VIM655401 VSI655401 WCE655401 WMA655401 WVW655401 O720937 JK720937 TG720937 ADC720937 AMY720937 AWU720937 BGQ720937 BQM720937 CAI720937 CKE720937 CUA720937 DDW720937 DNS720937 DXO720937 EHK720937 ERG720937 FBC720937 FKY720937 FUU720937 GEQ720937 GOM720937 GYI720937 HIE720937 HSA720937 IBW720937 ILS720937 IVO720937 JFK720937 JPG720937 JZC720937 KIY720937 KSU720937 LCQ720937 LMM720937 LWI720937 MGE720937 MQA720937 MZW720937 NJS720937 NTO720937 ODK720937 ONG720937 OXC720937 PGY720937 PQU720937 QAQ720937 QKM720937 QUI720937 REE720937 ROA720937 RXW720937 SHS720937 SRO720937 TBK720937 TLG720937 TVC720937 UEY720937 UOU720937 UYQ720937 VIM720937 VSI720937 WCE720937 WMA720937 WVW720937 O786473 JK786473 TG786473 ADC786473 AMY786473 AWU786473 BGQ786473 BQM786473 CAI786473 CKE786473 CUA786473 DDW786473 DNS786473 DXO786473 EHK786473 ERG786473 FBC786473 FKY786473 FUU786473 GEQ786473 GOM786473 GYI786473 HIE786473 HSA786473 IBW786473 ILS786473 IVO786473 JFK786473 JPG786473 JZC786473 KIY786473 KSU786473 LCQ786473 LMM786473 LWI786473 MGE786473 MQA786473 MZW786473 NJS786473 NTO786473 ODK786473 ONG786473 OXC786473 PGY786473 PQU786473 QAQ786473 QKM786473 QUI786473 REE786473 ROA786473 RXW786473 SHS786473 SRO786473 TBK786473 TLG786473 TVC786473 UEY786473 UOU786473 UYQ786473 VIM786473 VSI786473 WCE786473 WMA786473 WVW786473 O852009 JK852009 TG852009 ADC852009 AMY852009 AWU852009 BGQ852009 BQM852009 CAI852009 CKE852009 CUA852009 DDW852009 DNS852009 DXO852009 EHK852009 ERG852009 FBC852009 FKY852009 FUU852009 GEQ852009 GOM852009 GYI852009 HIE852009 HSA852009 IBW852009 ILS852009 IVO852009 JFK852009 JPG852009 JZC852009 KIY852009 KSU852009 LCQ852009 LMM852009 LWI852009 MGE852009 MQA852009 MZW852009 NJS852009 NTO852009 ODK852009 ONG852009 OXC852009 PGY852009 PQU852009 QAQ852009 QKM852009 QUI852009 REE852009 ROA852009 RXW852009 SHS852009 SRO852009 TBK852009 TLG852009 TVC852009 UEY852009 UOU852009 UYQ852009 VIM852009 VSI852009 WCE852009 WMA852009 WVW852009 O917545 JK917545 TG917545 ADC917545 AMY917545 AWU917545 BGQ917545 BQM917545 CAI917545 CKE917545 CUA917545 DDW917545 DNS917545 DXO917545 EHK917545 ERG917545 FBC917545 FKY917545 FUU917545 GEQ917545 GOM917545 GYI917545 HIE917545 HSA917545 IBW917545 ILS917545 IVO917545 JFK917545 JPG917545 JZC917545 KIY917545 KSU917545 LCQ917545 LMM917545 LWI917545 MGE917545 MQA917545 MZW917545 NJS917545 NTO917545 ODK917545 ONG917545 OXC917545 PGY917545 PQU917545 QAQ917545 QKM917545 QUI917545 REE917545 ROA917545 RXW917545 SHS917545 SRO917545 TBK917545 TLG917545 TVC917545 UEY917545 UOU917545 UYQ917545 VIM917545 VSI917545 WCE917545 WMA917545 WVW917545 O983081 JK983081 TG983081 ADC983081 AMY983081 AWU983081 BGQ983081 BQM983081 CAI983081 CKE983081 CUA983081 DDW983081 DNS983081 DXO983081 EHK983081 ERG983081 FBC983081 FKY983081 FUU983081 GEQ983081 GOM983081 GYI983081 HIE983081 HSA983081 IBW983081 ILS983081 IVO983081 JFK983081 JPG983081 JZC983081 KIY983081 KSU983081 LCQ983081 LMM983081 LWI983081 MGE983081 MQA983081 MZW983081 NJS983081 NTO983081 ODK983081 ONG983081 OXC983081 PGY983081 PQU983081 QAQ983081 QKM983081 QUI983081 REE983081 ROA983081 RXW983081 SHS983081 SRO983081 TBK983081 TLG983081 TVC983081 UEY983081 UOU983081 UYQ983081 VIM983081 VSI983081 WCE983081 WMA983081 WVW983081 R41 JN41 TJ41 ADF41 ANB41 AWX41 BGT41 BQP41 CAL41 CKH41 CUD41 DDZ41 DNV41 DXR41 EHN41 ERJ41 FBF41 FLB41 FUX41 GET41 GOP41 GYL41 HIH41 HSD41 IBZ41 ILV41 IVR41 JFN41 JPJ41 JZF41 KJB41 KSX41 LCT41 LMP41 LWL41 MGH41 MQD41 MZZ41 NJV41 NTR41 ODN41 ONJ41 OXF41 PHB41 PQX41 QAT41 QKP41 QUL41 REH41 ROD41 RXZ41 SHV41 SRR41 TBN41 TLJ41 TVF41 UFB41 UOX41 UYT41 VIP41 VSL41 WCH41 WMD41 WVZ41 R65577 JN65577 TJ65577 ADF65577 ANB65577 AWX65577 BGT65577 BQP65577 CAL65577 CKH65577 CUD65577 DDZ65577 DNV65577 DXR65577 EHN65577 ERJ65577 FBF65577 FLB65577 FUX65577 GET65577 GOP65577 GYL65577 HIH65577 HSD65577 IBZ65577 ILV65577 IVR65577 JFN65577 JPJ65577 JZF65577 KJB65577 KSX65577 LCT65577 LMP65577 LWL65577 MGH65577 MQD65577 MZZ65577 NJV65577 NTR65577 ODN65577 ONJ65577 OXF65577 PHB65577 PQX65577 QAT65577 QKP65577 QUL65577 REH65577 ROD65577 RXZ65577 SHV65577 SRR65577 TBN65577 TLJ65577 TVF65577 UFB65577 UOX65577 UYT65577 VIP65577 VSL65577 WCH65577 WMD65577 WVZ65577 R131113 JN131113 TJ131113 ADF131113 ANB131113 AWX131113 BGT131113 BQP131113 CAL131113 CKH131113 CUD131113 DDZ131113 DNV131113 DXR131113 EHN131113 ERJ131113 FBF131113 FLB131113 FUX131113 GET131113 GOP131113 GYL131113 HIH131113 HSD131113 IBZ131113 ILV131113 IVR131113 JFN131113 JPJ131113 JZF131113 KJB131113 KSX131113 LCT131113 LMP131113 LWL131113 MGH131113 MQD131113 MZZ131113 NJV131113 NTR131113 ODN131113 ONJ131113 OXF131113 PHB131113 PQX131113 QAT131113 QKP131113 QUL131113 REH131113 ROD131113 RXZ131113 SHV131113 SRR131113 TBN131113 TLJ131113 TVF131113 UFB131113 UOX131113 UYT131113 VIP131113 VSL131113 WCH131113 WMD131113 WVZ131113 R196649 JN196649 TJ196649 ADF196649 ANB196649 AWX196649 BGT196649 BQP196649 CAL196649 CKH196649 CUD196649 DDZ196649 DNV196649 DXR196649 EHN196649 ERJ196649 FBF196649 FLB196649 FUX196649 GET196649 GOP196649 GYL196649 HIH196649 HSD196649 IBZ196649 ILV196649 IVR196649 JFN196649 JPJ196649 JZF196649 KJB196649 KSX196649 LCT196649 LMP196649 LWL196649 MGH196649 MQD196649 MZZ196649 NJV196649 NTR196649 ODN196649 ONJ196649 OXF196649 PHB196649 PQX196649 QAT196649 QKP196649 QUL196649 REH196649 ROD196649 RXZ196649 SHV196649 SRR196649 TBN196649 TLJ196649 TVF196649 UFB196649 UOX196649 UYT196649 VIP196649 VSL196649 WCH196649 WMD196649 WVZ196649 R262185 JN262185 TJ262185 ADF262185 ANB262185 AWX262185 BGT262185 BQP262185 CAL262185 CKH262185 CUD262185 DDZ262185 DNV262185 DXR262185 EHN262185 ERJ262185 FBF262185 FLB262185 FUX262185 GET262185 GOP262185 GYL262185 HIH262185 HSD262185 IBZ262185 ILV262185 IVR262185 JFN262185 JPJ262185 JZF262185 KJB262185 KSX262185 LCT262185 LMP262185 LWL262185 MGH262185 MQD262185 MZZ262185 NJV262185 NTR262185 ODN262185 ONJ262185 OXF262185 PHB262185 PQX262185 QAT262185 QKP262185 QUL262185 REH262185 ROD262185 RXZ262185 SHV262185 SRR262185 TBN262185 TLJ262185 TVF262185 UFB262185 UOX262185 UYT262185 VIP262185 VSL262185 WCH262185 WMD262185 WVZ262185 R327721 JN327721 TJ327721 ADF327721 ANB327721 AWX327721 BGT327721 BQP327721 CAL327721 CKH327721 CUD327721 DDZ327721 DNV327721 DXR327721 EHN327721 ERJ327721 FBF327721 FLB327721 FUX327721 GET327721 GOP327721 GYL327721 HIH327721 HSD327721 IBZ327721 ILV327721 IVR327721 JFN327721 JPJ327721 JZF327721 KJB327721 KSX327721 LCT327721 LMP327721 LWL327721 MGH327721 MQD327721 MZZ327721 NJV327721 NTR327721 ODN327721 ONJ327721 OXF327721 PHB327721 PQX327721 QAT327721 QKP327721 QUL327721 REH327721 ROD327721 RXZ327721 SHV327721 SRR327721 TBN327721 TLJ327721 TVF327721 UFB327721 UOX327721 UYT327721 VIP327721 VSL327721 WCH327721 WMD327721 WVZ327721 R393257 JN393257 TJ393257 ADF393257 ANB393257 AWX393257 BGT393257 BQP393257 CAL393257 CKH393257 CUD393257 DDZ393257 DNV393257 DXR393257 EHN393257 ERJ393257 FBF393257 FLB393257 FUX393257 GET393257 GOP393257 GYL393257 HIH393257 HSD393257 IBZ393257 ILV393257 IVR393257 JFN393257 JPJ393257 JZF393257 KJB393257 KSX393257 LCT393257 LMP393257 LWL393257 MGH393257 MQD393257 MZZ393257 NJV393257 NTR393257 ODN393257 ONJ393257 OXF393257 PHB393257 PQX393257 QAT393257 QKP393257 QUL393257 REH393257 ROD393257 RXZ393257 SHV393257 SRR393257 TBN393257 TLJ393257 TVF393257 UFB393257 UOX393257 UYT393257 VIP393257 VSL393257 WCH393257 WMD393257 WVZ393257 R458793 JN458793 TJ458793 ADF458793 ANB458793 AWX458793 BGT458793 BQP458793 CAL458793 CKH458793 CUD458793 DDZ458793 DNV458793 DXR458793 EHN458793 ERJ458793 FBF458793 FLB458793 FUX458793 GET458793 GOP458793 GYL458793 HIH458793 HSD458793 IBZ458793 ILV458793 IVR458793 JFN458793 JPJ458793 JZF458793 KJB458793 KSX458793 LCT458793 LMP458793 LWL458793 MGH458793 MQD458793 MZZ458793 NJV458793 NTR458793 ODN458793 ONJ458793 OXF458793 PHB458793 PQX458793 QAT458793 QKP458793 QUL458793 REH458793 ROD458793 RXZ458793 SHV458793 SRR458793 TBN458793 TLJ458793 TVF458793 UFB458793 UOX458793 UYT458793 VIP458793 VSL458793 WCH458793 WMD458793 WVZ458793 R524329 JN524329 TJ524329 ADF524329 ANB524329 AWX524329 BGT524329 BQP524329 CAL524329 CKH524329 CUD524329 DDZ524329 DNV524329 DXR524329 EHN524329 ERJ524329 FBF524329 FLB524329 FUX524329 GET524329 GOP524329 GYL524329 HIH524329 HSD524329 IBZ524329 ILV524329 IVR524329 JFN524329 JPJ524329 JZF524329 KJB524329 KSX524329 LCT524329 LMP524329 LWL524329 MGH524329 MQD524329 MZZ524329 NJV524329 NTR524329 ODN524329 ONJ524329 OXF524329 PHB524329 PQX524329 QAT524329 QKP524329 QUL524329 REH524329 ROD524329 RXZ524329 SHV524329 SRR524329 TBN524329 TLJ524329 TVF524329 UFB524329 UOX524329 UYT524329 VIP524329 VSL524329 WCH524329 WMD524329 WVZ524329 R589865 JN589865 TJ589865 ADF589865 ANB589865 AWX589865 BGT589865 BQP589865 CAL589865 CKH589865 CUD589865 DDZ589865 DNV589865 DXR589865 EHN589865 ERJ589865 FBF589865 FLB589865 FUX589865 GET589865 GOP589865 GYL589865 HIH589865 HSD589865 IBZ589865 ILV589865 IVR589865 JFN589865 JPJ589865 JZF589865 KJB589865 KSX589865 LCT589865 LMP589865 LWL589865 MGH589865 MQD589865 MZZ589865 NJV589865 NTR589865 ODN589865 ONJ589865 OXF589865 PHB589865 PQX589865 QAT589865 QKP589865 QUL589865 REH589865 ROD589865 RXZ589865 SHV589865 SRR589865 TBN589865 TLJ589865 TVF589865 UFB589865 UOX589865 UYT589865 VIP589865 VSL589865 WCH589865 WMD589865 WVZ589865 R655401 JN655401 TJ655401 ADF655401 ANB655401 AWX655401 BGT655401 BQP655401 CAL655401 CKH655401 CUD655401 DDZ655401 DNV655401 DXR655401 EHN655401 ERJ655401 FBF655401 FLB655401 FUX655401 GET655401 GOP655401 GYL655401 HIH655401 HSD655401 IBZ655401 ILV655401 IVR655401 JFN655401 JPJ655401 JZF655401 KJB655401 KSX655401 LCT655401 LMP655401 LWL655401 MGH655401 MQD655401 MZZ655401 NJV655401 NTR655401 ODN655401 ONJ655401 OXF655401 PHB655401 PQX655401 QAT655401 QKP655401 QUL655401 REH655401 ROD655401 RXZ655401 SHV655401 SRR655401 TBN655401 TLJ655401 TVF655401 UFB655401 UOX655401 UYT655401 VIP655401 VSL655401 WCH655401 WMD655401 WVZ655401 R720937 JN720937 TJ720937 ADF720937 ANB720937 AWX720937 BGT720937 BQP720937 CAL720937 CKH720937 CUD720937 DDZ720937 DNV720937 DXR720937 EHN720937 ERJ720937 FBF720937 FLB720937 FUX720937 GET720937 GOP720937 GYL720937 HIH720937 HSD720937 IBZ720937 ILV720937 IVR720937 JFN720937 JPJ720937 JZF720937 KJB720937 KSX720937 LCT720937 LMP720937 LWL720937 MGH720937 MQD720937 MZZ720937 NJV720937 NTR720937 ODN720937 ONJ720937 OXF720937 PHB720937 PQX720937 QAT720937 QKP720937 QUL720937 REH720937 ROD720937 RXZ720937 SHV720937 SRR720937 TBN720937 TLJ720937 TVF720937 UFB720937 UOX720937 UYT720937 VIP720937 VSL720937 WCH720937 WMD720937 WVZ720937 R786473 JN786473 TJ786473 ADF786473 ANB786473 AWX786473 BGT786473 BQP786473 CAL786473 CKH786473 CUD786473 DDZ786473 DNV786473 DXR786473 EHN786473 ERJ786473 FBF786473 FLB786473 FUX786473 GET786473 GOP786473 GYL786473 HIH786473 HSD786473 IBZ786473 ILV786473 IVR786473 JFN786473 JPJ786473 JZF786473 KJB786473 KSX786473 LCT786473 LMP786473 LWL786473 MGH786473 MQD786473 MZZ786473 NJV786473 NTR786473 ODN786473 ONJ786473 OXF786473 PHB786473 PQX786473 QAT786473 QKP786473 QUL786473 REH786473 ROD786473 RXZ786473 SHV786473 SRR786473 TBN786473 TLJ786473 TVF786473 UFB786473 UOX786473 UYT786473 VIP786473 VSL786473 WCH786473 WMD786473 WVZ786473 R852009 JN852009 TJ852009 ADF852009 ANB852009 AWX852009 BGT852009 BQP852009 CAL852009 CKH852009 CUD852009 DDZ852009 DNV852009 DXR852009 EHN852009 ERJ852009 FBF852009 FLB852009 FUX852009 GET852009 GOP852009 GYL852009 HIH852009 HSD852009 IBZ852009 ILV852009 IVR852009 JFN852009 JPJ852009 JZF852009 KJB852009 KSX852009 LCT852009 LMP852009 LWL852009 MGH852009 MQD852009 MZZ852009 NJV852009 NTR852009 ODN852009 ONJ852009 OXF852009 PHB852009 PQX852009 QAT852009 QKP852009 QUL852009 REH852009 ROD852009 RXZ852009 SHV852009 SRR852009 TBN852009 TLJ852009 TVF852009 UFB852009 UOX852009 UYT852009 VIP852009 VSL852009 WCH852009 WMD852009 WVZ852009 R917545 JN917545 TJ917545 ADF917545 ANB917545 AWX917545 BGT917545 BQP917545 CAL917545 CKH917545 CUD917545 DDZ917545 DNV917545 DXR917545 EHN917545 ERJ917545 FBF917545 FLB917545 FUX917545 GET917545 GOP917545 GYL917545 HIH917545 HSD917545 IBZ917545 ILV917545 IVR917545 JFN917545 JPJ917545 JZF917545 KJB917545 KSX917545 LCT917545 LMP917545 LWL917545 MGH917545 MQD917545 MZZ917545 NJV917545 NTR917545 ODN917545 ONJ917545 OXF917545 PHB917545 PQX917545 QAT917545 QKP917545 QUL917545 REH917545 ROD917545 RXZ917545 SHV917545 SRR917545 TBN917545 TLJ917545 TVF917545 UFB917545 UOX917545 UYT917545 VIP917545 VSL917545 WCH917545 WMD917545 WVZ917545 R983081 JN983081 TJ983081 ADF983081 ANB983081 AWX983081 BGT983081 BQP983081 CAL983081 CKH983081 CUD983081 DDZ983081 DNV983081 DXR983081 EHN983081 ERJ983081 FBF983081 FLB983081 FUX983081 GET983081 GOP983081 GYL983081 HIH983081 HSD983081 IBZ983081 ILV983081 IVR983081 JFN983081 JPJ983081 JZF983081 KJB983081 KSX983081 LCT983081 LMP983081 LWL983081 MGH983081 MQD983081 MZZ983081 NJV983081 NTR983081 ODN983081 ONJ983081 OXF983081 PHB983081 PQX983081 QAT983081 QKP983081 QUL983081 REH983081 ROD983081 RXZ983081 SHV983081 SRR983081 TBN983081 TLJ983081 TVF983081 UFB983081 UOX983081 UYT983081 VIP983081 VSL983081 WCH983081 WMD983081 WVZ983081" xr:uid="{00000000-0002-0000-0000-000000000000}">
      <formula1>$AB$41:$AB$42</formula1>
    </dataValidation>
    <dataValidation type="list" allowBlank="1" showInputMessage="1" showErrorMessage="1" sqref="L76:O77 JH76:JK77 TD76:TG77 ACZ76:ADC77 AMV76:AMY77 AWR76:AWU77 BGN76:BGQ77 BQJ76:BQM77 CAF76:CAI77 CKB76:CKE77 CTX76:CUA77 DDT76:DDW77 DNP76:DNS77 DXL76:DXO77 EHH76:EHK77 ERD76:ERG77 FAZ76:FBC77 FKV76:FKY77 FUR76:FUU77 GEN76:GEQ77 GOJ76:GOM77 GYF76:GYI77 HIB76:HIE77 HRX76:HSA77 IBT76:IBW77 ILP76:ILS77 IVL76:IVO77 JFH76:JFK77 JPD76:JPG77 JYZ76:JZC77 KIV76:KIY77 KSR76:KSU77 LCN76:LCQ77 LMJ76:LMM77 LWF76:LWI77 MGB76:MGE77 MPX76:MQA77 MZT76:MZW77 NJP76:NJS77 NTL76:NTO77 ODH76:ODK77 OND76:ONG77 OWZ76:OXC77 PGV76:PGY77 PQR76:PQU77 QAN76:QAQ77 QKJ76:QKM77 QUF76:QUI77 REB76:REE77 RNX76:ROA77 RXT76:RXW77 SHP76:SHS77 SRL76:SRO77 TBH76:TBK77 TLD76:TLG77 TUZ76:TVC77 UEV76:UEY77 UOR76:UOU77 UYN76:UYQ77 VIJ76:VIM77 VSF76:VSI77 WCB76:WCE77 WLX76:WMA77 WVT76:WVW77 L65612:O65613 JH65612:JK65613 TD65612:TG65613 ACZ65612:ADC65613 AMV65612:AMY65613 AWR65612:AWU65613 BGN65612:BGQ65613 BQJ65612:BQM65613 CAF65612:CAI65613 CKB65612:CKE65613 CTX65612:CUA65613 DDT65612:DDW65613 DNP65612:DNS65613 DXL65612:DXO65613 EHH65612:EHK65613 ERD65612:ERG65613 FAZ65612:FBC65613 FKV65612:FKY65613 FUR65612:FUU65613 GEN65612:GEQ65613 GOJ65612:GOM65613 GYF65612:GYI65613 HIB65612:HIE65613 HRX65612:HSA65613 IBT65612:IBW65613 ILP65612:ILS65613 IVL65612:IVO65613 JFH65612:JFK65613 JPD65612:JPG65613 JYZ65612:JZC65613 KIV65612:KIY65613 KSR65612:KSU65613 LCN65612:LCQ65613 LMJ65612:LMM65613 LWF65612:LWI65613 MGB65612:MGE65613 MPX65612:MQA65613 MZT65612:MZW65613 NJP65612:NJS65613 NTL65612:NTO65613 ODH65612:ODK65613 OND65612:ONG65613 OWZ65612:OXC65613 PGV65612:PGY65613 PQR65612:PQU65613 QAN65612:QAQ65613 QKJ65612:QKM65613 QUF65612:QUI65613 REB65612:REE65613 RNX65612:ROA65613 RXT65612:RXW65613 SHP65612:SHS65613 SRL65612:SRO65613 TBH65612:TBK65613 TLD65612:TLG65613 TUZ65612:TVC65613 UEV65612:UEY65613 UOR65612:UOU65613 UYN65612:UYQ65613 VIJ65612:VIM65613 VSF65612:VSI65613 WCB65612:WCE65613 WLX65612:WMA65613 WVT65612:WVW65613 L131148:O131149 JH131148:JK131149 TD131148:TG131149 ACZ131148:ADC131149 AMV131148:AMY131149 AWR131148:AWU131149 BGN131148:BGQ131149 BQJ131148:BQM131149 CAF131148:CAI131149 CKB131148:CKE131149 CTX131148:CUA131149 DDT131148:DDW131149 DNP131148:DNS131149 DXL131148:DXO131149 EHH131148:EHK131149 ERD131148:ERG131149 FAZ131148:FBC131149 FKV131148:FKY131149 FUR131148:FUU131149 GEN131148:GEQ131149 GOJ131148:GOM131149 GYF131148:GYI131149 HIB131148:HIE131149 HRX131148:HSA131149 IBT131148:IBW131149 ILP131148:ILS131149 IVL131148:IVO131149 JFH131148:JFK131149 JPD131148:JPG131149 JYZ131148:JZC131149 KIV131148:KIY131149 KSR131148:KSU131149 LCN131148:LCQ131149 LMJ131148:LMM131149 LWF131148:LWI131149 MGB131148:MGE131149 MPX131148:MQA131149 MZT131148:MZW131149 NJP131148:NJS131149 NTL131148:NTO131149 ODH131148:ODK131149 OND131148:ONG131149 OWZ131148:OXC131149 PGV131148:PGY131149 PQR131148:PQU131149 QAN131148:QAQ131149 QKJ131148:QKM131149 QUF131148:QUI131149 REB131148:REE131149 RNX131148:ROA131149 RXT131148:RXW131149 SHP131148:SHS131149 SRL131148:SRO131149 TBH131148:TBK131149 TLD131148:TLG131149 TUZ131148:TVC131149 UEV131148:UEY131149 UOR131148:UOU131149 UYN131148:UYQ131149 VIJ131148:VIM131149 VSF131148:VSI131149 WCB131148:WCE131149 WLX131148:WMA131149 WVT131148:WVW131149 L196684:O196685 JH196684:JK196685 TD196684:TG196685 ACZ196684:ADC196685 AMV196684:AMY196685 AWR196684:AWU196685 BGN196684:BGQ196685 BQJ196684:BQM196685 CAF196684:CAI196685 CKB196684:CKE196685 CTX196684:CUA196685 DDT196684:DDW196685 DNP196684:DNS196685 DXL196684:DXO196685 EHH196684:EHK196685 ERD196684:ERG196685 FAZ196684:FBC196685 FKV196684:FKY196685 FUR196684:FUU196685 GEN196684:GEQ196685 GOJ196684:GOM196685 GYF196684:GYI196685 HIB196684:HIE196685 HRX196684:HSA196685 IBT196684:IBW196685 ILP196684:ILS196685 IVL196684:IVO196685 JFH196684:JFK196685 JPD196684:JPG196685 JYZ196684:JZC196685 KIV196684:KIY196685 KSR196684:KSU196685 LCN196684:LCQ196685 LMJ196684:LMM196685 LWF196684:LWI196685 MGB196684:MGE196685 MPX196684:MQA196685 MZT196684:MZW196685 NJP196684:NJS196685 NTL196684:NTO196685 ODH196684:ODK196685 OND196684:ONG196685 OWZ196684:OXC196685 PGV196684:PGY196685 PQR196684:PQU196685 QAN196684:QAQ196685 QKJ196684:QKM196685 QUF196684:QUI196685 REB196684:REE196685 RNX196684:ROA196685 RXT196684:RXW196685 SHP196684:SHS196685 SRL196684:SRO196685 TBH196684:TBK196685 TLD196684:TLG196685 TUZ196684:TVC196685 UEV196684:UEY196685 UOR196684:UOU196685 UYN196684:UYQ196685 VIJ196684:VIM196685 VSF196684:VSI196685 WCB196684:WCE196685 WLX196684:WMA196685 WVT196684:WVW196685 L262220:O262221 JH262220:JK262221 TD262220:TG262221 ACZ262220:ADC262221 AMV262220:AMY262221 AWR262220:AWU262221 BGN262220:BGQ262221 BQJ262220:BQM262221 CAF262220:CAI262221 CKB262220:CKE262221 CTX262220:CUA262221 DDT262220:DDW262221 DNP262220:DNS262221 DXL262220:DXO262221 EHH262220:EHK262221 ERD262220:ERG262221 FAZ262220:FBC262221 FKV262220:FKY262221 FUR262220:FUU262221 GEN262220:GEQ262221 GOJ262220:GOM262221 GYF262220:GYI262221 HIB262220:HIE262221 HRX262220:HSA262221 IBT262220:IBW262221 ILP262220:ILS262221 IVL262220:IVO262221 JFH262220:JFK262221 JPD262220:JPG262221 JYZ262220:JZC262221 KIV262220:KIY262221 KSR262220:KSU262221 LCN262220:LCQ262221 LMJ262220:LMM262221 LWF262220:LWI262221 MGB262220:MGE262221 MPX262220:MQA262221 MZT262220:MZW262221 NJP262220:NJS262221 NTL262220:NTO262221 ODH262220:ODK262221 OND262220:ONG262221 OWZ262220:OXC262221 PGV262220:PGY262221 PQR262220:PQU262221 QAN262220:QAQ262221 QKJ262220:QKM262221 QUF262220:QUI262221 REB262220:REE262221 RNX262220:ROA262221 RXT262220:RXW262221 SHP262220:SHS262221 SRL262220:SRO262221 TBH262220:TBK262221 TLD262220:TLG262221 TUZ262220:TVC262221 UEV262220:UEY262221 UOR262220:UOU262221 UYN262220:UYQ262221 VIJ262220:VIM262221 VSF262220:VSI262221 WCB262220:WCE262221 WLX262220:WMA262221 WVT262220:WVW262221 L327756:O327757 JH327756:JK327757 TD327756:TG327757 ACZ327756:ADC327757 AMV327756:AMY327757 AWR327756:AWU327757 BGN327756:BGQ327757 BQJ327756:BQM327757 CAF327756:CAI327757 CKB327756:CKE327757 CTX327756:CUA327757 DDT327756:DDW327757 DNP327756:DNS327757 DXL327756:DXO327757 EHH327756:EHK327757 ERD327756:ERG327757 FAZ327756:FBC327757 FKV327756:FKY327757 FUR327756:FUU327757 GEN327756:GEQ327757 GOJ327756:GOM327757 GYF327756:GYI327757 HIB327756:HIE327757 HRX327756:HSA327757 IBT327756:IBW327757 ILP327756:ILS327757 IVL327756:IVO327757 JFH327756:JFK327757 JPD327756:JPG327757 JYZ327756:JZC327757 KIV327756:KIY327757 KSR327756:KSU327757 LCN327756:LCQ327757 LMJ327756:LMM327757 LWF327756:LWI327757 MGB327756:MGE327757 MPX327756:MQA327757 MZT327756:MZW327757 NJP327756:NJS327757 NTL327756:NTO327757 ODH327756:ODK327757 OND327756:ONG327757 OWZ327756:OXC327757 PGV327756:PGY327757 PQR327756:PQU327757 QAN327756:QAQ327757 QKJ327756:QKM327757 QUF327756:QUI327757 REB327756:REE327757 RNX327756:ROA327757 RXT327756:RXW327757 SHP327756:SHS327757 SRL327756:SRO327757 TBH327756:TBK327757 TLD327756:TLG327757 TUZ327756:TVC327757 UEV327756:UEY327757 UOR327756:UOU327757 UYN327756:UYQ327757 VIJ327756:VIM327757 VSF327756:VSI327757 WCB327756:WCE327757 WLX327756:WMA327757 WVT327756:WVW327757 L393292:O393293 JH393292:JK393293 TD393292:TG393293 ACZ393292:ADC393293 AMV393292:AMY393293 AWR393292:AWU393293 BGN393292:BGQ393293 BQJ393292:BQM393293 CAF393292:CAI393293 CKB393292:CKE393293 CTX393292:CUA393293 DDT393292:DDW393293 DNP393292:DNS393293 DXL393292:DXO393293 EHH393292:EHK393293 ERD393292:ERG393293 FAZ393292:FBC393293 FKV393292:FKY393293 FUR393292:FUU393293 GEN393292:GEQ393293 GOJ393292:GOM393293 GYF393292:GYI393293 HIB393292:HIE393293 HRX393292:HSA393293 IBT393292:IBW393293 ILP393292:ILS393293 IVL393292:IVO393293 JFH393292:JFK393293 JPD393292:JPG393293 JYZ393292:JZC393293 KIV393292:KIY393293 KSR393292:KSU393293 LCN393292:LCQ393293 LMJ393292:LMM393293 LWF393292:LWI393293 MGB393292:MGE393293 MPX393292:MQA393293 MZT393292:MZW393293 NJP393292:NJS393293 NTL393292:NTO393293 ODH393292:ODK393293 OND393292:ONG393293 OWZ393292:OXC393293 PGV393292:PGY393293 PQR393292:PQU393293 QAN393292:QAQ393293 QKJ393292:QKM393293 QUF393292:QUI393293 REB393292:REE393293 RNX393292:ROA393293 RXT393292:RXW393293 SHP393292:SHS393293 SRL393292:SRO393293 TBH393292:TBK393293 TLD393292:TLG393293 TUZ393292:TVC393293 UEV393292:UEY393293 UOR393292:UOU393293 UYN393292:UYQ393293 VIJ393292:VIM393293 VSF393292:VSI393293 WCB393292:WCE393293 WLX393292:WMA393293 WVT393292:WVW393293 L458828:O458829 JH458828:JK458829 TD458828:TG458829 ACZ458828:ADC458829 AMV458828:AMY458829 AWR458828:AWU458829 BGN458828:BGQ458829 BQJ458828:BQM458829 CAF458828:CAI458829 CKB458828:CKE458829 CTX458828:CUA458829 DDT458828:DDW458829 DNP458828:DNS458829 DXL458828:DXO458829 EHH458828:EHK458829 ERD458828:ERG458829 FAZ458828:FBC458829 FKV458828:FKY458829 FUR458828:FUU458829 GEN458828:GEQ458829 GOJ458828:GOM458829 GYF458828:GYI458829 HIB458828:HIE458829 HRX458828:HSA458829 IBT458828:IBW458829 ILP458828:ILS458829 IVL458828:IVO458829 JFH458828:JFK458829 JPD458828:JPG458829 JYZ458828:JZC458829 KIV458828:KIY458829 KSR458828:KSU458829 LCN458828:LCQ458829 LMJ458828:LMM458829 LWF458828:LWI458829 MGB458828:MGE458829 MPX458828:MQA458829 MZT458828:MZW458829 NJP458828:NJS458829 NTL458828:NTO458829 ODH458828:ODK458829 OND458828:ONG458829 OWZ458828:OXC458829 PGV458828:PGY458829 PQR458828:PQU458829 QAN458828:QAQ458829 QKJ458828:QKM458829 QUF458828:QUI458829 REB458828:REE458829 RNX458828:ROA458829 RXT458828:RXW458829 SHP458828:SHS458829 SRL458828:SRO458829 TBH458828:TBK458829 TLD458828:TLG458829 TUZ458828:TVC458829 UEV458828:UEY458829 UOR458828:UOU458829 UYN458828:UYQ458829 VIJ458828:VIM458829 VSF458828:VSI458829 WCB458828:WCE458829 WLX458828:WMA458829 WVT458828:WVW458829 L524364:O524365 JH524364:JK524365 TD524364:TG524365 ACZ524364:ADC524365 AMV524364:AMY524365 AWR524364:AWU524365 BGN524364:BGQ524365 BQJ524364:BQM524365 CAF524364:CAI524365 CKB524364:CKE524365 CTX524364:CUA524365 DDT524364:DDW524365 DNP524364:DNS524365 DXL524364:DXO524365 EHH524364:EHK524365 ERD524364:ERG524365 FAZ524364:FBC524365 FKV524364:FKY524365 FUR524364:FUU524365 GEN524364:GEQ524365 GOJ524364:GOM524365 GYF524364:GYI524365 HIB524364:HIE524365 HRX524364:HSA524365 IBT524364:IBW524365 ILP524364:ILS524365 IVL524364:IVO524365 JFH524364:JFK524365 JPD524364:JPG524365 JYZ524364:JZC524365 KIV524364:KIY524365 KSR524364:KSU524365 LCN524364:LCQ524365 LMJ524364:LMM524365 LWF524364:LWI524365 MGB524364:MGE524365 MPX524364:MQA524365 MZT524364:MZW524365 NJP524364:NJS524365 NTL524364:NTO524365 ODH524364:ODK524365 OND524364:ONG524365 OWZ524364:OXC524365 PGV524364:PGY524365 PQR524364:PQU524365 QAN524364:QAQ524365 QKJ524364:QKM524365 QUF524364:QUI524365 REB524364:REE524365 RNX524364:ROA524365 RXT524364:RXW524365 SHP524364:SHS524365 SRL524364:SRO524365 TBH524364:TBK524365 TLD524364:TLG524365 TUZ524364:TVC524365 UEV524364:UEY524365 UOR524364:UOU524365 UYN524364:UYQ524365 VIJ524364:VIM524365 VSF524364:VSI524365 WCB524364:WCE524365 WLX524364:WMA524365 WVT524364:WVW524365 L589900:O589901 JH589900:JK589901 TD589900:TG589901 ACZ589900:ADC589901 AMV589900:AMY589901 AWR589900:AWU589901 BGN589900:BGQ589901 BQJ589900:BQM589901 CAF589900:CAI589901 CKB589900:CKE589901 CTX589900:CUA589901 DDT589900:DDW589901 DNP589900:DNS589901 DXL589900:DXO589901 EHH589900:EHK589901 ERD589900:ERG589901 FAZ589900:FBC589901 FKV589900:FKY589901 FUR589900:FUU589901 GEN589900:GEQ589901 GOJ589900:GOM589901 GYF589900:GYI589901 HIB589900:HIE589901 HRX589900:HSA589901 IBT589900:IBW589901 ILP589900:ILS589901 IVL589900:IVO589901 JFH589900:JFK589901 JPD589900:JPG589901 JYZ589900:JZC589901 KIV589900:KIY589901 KSR589900:KSU589901 LCN589900:LCQ589901 LMJ589900:LMM589901 LWF589900:LWI589901 MGB589900:MGE589901 MPX589900:MQA589901 MZT589900:MZW589901 NJP589900:NJS589901 NTL589900:NTO589901 ODH589900:ODK589901 OND589900:ONG589901 OWZ589900:OXC589901 PGV589900:PGY589901 PQR589900:PQU589901 QAN589900:QAQ589901 QKJ589900:QKM589901 QUF589900:QUI589901 REB589900:REE589901 RNX589900:ROA589901 RXT589900:RXW589901 SHP589900:SHS589901 SRL589900:SRO589901 TBH589900:TBK589901 TLD589900:TLG589901 TUZ589900:TVC589901 UEV589900:UEY589901 UOR589900:UOU589901 UYN589900:UYQ589901 VIJ589900:VIM589901 VSF589900:VSI589901 WCB589900:WCE589901 WLX589900:WMA589901 WVT589900:WVW589901 L655436:O655437 JH655436:JK655437 TD655436:TG655437 ACZ655436:ADC655437 AMV655436:AMY655437 AWR655436:AWU655437 BGN655436:BGQ655437 BQJ655436:BQM655437 CAF655436:CAI655437 CKB655436:CKE655437 CTX655436:CUA655437 DDT655436:DDW655437 DNP655436:DNS655437 DXL655436:DXO655437 EHH655436:EHK655437 ERD655436:ERG655437 FAZ655436:FBC655437 FKV655436:FKY655437 FUR655436:FUU655437 GEN655436:GEQ655437 GOJ655436:GOM655437 GYF655436:GYI655437 HIB655436:HIE655437 HRX655436:HSA655437 IBT655436:IBW655437 ILP655436:ILS655437 IVL655436:IVO655437 JFH655436:JFK655437 JPD655436:JPG655437 JYZ655436:JZC655437 KIV655436:KIY655437 KSR655436:KSU655437 LCN655436:LCQ655437 LMJ655436:LMM655437 LWF655436:LWI655437 MGB655436:MGE655437 MPX655436:MQA655437 MZT655436:MZW655437 NJP655436:NJS655437 NTL655436:NTO655437 ODH655436:ODK655437 OND655436:ONG655437 OWZ655436:OXC655437 PGV655436:PGY655437 PQR655436:PQU655437 QAN655436:QAQ655437 QKJ655436:QKM655437 QUF655436:QUI655437 REB655436:REE655437 RNX655436:ROA655437 RXT655436:RXW655437 SHP655436:SHS655437 SRL655436:SRO655437 TBH655436:TBK655437 TLD655436:TLG655437 TUZ655436:TVC655437 UEV655436:UEY655437 UOR655436:UOU655437 UYN655436:UYQ655437 VIJ655436:VIM655437 VSF655436:VSI655437 WCB655436:WCE655437 WLX655436:WMA655437 WVT655436:WVW655437 L720972:O720973 JH720972:JK720973 TD720972:TG720973 ACZ720972:ADC720973 AMV720972:AMY720973 AWR720972:AWU720973 BGN720972:BGQ720973 BQJ720972:BQM720973 CAF720972:CAI720973 CKB720972:CKE720973 CTX720972:CUA720973 DDT720972:DDW720973 DNP720972:DNS720973 DXL720972:DXO720973 EHH720972:EHK720973 ERD720972:ERG720973 FAZ720972:FBC720973 FKV720972:FKY720973 FUR720972:FUU720973 GEN720972:GEQ720973 GOJ720972:GOM720973 GYF720972:GYI720973 HIB720972:HIE720973 HRX720972:HSA720973 IBT720972:IBW720973 ILP720972:ILS720973 IVL720972:IVO720973 JFH720972:JFK720973 JPD720972:JPG720973 JYZ720972:JZC720973 KIV720972:KIY720973 KSR720972:KSU720973 LCN720972:LCQ720973 LMJ720972:LMM720973 LWF720972:LWI720973 MGB720972:MGE720973 MPX720972:MQA720973 MZT720972:MZW720973 NJP720972:NJS720973 NTL720972:NTO720973 ODH720972:ODK720973 OND720972:ONG720973 OWZ720972:OXC720973 PGV720972:PGY720973 PQR720972:PQU720973 QAN720972:QAQ720973 QKJ720972:QKM720973 QUF720972:QUI720973 REB720972:REE720973 RNX720972:ROA720973 RXT720972:RXW720973 SHP720972:SHS720973 SRL720972:SRO720973 TBH720972:TBK720973 TLD720972:TLG720973 TUZ720972:TVC720973 UEV720972:UEY720973 UOR720972:UOU720973 UYN720972:UYQ720973 VIJ720972:VIM720973 VSF720972:VSI720973 WCB720972:WCE720973 WLX720972:WMA720973 WVT720972:WVW720973 L786508:O786509 JH786508:JK786509 TD786508:TG786509 ACZ786508:ADC786509 AMV786508:AMY786509 AWR786508:AWU786509 BGN786508:BGQ786509 BQJ786508:BQM786509 CAF786508:CAI786509 CKB786508:CKE786509 CTX786508:CUA786509 DDT786508:DDW786509 DNP786508:DNS786509 DXL786508:DXO786509 EHH786508:EHK786509 ERD786508:ERG786509 FAZ786508:FBC786509 FKV786508:FKY786509 FUR786508:FUU786509 GEN786508:GEQ786509 GOJ786508:GOM786509 GYF786508:GYI786509 HIB786508:HIE786509 HRX786508:HSA786509 IBT786508:IBW786509 ILP786508:ILS786509 IVL786508:IVO786509 JFH786508:JFK786509 JPD786508:JPG786509 JYZ786508:JZC786509 KIV786508:KIY786509 KSR786508:KSU786509 LCN786508:LCQ786509 LMJ786508:LMM786509 LWF786508:LWI786509 MGB786508:MGE786509 MPX786508:MQA786509 MZT786508:MZW786509 NJP786508:NJS786509 NTL786508:NTO786509 ODH786508:ODK786509 OND786508:ONG786509 OWZ786508:OXC786509 PGV786508:PGY786509 PQR786508:PQU786509 QAN786508:QAQ786509 QKJ786508:QKM786509 QUF786508:QUI786509 REB786508:REE786509 RNX786508:ROA786509 RXT786508:RXW786509 SHP786508:SHS786509 SRL786508:SRO786509 TBH786508:TBK786509 TLD786508:TLG786509 TUZ786508:TVC786509 UEV786508:UEY786509 UOR786508:UOU786509 UYN786508:UYQ786509 VIJ786508:VIM786509 VSF786508:VSI786509 WCB786508:WCE786509 WLX786508:WMA786509 WVT786508:WVW786509 L852044:O852045 JH852044:JK852045 TD852044:TG852045 ACZ852044:ADC852045 AMV852044:AMY852045 AWR852044:AWU852045 BGN852044:BGQ852045 BQJ852044:BQM852045 CAF852044:CAI852045 CKB852044:CKE852045 CTX852044:CUA852045 DDT852044:DDW852045 DNP852044:DNS852045 DXL852044:DXO852045 EHH852044:EHK852045 ERD852044:ERG852045 FAZ852044:FBC852045 FKV852044:FKY852045 FUR852044:FUU852045 GEN852044:GEQ852045 GOJ852044:GOM852045 GYF852044:GYI852045 HIB852044:HIE852045 HRX852044:HSA852045 IBT852044:IBW852045 ILP852044:ILS852045 IVL852044:IVO852045 JFH852044:JFK852045 JPD852044:JPG852045 JYZ852044:JZC852045 KIV852044:KIY852045 KSR852044:KSU852045 LCN852044:LCQ852045 LMJ852044:LMM852045 LWF852044:LWI852045 MGB852044:MGE852045 MPX852044:MQA852045 MZT852044:MZW852045 NJP852044:NJS852045 NTL852044:NTO852045 ODH852044:ODK852045 OND852044:ONG852045 OWZ852044:OXC852045 PGV852044:PGY852045 PQR852044:PQU852045 QAN852044:QAQ852045 QKJ852044:QKM852045 QUF852044:QUI852045 REB852044:REE852045 RNX852044:ROA852045 RXT852044:RXW852045 SHP852044:SHS852045 SRL852044:SRO852045 TBH852044:TBK852045 TLD852044:TLG852045 TUZ852044:TVC852045 UEV852044:UEY852045 UOR852044:UOU852045 UYN852044:UYQ852045 VIJ852044:VIM852045 VSF852044:VSI852045 WCB852044:WCE852045 WLX852044:WMA852045 WVT852044:WVW852045 L917580:O917581 JH917580:JK917581 TD917580:TG917581 ACZ917580:ADC917581 AMV917580:AMY917581 AWR917580:AWU917581 BGN917580:BGQ917581 BQJ917580:BQM917581 CAF917580:CAI917581 CKB917580:CKE917581 CTX917580:CUA917581 DDT917580:DDW917581 DNP917580:DNS917581 DXL917580:DXO917581 EHH917580:EHK917581 ERD917580:ERG917581 FAZ917580:FBC917581 FKV917580:FKY917581 FUR917580:FUU917581 GEN917580:GEQ917581 GOJ917580:GOM917581 GYF917580:GYI917581 HIB917580:HIE917581 HRX917580:HSA917581 IBT917580:IBW917581 ILP917580:ILS917581 IVL917580:IVO917581 JFH917580:JFK917581 JPD917580:JPG917581 JYZ917580:JZC917581 KIV917580:KIY917581 KSR917580:KSU917581 LCN917580:LCQ917581 LMJ917580:LMM917581 LWF917580:LWI917581 MGB917580:MGE917581 MPX917580:MQA917581 MZT917580:MZW917581 NJP917580:NJS917581 NTL917580:NTO917581 ODH917580:ODK917581 OND917580:ONG917581 OWZ917580:OXC917581 PGV917580:PGY917581 PQR917580:PQU917581 QAN917580:QAQ917581 QKJ917580:QKM917581 QUF917580:QUI917581 REB917580:REE917581 RNX917580:ROA917581 RXT917580:RXW917581 SHP917580:SHS917581 SRL917580:SRO917581 TBH917580:TBK917581 TLD917580:TLG917581 TUZ917580:TVC917581 UEV917580:UEY917581 UOR917580:UOU917581 UYN917580:UYQ917581 VIJ917580:VIM917581 VSF917580:VSI917581 WCB917580:WCE917581 WLX917580:WMA917581 WVT917580:WVW917581 L983116:O983117 JH983116:JK983117 TD983116:TG983117 ACZ983116:ADC983117 AMV983116:AMY983117 AWR983116:AWU983117 BGN983116:BGQ983117 BQJ983116:BQM983117 CAF983116:CAI983117 CKB983116:CKE983117 CTX983116:CUA983117 DDT983116:DDW983117 DNP983116:DNS983117 DXL983116:DXO983117 EHH983116:EHK983117 ERD983116:ERG983117 FAZ983116:FBC983117 FKV983116:FKY983117 FUR983116:FUU983117 GEN983116:GEQ983117 GOJ983116:GOM983117 GYF983116:GYI983117 HIB983116:HIE983117 HRX983116:HSA983117 IBT983116:IBW983117 ILP983116:ILS983117 IVL983116:IVO983117 JFH983116:JFK983117 JPD983116:JPG983117 JYZ983116:JZC983117 KIV983116:KIY983117 KSR983116:KSU983117 LCN983116:LCQ983117 LMJ983116:LMM983117 LWF983116:LWI983117 MGB983116:MGE983117 MPX983116:MQA983117 MZT983116:MZW983117 NJP983116:NJS983117 NTL983116:NTO983117 ODH983116:ODK983117 OND983116:ONG983117 OWZ983116:OXC983117 PGV983116:PGY983117 PQR983116:PQU983117 QAN983116:QAQ983117 QKJ983116:QKM983117 QUF983116:QUI983117 REB983116:REE983117 RNX983116:ROA983117 RXT983116:RXW983117 SHP983116:SHS983117 SRL983116:SRO983117 TBH983116:TBK983117 TLD983116:TLG983117 TUZ983116:TVC983117 UEV983116:UEY983117 UOR983116:UOU983117 UYN983116:UYQ983117 VIJ983116:VIM983117 VSF983116:VSI983117 WCB983116:WCE983117 WLX983116:WMA983117 WVT983116:WVW983117" xr:uid="{00000000-0002-0000-0000-000001000000}">
      <formula1>$AA$76:$AA$77</formula1>
    </dataValidation>
    <dataValidation type="list" allowBlank="1" showInputMessage="1" showErrorMessage="1" sqref="J47:K47 JF47:JG47 TB47:TC47 ACX47:ACY47 AMT47:AMU47 AWP47:AWQ47 BGL47:BGM47 BQH47:BQI47 CAD47:CAE47 CJZ47:CKA47 CTV47:CTW47 DDR47:DDS47 DNN47:DNO47 DXJ47:DXK47 EHF47:EHG47 ERB47:ERC47 FAX47:FAY47 FKT47:FKU47 FUP47:FUQ47 GEL47:GEM47 GOH47:GOI47 GYD47:GYE47 HHZ47:HIA47 HRV47:HRW47 IBR47:IBS47 ILN47:ILO47 IVJ47:IVK47 JFF47:JFG47 JPB47:JPC47 JYX47:JYY47 KIT47:KIU47 KSP47:KSQ47 LCL47:LCM47 LMH47:LMI47 LWD47:LWE47 MFZ47:MGA47 MPV47:MPW47 MZR47:MZS47 NJN47:NJO47 NTJ47:NTK47 ODF47:ODG47 ONB47:ONC47 OWX47:OWY47 PGT47:PGU47 PQP47:PQQ47 QAL47:QAM47 QKH47:QKI47 QUD47:QUE47 RDZ47:REA47 RNV47:RNW47 RXR47:RXS47 SHN47:SHO47 SRJ47:SRK47 TBF47:TBG47 TLB47:TLC47 TUX47:TUY47 UET47:UEU47 UOP47:UOQ47 UYL47:UYM47 VIH47:VII47 VSD47:VSE47 WBZ47:WCA47 WLV47:WLW47 WVR47:WVS47 J65583:K65583 JF65583:JG65583 TB65583:TC65583 ACX65583:ACY65583 AMT65583:AMU65583 AWP65583:AWQ65583 BGL65583:BGM65583 BQH65583:BQI65583 CAD65583:CAE65583 CJZ65583:CKA65583 CTV65583:CTW65583 DDR65583:DDS65583 DNN65583:DNO65583 DXJ65583:DXK65583 EHF65583:EHG65583 ERB65583:ERC65583 FAX65583:FAY65583 FKT65583:FKU65583 FUP65583:FUQ65583 GEL65583:GEM65583 GOH65583:GOI65583 GYD65583:GYE65583 HHZ65583:HIA65583 HRV65583:HRW65583 IBR65583:IBS65583 ILN65583:ILO65583 IVJ65583:IVK65583 JFF65583:JFG65583 JPB65583:JPC65583 JYX65583:JYY65583 KIT65583:KIU65583 KSP65583:KSQ65583 LCL65583:LCM65583 LMH65583:LMI65583 LWD65583:LWE65583 MFZ65583:MGA65583 MPV65583:MPW65583 MZR65583:MZS65583 NJN65583:NJO65583 NTJ65583:NTK65583 ODF65583:ODG65583 ONB65583:ONC65583 OWX65583:OWY65583 PGT65583:PGU65583 PQP65583:PQQ65583 QAL65583:QAM65583 QKH65583:QKI65583 QUD65583:QUE65583 RDZ65583:REA65583 RNV65583:RNW65583 RXR65583:RXS65583 SHN65583:SHO65583 SRJ65583:SRK65583 TBF65583:TBG65583 TLB65583:TLC65583 TUX65583:TUY65583 UET65583:UEU65583 UOP65583:UOQ65583 UYL65583:UYM65583 VIH65583:VII65583 VSD65583:VSE65583 WBZ65583:WCA65583 WLV65583:WLW65583 WVR65583:WVS65583 J131119:K131119 JF131119:JG131119 TB131119:TC131119 ACX131119:ACY131119 AMT131119:AMU131119 AWP131119:AWQ131119 BGL131119:BGM131119 BQH131119:BQI131119 CAD131119:CAE131119 CJZ131119:CKA131119 CTV131119:CTW131119 DDR131119:DDS131119 DNN131119:DNO131119 DXJ131119:DXK131119 EHF131119:EHG131119 ERB131119:ERC131119 FAX131119:FAY131119 FKT131119:FKU131119 FUP131119:FUQ131119 GEL131119:GEM131119 GOH131119:GOI131119 GYD131119:GYE131119 HHZ131119:HIA131119 HRV131119:HRW131119 IBR131119:IBS131119 ILN131119:ILO131119 IVJ131119:IVK131119 JFF131119:JFG131119 JPB131119:JPC131119 JYX131119:JYY131119 KIT131119:KIU131119 KSP131119:KSQ131119 LCL131119:LCM131119 LMH131119:LMI131119 LWD131119:LWE131119 MFZ131119:MGA131119 MPV131119:MPW131119 MZR131119:MZS131119 NJN131119:NJO131119 NTJ131119:NTK131119 ODF131119:ODG131119 ONB131119:ONC131119 OWX131119:OWY131119 PGT131119:PGU131119 PQP131119:PQQ131119 QAL131119:QAM131119 QKH131119:QKI131119 QUD131119:QUE131119 RDZ131119:REA131119 RNV131119:RNW131119 RXR131119:RXS131119 SHN131119:SHO131119 SRJ131119:SRK131119 TBF131119:TBG131119 TLB131119:TLC131119 TUX131119:TUY131119 UET131119:UEU131119 UOP131119:UOQ131119 UYL131119:UYM131119 VIH131119:VII131119 VSD131119:VSE131119 WBZ131119:WCA131119 WLV131119:WLW131119 WVR131119:WVS131119 J196655:K196655 JF196655:JG196655 TB196655:TC196655 ACX196655:ACY196655 AMT196655:AMU196655 AWP196655:AWQ196655 BGL196655:BGM196655 BQH196655:BQI196655 CAD196655:CAE196655 CJZ196655:CKA196655 CTV196655:CTW196655 DDR196655:DDS196655 DNN196655:DNO196655 DXJ196655:DXK196655 EHF196655:EHG196655 ERB196655:ERC196655 FAX196655:FAY196655 FKT196655:FKU196655 FUP196655:FUQ196655 GEL196655:GEM196655 GOH196655:GOI196655 GYD196655:GYE196655 HHZ196655:HIA196655 HRV196655:HRW196655 IBR196655:IBS196655 ILN196655:ILO196655 IVJ196655:IVK196655 JFF196655:JFG196655 JPB196655:JPC196655 JYX196655:JYY196655 KIT196655:KIU196655 KSP196655:KSQ196655 LCL196655:LCM196655 LMH196655:LMI196655 LWD196655:LWE196655 MFZ196655:MGA196655 MPV196655:MPW196655 MZR196655:MZS196655 NJN196655:NJO196655 NTJ196655:NTK196655 ODF196655:ODG196655 ONB196655:ONC196655 OWX196655:OWY196655 PGT196655:PGU196655 PQP196655:PQQ196655 QAL196655:QAM196655 QKH196655:QKI196655 QUD196655:QUE196655 RDZ196655:REA196655 RNV196655:RNW196655 RXR196655:RXS196655 SHN196655:SHO196655 SRJ196655:SRK196655 TBF196655:TBG196655 TLB196655:TLC196655 TUX196655:TUY196655 UET196655:UEU196655 UOP196655:UOQ196655 UYL196655:UYM196655 VIH196655:VII196655 VSD196655:VSE196655 WBZ196655:WCA196655 WLV196655:WLW196655 WVR196655:WVS196655 J262191:K262191 JF262191:JG262191 TB262191:TC262191 ACX262191:ACY262191 AMT262191:AMU262191 AWP262191:AWQ262191 BGL262191:BGM262191 BQH262191:BQI262191 CAD262191:CAE262191 CJZ262191:CKA262191 CTV262191:CTW262191 DDR262191:DDS262191 DNN262191:DNO262191 DXJ262191:DXK262191 EHF262191:EHG262191 ERB262191:ERC262191 FAX262191:FAY262191 FKT262191:FKU262191 FUP262191:FUQ262191 GEL262191:GEM262191 GOH262191:GOI262191 GYD262191:GYE262191 HHZ262191:HIA262191 HRV262191:HRW262191 IBR262191:IBS262191 ILN262191:ILO262191 IVJ262191:IVK262191 JFF262191:JFG262191 JPB262191:JPC262191 JYX262191:JYY262191 KIT262191:KIU262191 KSP262191:KSQ262191 LCL262191:LCM262191 LMH262191:LMI262191 LWD262191:LWE262191 MFZ262191:MGA262191 MPV262191:MPW262191 MZR262191:MZS262191 NJN262191:NJO262191 NTJ262191:NTK262191 ODF262191:ODG262191 ONB262191:ONC262191 OWX262191:OWY262191 PGT262191:PGU262191 PQP262191:PQQ262191 QAL262191:QAM262191 QKH262191:QKI262191 QUD262191:QUE262191 RDZ262191:REA262191 RNV262191:RNW262191 RXR262191:RXS262191 SHN262191:SHO262191 SRJ262191:SRK262191 TBF262191:TBG262191 TLB262191:TLC262191 TUX262191:TUY262191 UET262191:UEU262191 UOP262191:UOQ262191 UYL262191:UYM262191 VIH262191:VII262191 VSD262191:VSE262191 WBZ262191:WCA262191 WLV262191:WLW262191 WVR262191:WVS262191 J327727:K327727 JF327727:JG327727 TB327727:TC327727 ACX327727:ACY327727 AMT327727:AMU327727 AWP327727:AWQ327727 BGL327727:BGM327727 BQH327727:BQI327727 CAD327727:CAE327727 CJZ327727:CKA327727 CTV327727:CTW327727 DDR327727:DDS327727 DNN327727:DNO327727 DXJ327727:DXK327727 EHF327727:EHG327727 ERB327727:ERC327727 FAX327727:FAY327727 FKT327727:FKU327727 FUP327727:FUQ327727 GEL327727:GEM327727 GOH327727:GOI327727 GYD327727:GYE327727 HHZ327727:HIA327727 HRV327727:HRW327727 IBR327727:IBS327727 ILN327727:ILO327727 IVJ327727:IVK327727 JFF327727:JFG327727 JPB327727:JPC327727 JYX327727:JYY327727 KIT327727:KIU327727 KSP327727:KSQ327727 LCL327727:LCM327727 LMH327727:LMI327727 LWD327727:LWE327727 MFZ327727:MGA327727 MPV327727:MPW327727 MZR327727:MZS327727 NJN327727:NJO327727 NTJ327727:NTK327727 ODF327727:ODG327727 ONB327727:ONC327727 OWX327727:OWY327727 PGT327727:PGU327727 PQP327727:PQQ327727 QAL327727:QAM327727 QKH327727:QKI327727 QUD327727:QUE327727 RDZ327727:REA327727 RNV327727:RNW327727 RXR327727:RXS327727 SHN327727:SHO327727 SRJ327727:SRK327727 TBF327727:TBG327727 TLB327727:TLC327727 TUX327727:TUY327727 UET327727:UEU327727 UOP327727:UOQ327727 UYL327727:UYM327727 VIH327727:VII327727 VSD327727:VSE327727 WBZ327727:WCA327727 WLV327727:WLW327727 WVR327727:WVS327727 J393263:K393263 JF393263:JG393263 TB393263:TC393263 ACX393263:ACY393263 AMT393263:AMU393263 AWP393263:AWQ393263 BGL393263:BGM393263 BQH393263:BQI393263 CAD393263:CAE393263 CJZ393263:CKA393263 CTV393263:CTW393263 DDR393263:DDS393263 DNN393263:DNO393263 DXJ393263:DXK393263 EHF393263:EHG393263 ERB393263:ERC393263 FAX393263:FAY393263 FKT393263:FKU393263 FUP393263:FUQ393263 GEL393263:GEM393263 GOH393263:GOI393263 GYD393263:GYE393263 HHZ393263:HIA393263 HRV393263:HRW393263 IBR393263:IBS393263 ILN393263:ILO393263 IVJ393263:IVK393263 JFF393263:JFG393263 JPB393263:JPC393263 JYX393263:JYY393263 KIT393263:KIU393263 KSP393263:KSQ393263 LCL393263:LCM393263 LMH393263:LMI393263 LWD393263:LWE393263 MFZ393263:MGA393263 MPV393263:MPW393263 MZR393263:MZS393263 NJN393263:NJO393263 NTJ393263:NTK393263 ODF393263:ODG393263 ONB393263:ONC393263 OWX393263:OWY393263 PGT393263:PGU393263 PQP393263:PQQ393263 QAL393263:QAM393263 QKH393263:QKI393263 QUD393263:QUE393263 RDZ393263:REA393263 RNV393263:RNW393263 RXR393263:RXS393263 SHN393263:SHO393263 SRJ393263:SRK393263 TBF393263:TBG393263 TLB393263:TLC393263 TUX393263:TUY393263 UET393263:UEU393263 UOP393263:UOQ393263 UYL393263:UYM393263 VIH393263:VII393263 VSD393263:VSE393263 WBZ393263:WCA393263 WLV393263:WLW393263 WVR393263:WVS393263 J458799:K458799 JF458799:JG458799 TB458799:TC458799 ACX458799:ACY458799 AMT458799:AMU458799 AWP458799:AWQ458799 BGL458799:BGM458799 BQH458799:BQI458799 CAD458799:CAE458799 CJZ458799:CKA458799 CTV458799:CTW458799 DDR458799:DDS458799 DNN458799:DNO458799 DXJ458799:DXK458799 EHF458799:EHG458799 ERB458799:ERC458799 FAX458799:FAY458799 FKT458799:FKU458799 FUP458799:FUQ458799 GEL458799:GEM458799 GOH458799:GOI458799 GYD458799:GYE458799 HHZ458799:HIA458799 HRV458799:HRW458799 IBR458799:IBS458799 ILN458799:ILO458799 IVJ458799:IVK458799 JFF458799:JFG458799 JPB458799:JPC458799 JYX458799:JYY458799 KIT458799:KIU458799 KSP458799:KSQ458799 LCL458799:LCM458799 LMH458799:LMI458799 LWD458799:LWE458799 MFZ458799:MGA458799 MPV458799:MPW458799 MZR458799:MZS458799 NJN458799:NJO458799 NTJ458799:NTK458799 ODF458799:ODG458799 ONB458799:ONC458799 OWX458799:OWY458799 PGT458799:PGU458799 PQP458799:PQQ458799 QAL458799:QAM458799 QKH458799:QKI458799 QUD458799:QUE458799 RDZ458799:REA458799 RNV458799:RNW458799 RXR458799:RXS458799 SHN458799:SHO458799 SRJ458799:SRK458799 TBF458799:TBG458799 TLB458799:TLC458799 TUX458799:TUY458799 UET458799:UEU458799 UOP458799:UOQ458799 UYL458799:UYM458799 VIH458799:VII458799 VSD458799:VSE458799 WBZ458799:WCA458799 WLV458799:WLW458799 WVR458799:WVS458799 J524335:K524335 JF524335:JG524335 TB524335:TC524335 ACX524335:ACY524335 AMT524335:AMU524335 AWP524335:AWQ524335 BGL524335:BGM524335 BQH524335:BQI524335 CAD524335:CAE524335 CJZ524335:CKA524335 CTV524335:CTW524335 DDR524335:DDS524335 DNN524335:DNO524335 DXJ524335:DXK524335 EHF524335:EHG524335 ERB524335:ERC524335 FAX524335:FAY524335 FKT524335:FKU524335 FUP524335:FUQ524335 GEL524335:GEM524335 GOH524335:GOI524335 GYD524335:GYE524335 HHZ524335:HIA524335 HRV524335:HRW524335 IBR524335:IBS524335 ILN524335:ILO524335 IVJ524335:IVK524335 JFF524335:JFG524335 JPB524335:JPC524335 JYX524335:JYY524335 KIT524335:KIU524335 KSP524335:KSQ524335 LCL524335:LCM524335 LMH524335:LMI524335 LWD524335:LWE524335 MFZ524335:MGA524335 MPV524335:MPW524335 MZR524335:MZS524335 NJN524335:NJO524335 NTJ524335:NTK524335 ODF524335:ODG524335 ONB524335:ONC524335 OWX524335:OWY524335 PGT524335:PGU524335 PQP524335:PQQ524335 QAL524335:QAM524335 QKH524335:QKI524335 QUD524335:QUE524335 RDZ524335:REA524335 RNV524335:RNW524335 RXR524335:RXS524335 SHN524335:SHO524335 SRJ524335:SRK524335 TBF524335:TBG524335 TLB524335:TLC524335 TUX524335:TUY524335 UET524335:UEU524335 UOP524335:UOQ524335 UYL524335:UYM524335 VIH524335:VII524335 VSD524335:VSE524335 WBZ524335:WCA524335 WLV524335:WLW524335 WVR524335:WVS524335 J589871:K589871 JF589871:JG589871 TB589871:TC589871 ACX589871:ACY589871 AMT589871:AMU589871 AWP589871:AWQ589871 BGL589871:BGM589871 BQH589871:BQI589871 CAD589871:CAE589871 CJZ589871:CKA589871 CTV589871:CTW589871 DDR589871:DDS589871 DNN589871:DNO589871 DXJ589871:DXK589871 EHF589871:EHG589871 ERB589871:ERC589871 FAX589871:FAY589871 FKT589871:FKU589871 FUP589871:FUQ589871 GEL589871:GEM589871 GOH589871:GOI589871 GYD589871:GYE589871 HHZ589871:HIA589871 HRV589871:HRW589871 IBR589871:IBS589871 ILN589871:ILO589871 IVJ589871:IVK589871 JFF589871:JFG589871 JPB589871:JPC589871 JYX589871:JYY589871 KIT589871:KIU589871 KSP589871:KSQ589871 LCL589871:LCM589871 LMH589871:LMI589871 LWD589871:LWE589871 MFZ589871:MGA589871 MPV589871:MPW589871 MZR589871:MZS589871 NJN589871:NJO589871 NTJ589871:NTK589871 ODF589871:ODG589871 ONB589871:ONC589871 OWX589871:OWY589871 PGT589871:PGU589871 PQP589871:PQQ589871 QAL589871:QAM589871 QKH589871:QKI589871 QUD589871:QUE589871 RDZ589871:REA589871 RNV589871:RNW589871 RXR589871:RXS589871 SHN589871:SHO589871 SRJ589871:SRK589871 TBF589871:TBG589871 TLB589871:TLC589871 TUX589871:TUY589871 UET589871:UEU589871 UOP589871:UOQ589871 UYL589871:UYM589871 VIH589871:VII589871 VSD589871:VSE589871 WBZ589871:WCA589871 WLV589871:WLW589871 WVR589871:WVS589871 J655407:K655407 JF655407:JG655407 TB655407:TC655407 ACX655407:ACY655407 AMT655407:AMU655407 AWP655407:AWQ655407 BGL655407:BGM655407 BQH655407:BQI655407 CAD655407:CAE655407 CJZ655407:CKA655407 CTV655407:CTW655407 DDR655407:DDS655407 DNN655407:DNO655407 DXJ655407:DXK655407 EHF655407:EHG655407 ERB655407:ERC655407 FAX655407:FAY655407 FKT655407:FKU655407 FUP655407:FUQ655407 GEL655407:GEM655407 GOH655407:GOI655407 GYD655407:GYE655407 HHZ655407:HIA655407 HRV655407:HRW655407 IBR655407:IBS655407 ILN655407:ILO655407 IVJ655407:IVK655407 JFF655407:JFG655407 JPB655407:JPC655407 JYX655407:JYY655407 KIT655407:KIU655407 KSP655407:KSQ655407 LCL655407:LCM655407 LMH655407:LMI655407 LWD655407:LWE655407 MFZ655407:MGA655407 MPV655407:MPW655407 MZR655407:MZS655407 NJN655407:NJO655407 NTJ655407:NTK655407 ODF655407:ODG655407 ONB655407:ONC655407 OWX655407:OWY655407 PGT655407:PGU655407 PQP655407:PQQ655407 QAL655407:QAM655407 QKH655407:QKI655407 QUD655407:QUE655407 RDZ655407:REA655407 RNV655407:RNW655407 RXR655407:RXS655407 SHN655407:SHO655407 SRJ655407:SRK655407 TBF655407:TBG655407 TLB655407:TLC655407 TUX655407:TUY655407 UET655407:UEU655407 UOP655407:UOQ655407 UYL655407:UYM655407 VIH655407:VII655407 VSD655407:VSE655407 WBZ655407:WCA655407 WLV655407:WLW655407 WVR655407:WVS655407 J720943:K720943 JF720943:JG720943 TB720943:TC720943 ACX720943:ACY720943 AMT720943:AMU720943 AWP720943:AWQ720943 BGL720943:BGM720943 BQH720943:BQI720943 CAD720943:CAE720943 CJZ720943:CKA720943 CTV720943:CTW720943 DDR720943:DDS720943 DNN720943:DNO720943 DXJ720943:DXK720943 EHF720943:EHG720943 ERB720943:ERC720943 FAX720943:FAY720943 FKT720943:FKU720943 FUP720943:FUQ720943 GEL720943:GEM720943 GOH720943:GOI720943 GYD720943:GYE720943 HHZ720943:HIA720943 HRV720943:HRW720943 IBR720943:IBS720943 ILN720943:ILO720943 IVJ720943:IVK720943 JFF720943:JFG720943 JPB720943:JPC720943 JYX720943:JYY720943 KIT720943:KIU720943 KSP720943:KSQ720943 LCL720943:LCM720943 LMH720943:LMI720943 LWD720943:LWE720943 MFZ720943:MGA720943 MPV720943:MPW720943 MZR720943:MZS720943 NJN720943:NJO720943 NTJ720943:NTK720943 ODF720943:ODG720943 ONB720943:ONC720943 OWX720943:OWY720943 PGT720943:PGU720943 PQP720943:PQQ720943 QAL720943:QAM720943 QKH720943:QKI720943 QUD720943:QUE720943 RDZ720943:REA720943 RNV720943:RNW720943 RXR720943:RXS720943 SHN720943:SHO720943 SRJ720943:SRK720943 TBF720943:TBG720943 TLB720943:TLC720943 TUX720943:TUY720943 UET720943:UEU720943 UOP720943:UOQ720943 UYL720943:UYM720943 VIH720943:VII720943 VSD720943:VSE720943 WBZ720943:WCA720943 WLV720943:WLW720943 WVR720943:WVS720943 J786479:K786479 JF786479:JG786479 TB786479:TC786479 ACX786479:ACY786479 AMT786479:AMU786479 AWP786479:AWQ786479 BGL786479:BGM786479 BQH786479:BQI786479 CAD786479:CAE786479 CJZ786479:CKA786479 CTV786479:CTW786479 DDR786479:DDS786479 DNN786479:DNO786479 DXJ786479:DXK786479 EHF786479:EHG786479 ERB786479:ERC786479 FAX786479:FAY786479 FKT786479:FKU786479 FUP786479:FUQ786479 GEL786479:GEM786479 GOH786479:GOI786479 GYD786479:GYE786479 HHZ786479:HIA786479 HRV786479:HRW786479 IBR786479:IBS786479 ILN786479:ILO786479 IVJ786479:IVK786479 JFF786479:JFG786479 JPB786479:JPC786479 JYX786479:JYY786479 KIT786479:KIU786479 KSP786479:KSQ786479 LCL786479:LCM786479 LMH786479:LMI786479 LWD786479:LWE786479 MFZ786479:MGA786479 MPV786479:MPW786479 MZR786479:MZS786479 NJN786479:NJO786479 NTJ786479:NTK786479 ODF786479:ODG786479 ONB786479:ONC786479 OWX786479:OWY786479 PGT786479:PGU786479 PQP786479:PQQ786479 QAL786479:QAM786479 QKH786479:QKI786479 QUD786479:QUE786479 RDZ786479:REA786479 RNV786479:RNW786479 RXR786479:RXS786479 SHN786479:SHO786479 SRJ786479:SRK786479 TBF786479:TBG786479 TLB786479:TLC786479 TUX786479:TUY786479 UET786479:UEU786479 UOP786479:UOQ786479 UYL786479:UYM786479 VIH786479:VII786479 VSD786479:VSE786479 WBZ786479:WCA786479 WLV786479:WLW786479 WVR786479:WVS786479 J852015:K852015 JF852015:JG852015 TB852015:TC852015 ACX852015:ACY852015 AMT852015:AMU852015 AWP852015:AWQ852015 BGL852015:BGM852015 BQH852015:BQI852015 CAD852015:CAE852015 CJZ852015:CKA852015 CTV852015:CTW852015 DDR852015:DDS852015 DNN852015:DNO852015 DXJ852015:DXK852015 EHF852015:EHG852015 ERB852015:ERC852015 FAX852015:FAY852015 FKT852015:FKU852015 FUP852015:FUQ852015 GEL852015:GEM852015 GOH852015:GOI852015 GYD852015:GYE852015 HHZ852015:HIA852015 HRV852015:HRW852015 IBR852015:IBS852015 ILN852015:ILO852015 IVJ852015:IVK852015 JFF852015:JFG852015 JPB852015:JPC852015 JYX852015:JYY852015 KIT852015:KIU852015 KSP852015:KSQ852015 LCL852015:LCM852015 LMH852015:LMI852015 LWD852015:LWE852015 MFZ852015:MGA852015 MPV852015:MPW852015 MZR852015:MZS852015 NJN852015:NJO852015 NTJ852015:NTK852015 ODF852015:ODG852015 ONB852015:ONC852015 OWX852015:OWY852015 PGT852015:PGU852015 PQP852015:PQQ852015 QAL852015:QAM852015 QKH852015:QKI852015 QUD852015:QUE852015 RDZ852015:REA852015 RNV852015:RNW852015 RXR852015:RXS852015 SHN852015:SHO852015 SRJ852015:SRK852015 TBF852015:TBG852015 TLB852015:TLC852015 TUX852015:TUY852015 UET852015:UEU852015 UOP852015:UOQ852015 UYL852015:UYM852015 VIH852015:VII852015 VSD852015:VSE852015 WBZ852015:WCA852015 WLV852015:WLW852015 WVR852015:WVS852015 J917551:K917551 JF917551:JG917551 TB917551:TC917551 ACX917551:ACY917551 AMT917551:AMU917551 AWP917551:AWQ917551 BGL917551:BGM917551 BQH917551:BQI917551 CAD917551:CAE917551 CJZ917551:CKA917551 CTV917551:CTW917551 DDR917551:DDS917551 DNN917551:DNO917551 DXJ917551:DXK917551 EHF917551:EHG917551 ERB917551:ERC917551 FAX917551:FAY917551 FKT917551:FKU917551 FUP917551:FUQ917551 GEL917551:GEM917551 GOH917551:GOI917551 GYD917551:GYE917551 HHZ917551:HIA917551 HRV917551:HRW917551 IBR917551:IBS917551 ILN917551:ILO917551 IVJ917551:IVK917551 JFF917551:JFG917551 JPB917551:JPC917551 JYX917551:JYY917551 KIT917551:KIU917551 KSP917551:KSQ917551 LCL917551:LCM917551 LMH917551:LMI917551 LWD917551:LWE917551 MFZ917551:MGA917551 MPV917551:MPW917551 MZR917551:MZS917551 NJN917551:NJO917551 NTJ917551:NTK917551 ODF917551:ODG917551 ONB917551:ONC917551 OWX917551:OWY917551 PGT917551:PGU917551 PQP917551:PQQ917551 QAL917551:QAM917551 QKH917551:QKI917551 QUD917551:QUE917551 RDZ917551:REA917551 RNV917551:RNW917551 RXR917551:RXS917551 SHN917551:SHO917551 SRJ917551:SRK917551 TBF917551:TBG917551 TLB917551:TLC917551 TUX917551:TUY917551 UET917551:UEU917551 UOP917551:UOQ917551 UYL917551:UYM917551 VIH917551:VII917551 VSD917551:VSE917551 WBZ917551:WCA917551 WLV917551:WLW917551 WVR917551:WVS917551 J983087:K983087 JF983087:JG983087 TB983087:TC983087 ACX983087:ACY983087 AMT983087:AMU983087 AWP983087:AWQ983087 BGL983087:BGM983087 BQH983087:BQI983087 CAD983087:CAE983087 CJZ983087:CKA983087 CTV983087:CTW983087 DDR983087:DDS983087 DNN983087:DNO983087 DXJ983087:DXK983087 EHF983087:EHG983087 ERB983087:ERC983087 FAX983087:FAY983087 FKT983087:FKU983087 FUP983087:FUQ983087 GEL983087:GEM983087 GOH983087:GOI983087 GYD983087:GYE983087 HHZ983087:HIA983087 HRV983087:HRW983087 IBR983087:IBS983087 ILN983087:ILO983087 IVJ983087:IVK983087 JFF983087:JFG983087 JPB983087:JPC983087 JYX983087:JYY983087 KIT983087:KIU983087 KSP983087:KSQ983087 LCL983087:LCM983087 LMH983087:LMI983087 LWD983087:LWE983087 MFZ983087:MGA983087 MPV983087:MPW983087 MZR983087:MZS983087 NJN983087:NJO983087 NTJ983087:NTK983087 ODF983087:ODG983087 ONB983087:ONC983087 OWX983087:OWY983087 PGT983087:PGU983087 PQP983087:PQQ983087 QAL983087:QAM983087 QKH983087:QKI983087 QUD983087:QUE983087 RDZ983087:REA983087 RNV983087:RNW983087 RXR983087:RXS983087 SHN983087:SHO983087 SRJ983087:SRK983087 TBF983087:TBG983087 TLB983087:TLC983087 TUX983087:TUY983087 UET983087:UEU983087 UOP983087:UOQ983087 UYL983087:UYM983087 VIH983087:VII983087 VSD983087:VSE983087 WBZ983087:WCA983087 WLV983087:WLW983087 WVR983087:WVS983087 G52:H56" xr:uid="{00000000-0002-0000-0000-000002000000}">
      <formula1>$AD$24:$AD$25</formula1>
    </dataValidation>
    <dataValidation type="list" allowBlank="1" showInputMessage="1" showErrorMessage="1" sqref="WVN983061:WVT983061 JB21:JH21 SX21:TD21 ACT21:ACZ21 AMP21:AMV21 AWL21:AWR21 BGH21:BGN21 BQD21:BQJ21 BZZ21:CAF21 CJV21:CKB21 CTR21:CTX21 DDN21:DDT21 DNJ21:DNP21 DXF21:DXL21 EHB21:EHH21 EQX21:ERD21 FAT21:FAZ21 FKP21:FKV21 FUL21:FUR21 GEH21:GEN21 GOD21:GOJ21 GXZ21:GYF21 HHV21:HIB21 HRR21:HRX21 IBN21:IBT21 ILJ21:ILP21 IVF21:IVL21 JFB21:JFH21 JOX21:JPD21 JYT21:JYZ21 KIP21:KIV21 KSL21:KSR21 LCH21:LCN21 LMD21:LMJ21 LVZ21:LWF21 MFV21:MGB21 MPR21:MPX21 MZN21:MZT21 NJJ21:NJP21 NTF21:NTL21 ODB21:ODH21 OMX21:OND21 OWT21:OWZ21 PGP21:PGV21 PQL21:PQR21 QAH21:QAN21 QKD21:QKJ21 QTZ21:QUF21 RDV21:REB21 RNR21:RNX21 RXN21:RXT21 SHJ21:SHP21 SRF21:SRL21 TBB21:TBH21 TKX21:TLD21 TUT21:TUZ21 UEP21:UEV21 UOL21:UOR21 UYH21:UYN21 VID21:VIJ21 VRZ21:VSF21 WBV21:WCB21 WLR21:WLX21 WVN21:WVT21 F65557:L65557 JB65557:JH65557 SX65557:TD65557 ACT65557:ACZ65557 AMP65557:AMV65557 AWL65557:AWR65557 BGH65557:BGN65557 BQD65557:BQJ65557 BZZ65557:CAF65557 CJV65557:CKB65557 CTR65557:CTX65557 DDN65557:DDT65557 DNJ65557:DNP65557 DXF65557:DXL65557 EHB65557:EHH65557 EQX65557:ERD65557 FAT65557:FAZ65557 FKP65557:FKV65557 FUL65557:FUR65557 GEH65557:GEN65557 GOD65557:GOJ65557 GXZ65557:GYF65557 HHV65557:HIB65557 HRR65557:HRX65557 IBN65557:IBT65557 ILJ65557:ILP65557 IVF65557:IVL65557 JFB65557:JFH65557 JOX65557:JPD65557 JYT65557:JYZ65557 KIP65557:KIV65557 KSL65557:KSR65557 LCH65557:LCN65557 LMD65557:LMJ65557 LVZ65557:LWF65557 MFV65557:MGB65557 MPR65557:MPX65557 MZN65557:MZT65557 NJJ65557:NJP65557 NTF65557:NTL65557 ODB65557:ODH65557 OMX65557:OND65557 OWT65557:OWZ65557 PGP65557:PGV65557 PQL65557:PQR65557 QAH65557:QAN65557 QKD65557:QKJ65557 QTZ65557:QUF65557 RDV65557:REB65557 RNR65557:RNX65557 RXN65557:RXT65557 SHJ65557:SHP65557 SRF65557:SRL65557 TBB65557:TBH65557 TKX65557:TLD65557 TUT65557:TUZ65557 UEP65557:UEV65557 UOL65557:UOR65557 UYH65557:UYN65557 VID65557:VIJ65557 VRZ65557:VSF65557 WBV65557:WCB65557 WLR65557:WLX65557 WVN65557:WVT65557 F131093:L131093 JB131093:JH131093 SX131093:TD131093 ACT131093:ACZ131093 AMP131093:AMV131093 AWL131093:AWR131093 BGH131093:BGN131093 BQD131093:BQJ131093 BZZ131093:CAF131093 CJV131093:CKB131093 CTR131093:CTX131093 DDN131093:DDT131093 DNJ131093:DNP131093 DXF131093:DXL131093 EHB131093:EHH131093 EQX131093:ERD131093 FAT131093:FAZ131093 FKP131093:FKV131093 FUL131093:FUR131093 GEH131093:GEN131093 GOD131093:GOJ131093 GXZ131093:GYF131093 HHV131093:HIB131093 HRR131093:HRX131093 IBN131093:IBT131093 ILJ131093:ILP131093 IVF131093:IVL131093 JFB131093:JFH131093 JOX131093:JPD131093 JYT131093:JYZ131093 KIP131093:KIV131093 KSL131093:KSR131093 LCH131093:LCN131093 LMD131093:LMJ131093 LVZ131093:LWF131093 MFV131093:MGB131093 MPR131093:MPX131093 MZN131093:MZT131093 NJJ131093:NJP131093 NTF131093:NTL131093 ODB131093:ODH131093 OMX131093:OND131093 OWT131093:OWZ131093 PGP131093:PGV131093 PQL131093:PQR131093 QAH131093:QAN131093 QKD131093:QKJ131093 QTZ131093:QUF131093 RDV131093:REB131093 RNR131093:RNX131093 RXN131093:RXT131093 SHJ131093:SHP131093 SRF131093:SRL131093 TBB131093:TBH131093 TKX131093:TLD131093 TUT131093:TUZ131093 UEP131093:UEV131093 UOL131093:UOR131093 UYH131093:UYN131093 VID131093:VIJ131093 VRZ131093:VSF131093 WBV131093:WCB131093 WLR131093:WLX131093 WVN131093:WVT131093 F196629:L196629 JB196629:JH196629 SX196629:TD196629 ACT196629:ACZ196629 AMP196629:AMV196629 AWL196629:AWR196629 BGH196629:BGN196629 BQD196629:BQJ196629 BZZ196629:CAF196629 CJV196629:CKB196629 CTR196629:CTX196629 DDN196629:DDT196629 DNJ196629:DNP196629 DXF196629:DXL196629 EHB196629:EHH196629 EQX196629:ERD196629 FAT196629:FAZ196629 FKP196629:FKV196629 FUL196629:FUR196629 GEH196629:GEN196629 GOD196629:GOJ196629 GXZ196629:GYF196629 HHV196629:HIB196629 HRR196629:HRX196629 IBN196629:IBT196629 ILJ196629:ILP196629 IVF196629:IVL196629 JFB196629:JFH196629 JOX196629:JPD196629 JYT196629:JYZ196629 KIP196629:KIV196629 KSL196629:KSR196629 LCH196629:LCN196629 LMD196629:LMJ196629 LVZ196629:LWF196629 MFV196629:MGB196629 MPR196629:MPX196629 MZN196629:MZT196629 NJJ196629:NJP196629 NTF196629:NTL196629 ODB196629:ODH196629 OMX196629:OND196629 OWT196629:OWZ196629 PGP196629:PGV196629 PQL196629:PQR196629 QAH196629:QAN196629 QKD196629:QKJ196629 QTZ196629:QUF196629 RDV196629:REB196629 RNR196629:RNX196629 RXN196629:RXT196629 SHJ196629:SHP196629 SRF196629:SRL196629 TBB196629:TBH196629 TKX196629:TLD196629 TUT196629:TUZ196629 UEP196629:UEV196629 UOL196629:UOR196629 UYH196629:UYN196629 VID196629:VIJ196629 VRZ196629:VSF196629 WBV196629:WCB196629 WLR196629:WLX196629 WVN196629:WVT196629 F262165:L262165 JB262165:JH262165 SX262165:TD262165 ACT262165:ACZ262165 AMP262165:AMV262165 AWL262165:AWR262165 BGH262165:BGN262165 BQD262165:BQJ262165 BZZ262165:CAF262165 CJV262165:CKB262165 CTR262165:CTX262165 DDN262165:DDT262165 DNJ262165:DNP262165 DXF262165:DXL262165 EHB262165:EHH262165 EQX262165:ERD262165 FAT262165:FAZ262165 FKP262165:FKV262165 FUL262165:FUR262165 GEH262165:GEN262165 GOD262165:GOJ262165 GXZ262165:GYF262165 HHV262165:HIB262165 HRR262165:HRX262165 IBN262165:IBT262165 ILJ262165:ILP262165 IVF262165:IVL262165 JFB262165:JFH262165 JOX262165:JPD262165 JYT262165:JYZ262165 KIP262165:KIV262165 KSL262165:KSR262165 LCH262165:LCN262165 LMD262165:LMJ262165 LVZ262165:LWF262165 MFV262165:MGB262165 MPR262165:MPX262165 MZN262165:MZT262165 NJJ262165:NJP262165 NTF262165:NTL262165 ODB262165:ODH262165 OMX262165:OND262165 OWT262165:OWZ262165 PGP262165:PGV262165 PQL262165:PQR262165 QAH262165:QAN262165 QKD262165:QKJ262165 QTZ262165:QUF262165 RDV262165:REB262165 RNR262165:RNX262165 RXN262165:RXT262165 SHJ262165:SHP262165 SRF262165:SRL262165 TBB262165:TBH262165 TKX262165:TLD262165 TUT262165:TUZ262165 UEP262165:UEV262165 UOL262165:UOR262165 UYH262165:UYN262165 VID262165:VIJ262165 VRZ262165:VSF262165 WBV262165:WCB262165 WLR262165:WLX262165 WVN262165:WVT262165 F327701:L327701 JB327701:JH327701 SX327701:TD327701 ACT327701:ACZ327701 AMP327701:AMV327701 AWL327701:AWR327701 BGH327701:BGN327701 BQD327701:BQJ327701 BZZ327701:CAF327701 CJV327701:CKB327701 CTR327701:CTX327701 DDN327701:DDT327701 DNJ327701:DNP327701 DXF327701:DXL327701 EHB327701:EHH327701 EQX327701:ERD327701 FAT327701:FAZ327701 FKP327701:FKV327701 FUL327701:FUR327701 GEH327701:GEN327701 GOD327701:GOJ327701 GXZ327701:GYF327701 HHV327701:HIB327701 HRR327701:HRX327701 IBN327701:IBT327701 ILJ327701:ILP327701 IVF327701:IVL327701 JFB327701:JFH327701 JOX327701:JPD327701 JYT327701:JYZ327701 KIP327701:KIV327701 KSL327701:KSR327701 LCH327701:LCN327701 LMD327701:LMJ327701 LVZ327701:LWF327701 MFV327701:MGB327701 MPR327701:MPX327701 MZN327701:MZT327701 NJJ327701:NJP327701 NTF327701:NTL327701 ODB327701:ODH327701 OMX327701:OND327701 OWT327701:OWZ327701 PGP327701:PGV327701 PQL327701:PQR327701 QAH327701:QAN327701 QKD327701:QKJ327701 QTZ327701:QUF327701 RDV327701:REB327701 RNR327701:RNX327701 RXN327701:RXT327701 SHJ327701:SHP327701 SRF327701:SRL327701 TBB327701:TBH327701 TKX327701:TLD327701 TUT327701:TUZ327701 UEP327701:UEV327701 UOL327701:UOR327701 UYH327701:UYN327701 VID327701:VIJ327701 VRZ327701:VSF327701 WBV327701:WCB327701 WLR327701:WLX327701 WVN327701:WVT327701 F393237:L393237 JB393237:JH393237 SX393237:TD393237 ACT393237:ACZ393237 AMP393237:AMV393237 AWL393237:AWR393237 BGH393237:BGN393237 BQD393237:BQJ393237 BZZ393237:CAF393237 CJV393237:CKB393237 CTR393237:CTX393237 DDN393237:DDT393237 DNJ393237:DNP393237 DXF393237:DXL393237 EHB393237:EHH393237 EQX393237:ERD393237 FAT393237:FAZ393237 FKP393237:FKV393237 FUL393237:FUR393237 GEH393237:GEN393237 GOD393237:GOJ393237 GXZ393237:GYF393237 HHV393237:HIB393237 HRR393237:HRX393237 IBN393237:IBT393237 ILJ393237:ILP393237 IVF393237:IVL393237 JFB393237:JFH393237 JOX393237:JPD393237 JYT393237:JYZ393237 KIP393237:KIV393237 KSL393237:KSR393237 LCH393237:LCN393237 LMD393237:LMJ393237 LVZ393237:LWF393237 MFV393237:MGB393237 MPR393237:MPX393237 MZN393237:MZT393237 NJJ393237:NJP393237 NTF393237:NTL393237 ODB393237:ODH393237 OMX393237:OND393237 OWT393237:OWZ393237 PGP393237:PGV393237 PQL393237:PQR393237 QAH393237:QAN393237 QKD393237:QKJ393237 QTZ393237:QUF393237 RDV393237:REB393237 RNR393237:RNX393237 RXN393237:RXT393237 SHJ393237:SHP393237 SRF393237:SRL393237 TBB393237:TBH393237 TKX393237:TLD393237 TUT393237:TUZ393237 UEP393237:UEV393237 UOL393237:UOR393237 UYH393237:UYN393237 VID393237:VIJ393237 VRZ393237:VSF393237 WBV393237:WCB393237 WLR393237:WLX393237 WVN393237:WVT393237 F458773:L458773 JB458773:JH458773 SX458773:TD458773 ACT458773:ACZ458773 AMP458773:AMV458773 AWL458773:AWR458773 BGH458773:BGN458773 BQD458773:BQJ458773 BZZ458773:CAF458773 CJV458773:CKB458773 CTR458773:CTX458773 DDN458773:DDT458773 DNJ458773:DNP458773 DXF458773:DXL458773 EHB458773:EHH458773 EQX458773:ERD458773 FAT458773:FAZ458773 FKP458773:FKV458773 FUL458773:FUR458773 GEH458773:GEN458773 GOD458773:GOJ458773 GXZ458773:GYF458773 HHV458773:HIB458773 HRR458773:HRX458773 IBN458773:IBT458773 ILJ458773:ILP458773 IVF458773:IVL458773 JFB458773:JFH458773 JOX458773:JPD458773 JYT458773:JYZ458773 KIP458773:KIV458773 KSL458773:KSR458773 LCH458773:LCN458773 LMD458773:LMJ458773 LVZ458773:LWF458773 MFV458773:MGB458773 MPR458773:MPX458773 MZN458773:MZT458773 NJJ458773:NJP458773 NTF458773:NTL458773 ODB458773:ODH458773 OMX458773:OND458773 OWT458773:OWZ458773 PGP458773:PGV458773 PQL458773:PQR458773 QAH458773:QAN458773 QKD458773:QKJ458773 QTZ458773:QUF458773 RDV458773:REB458773 RNR458773:RNX458773 RXN458773:RXT458773 SHJ458773:SHP458773 SRF458773:SRL458773 TBB458773:TBH458773 TKX458773:TLD458773 TUT458773:TUZ458773 UEP458773:UEV458773 UOL458773:UOR458773 UYH458773:UYN458773 VID458773:VIJ458773 VRZ458773:VSF458773 WBV458773:WCB458773 WLR458773:WLX458773 WVN458773:WVT458773 F524309:L524309 JB524309:JH524309 SX524309:TD524309 ACT524309:ACZ524309 AMP524309:AMV524309 AWL524309:AWR524309 BGH524309:BGN524309 BQD524309:BQJ524309 BZZ524309:CAF524309 CJV524309:CKB524309 CTR524309:CTX524309 DDN524309:DDT524309 DNJ524309:DNP524309 DXF524309:DXL524309 EHB524309:EHH524309 EQX524309:ERD524309 FAT524309:FAZ524309 FKP524309:FKV524309 FUL524309:FUR524309 GEH524309:GEN524309 GOD524309:GOJ524309 GXZ524309:GYF524309 HHV524309:HIB524309 HRR524309:HRX524309 IBN524309:IBT524309 ILJ524309:ILP524309 IVF524309:IVL524309 JFB524309:JFH524309 JOX524309:JPD524309 JYT524309:JYZ524309 KIP524309:KIV524309 KSL524309:KSR524309 LCH524309:LCN524309 LMD524309:LMJ524309 LVZ524309:LWF524309 MFV524309:MGB524309 MPR524309:MPX524309 MZN524309:MZT524309 NJJ524309:NJP524309 NTF524309:NTL524309 ODB524309:ODH524309 OMX524309:OND524309 OWT524309:OWZ524309 PGP524309:PGV524309 PQL524309:PQR524309 QAH524309:QAN524309 QKD524309:QKJ524309 QTZ524309:QUF524309 RDV524309:REB524309 RNR524309:RNX524309 RXN524309:RXT524309 SHJ524309:SHP524309 SRF524309:SRL524309 TBB524309:TBH524309 TKX524309:TLD524309 TUT524309:TUZ524309 UEP524309:UEV524309 UOL524309:UOR524309 UYH524309:UYN524309 VID524309:VIJ524309 VRZ524309:VSF524309 WBV524309:WCB524309 WLR524309:WLX524309 WVN524309:WVT524309 F589845:L589845 JB589845:JH589845 SX589845:TD589845 ACT589845:ACZ589845 AMP589845:AMV589845 AWL589845:AWR589845 BGH589845:BGN589845 BQD589845:BQJ589845 BZZ589845:CAF589845 CJV589845:CKB589845 CTR589845:CTX589845 DDN589845:DDT589845 DNJ589845:DNP589845 DXF589845:DXL589845 EHB589845:EHH589845 EQX589845:ERD589845 FAT589845:FAZ589845 FKP589845:FKV589845 FUL589845:FUR589845 GEH589845:GEN589845 GOD589845:GOJ589845 GXZ589845:GYF589845 HHV589845:HIB589845 HRR589845:HRX589845 IBN589845:IBT589845 ILJ589845:ILP589845 IVF589845:IVL589845 JFB589845:JFH589845 JOX589845:JPD589845 JYT589845:JYZ589845 KIP589845:KIV589845 KSL589845:KSR589845 LCH589845:LCN589845 LMD589845:LMJ589845 LVZ589845:LWF589845 MFV589845:MGB589845 MPR589845:MPX589845 MZN589845:MZT589845 NJJ589845:NJP589845 NTF589845:NTL589845 ODB589845:ODH589845 OMX589845:OND589845 OWT589845:OWZ589845 PGP589845:PGV589845 PQL589845:PQR589845 QAH589845:QAN589845 QKD589845:QKJ589845 QTZ589845:QUF589845 RDV589845:REB589845 RNR589845:RNX589845 RXN589845:RXT589845 SHJ589845:SHP589845 SRF589845:SRL589845 TBB589845:TBH589845 TKX589845:TLD589845 TUT589845:TUZ589845 UEP589845:UEV589845 UOL589845:UOR589845 UYH589845:UYN589845 VID589845:VIJ589845 VRZ589845:VSF589845 WBV589845:WCB589845 WLR589845:WLX589845 WVN589845:WVT589845 F655381:L655381 JB655381:JH655381 SX655381:TD655381 ACT655381:ACZ655381 AMP655381:AMV655381 AWL655381:AWR655381 BGH655381:BGN655381 BQD655381:BQJ655381 BZZ655381:CAF655381 CJV655381:CKB655381 CTR655381:CTX655381 DDN655381:DDT655381 DNJ655381:DNP655381 DXF655381:DXL655381 EHB655381:EHH655381 EQX655381:ERD655381 FAT655381:FAZ655381 FKP655381:FKV655381 FUL655381:FUR655381 GEH655381:GEN655381 GOD655381:GOJ655381 GXZ655381:GYF655381 HHV655381:HIB655381 HRR655381:HRX655381 IBN655381:IBT655381 ILJ655381:ILP655381 IVF655381:IVL655381 JFB655381:JFH655381 JOX655381:JPD655381 JYT655381:JYZ655381 KIP655381:KIV655381 KSL655381:KSR655381 LCH655381:LCN655381 LMD655381:LMJ655381 LVZ655381:LWF655381 MFV655381:MGB655381 MPR655381:MPX655381 MZN655381:MZT655381 NJJ655381:NJP655381 NTF655381:NTL655381 ODB655381:ODH655381 OMX655381:OND655381 OWT655381:OWZ655381 PGP655381:PGV655381 PQL655381:PQR655381 QAH655381:QAN655381 QKD655381:QKJ655381 QTZ655381:QUF655381 RDV655381:REB655381 RNR655381:RNX655381 RXN655381:RXT655381 SHJ655381:SHP655381 SRF655381:SRL655381 TBB655381:TBH655381 TKX655381:TLD655381 TUT655381:TUZ655381 UEP655381:UEV655381 UOL655381:UOR655381 UYH655381:UYN655381 VID655381:VIJ655381 VRZ655381:VSF655381 WBV655381:WCB655381 WLR655381:WLX655381 WVN655381:WVT655381 F720917:L720917 JB720917:JH720917 SX720917:TD720917 ACT720917:ACZ720917 AMP720917:AMV720917 AWL720917:AWR720917 BGH720917:BGN720917 BQD720917:BQJ720917 BZZ720917:CAF720917 CJV720917:CKB720917 CTR720917:CTX720917 DDN720917:DDT720917 DNJ720917:DNP720917 DXF720917:DXL720917 EHB720917:EHH720917 EQX720917:ERD720917 FAT720917:FAZ720917 FKP720917:FKV720917 FUL720917:FUR720917 GEH720917:GEN720917 GOD720917:GOJ720917 GXZ720917:GYF720917 HHV720917:HIB720917 HRR720917:HRX720917 IBN720917:IBT720917 ILJ720917:ILP720917 IVF720917:IVL720917 JFB720917:JFH720917 JOX720917:JPD720917 JYT720917:JYZ720917 KIP720917:KIV720917 KSL720917:KSR720917 LCH720917:LCN720917 LMD720917:LMJ720917 LVZ720917:LWF720917 MFV720917:MGB720917 MPR720917:MPX720917 MZN720917:MZT720917 NJJ720917:NJP720917 NTF720917:NTL720917 ODB720917:ODH720917 OMX720917:OND720917 OWT720917:OWZ720917 PGP720917:PGV720917 PQL720917:PQR720917 QAH720917:QAN720917 QKD720917:QKJ720917 QTZ720917:QUF720917 RDV720917:REB720917 RNR720917:RNX720917 RXN720917:RXT720917 SHJ720917:SHP720917 SRF720917:SRL720917 TBB720917:TBH720917 TKX720917:TLD720917 TUT720917:TUZ720917 UEP720917:UEV720917 UOL720917:UOR720917 UYH720917:UYN720917 VID720917:VIJ720917 VRZ720917:VSF720917 WBV720917:WCB720917 WLR720917:WLX720917 WVN720917:WVT720917 F786453:L786453 JB786453:JH786453 SX786453:TD786453 ACT786453:ACZ786453 AMP786453:AMV786453 AWL786453:AWR786453 BGH786453:BGN786453 BQD786453:BQJ786453 BZZ786453:CAF786453 CJV786453:CKB786453 CTR786453:CTX786453 DDN786453:DDT786453 DNJ786453:DNP786453 DXF786453:DXL786453 EHB786453:EHH786453 EQX786453:ERD786453 FAT786453:FAZ786453 FKP786453:FKV786453 FUL786453:FUR786453 GEH786453:GEN786453 GOD786453:GOJ786453 GXZ786453:GYF786453 HHV786453:HIB786453 HRR786453:HRX786453 IBN786453:IBT786453 ILJ786453:ILP786453 IVF786453:IVL786453 JFB786453:JFH786453 JOX786453:JPD786453 JYT786453:JYZ786453 KIP786453:KIV786453 KSL786453:KSR786453 LCH786453:LCN786453 LMD786453:LMJ786453 LVZ786453:LWF786453 MFV786453:MGB786453 MPR786453:MPX786453 MZN786453:MZT786453 NJJ786453:NJP786453 NTF786453:NTL786453 ODB786453:ODH786453 OMX786453:OND786453 OWT786453:OWZ786453 PGP786453:PGV786453 PQL786453:PQR786453 QAH786453:QAN786453 QKD786453:QKJ786453 QTZ786453:QUF786453 RDV786453:REB786453 RNR786453:RNX786453 RXN786453:RXT786453 SHJ786453:SHP786453 SRF786453:SRL786453 TBB786453:TBH786453 TKX786453:TLD786453 TUT786453:TUZ786453 UEP786453:UEV786453 UOL786453:UOR786453 UYH786453:UYN786453 VID786453:VIJ786453 VRZ786453:VSF786453 WBV786453:WCB786453 WLR786453:WLX786453 WVN786453:WVT786453 F851989:L851989 JB851989:JH851989 SX851989:TD851989 ACT851989:ACZ851989 AMP851989:AMV851989 AWL851989:AWR851989 BGH851989:BGN851989 BQD851989:BQJ851989 BZZ851989:CAF851989 CJV851989:CKB851989 CTR851989:CTX851989 DDN851989:DDT851989 DNJ851989:DNP851989 DXF851989:DXL851989 EHB851989:EHH851989 EQX851989:ERD851989 FAT851989:FAZ851989 FKP851989:FKV851989 FUL851989:FUR851989 GEH851989:GEN851989 GOD851989:GOJ851989 GXZ851989:GYF851989 HHV851989:HIB851989 HRR851989:HRX851989 IBN851989:IBT851989 ILJ851989:ILP851989 IVF851989:IVL851989 JFB851989:JFH851989 JOX851989:JPD851989 JYT851989:JYZ851989 KIP851989:KIV851989 KSL851989:KSR851989 LCH851989:LCN851989 LMD851989:LMJ851989 LVZ851989:LWF851989 MFV851989:MGB851989 MPR851989:MPX851989 MZN851989:MZT851989 NJJ851989:NJP851989 NTF851989:NTL851989 ODB851989:ODH851989 OMX851989:OND851989 OWT851989:OWZ851989 PGP851989:PGV851989 PQL851989:PQR851989 QAH851989:QAN851989 QKD851989:QKJ851989 QTZ851989:QUF851989 RDV851989:REB851989 RNR851989:RNX851989 RXN851989:RXT851989 SHJ851989:SHP851989 SRF851989:SRL851989 TBB851989:TBH851989 TKX851989:TLD851989 TUT851989:TUZ851989 UEP851989:UEV851989 UOL851989:UOR851989 UYH851989:UYN851989 VID851989:VIJ851989 VRZ851989:VSF851989 WBV851989:WCB851989 WLR851989:WLX851989 WVN851989:WVT851989 F917525:L917525 JB917525:JH917525 SX917525:TD917525 ACT917525:ACZ917525 AMP917525:AMV917525 AWL917525:AWR917525 BGH917525:BGN917525 BQD917525:BQJ917525 BZZ917525:CAF917525 CJV917525:CKB917525 CTR917525:CTX917525 DDN917525:DDT917525 DNJ917525:DNP917525 DXF917525:DXL917525 EHB917525:EHH917525 EQX917525:ERD917525 FAT917525:FAZ917525 FKP917525:FKV917525 FUL917525:FUR917525 GEH917525:GEN917525 GOD917525:GOJ917525 GXZ917525:GYF917525 HHV917525:HIB917525 HRR917525:HRX917525 IBN917525:IBT917525 ILJ917525:ILP917525 IVF917525:IVL917525 JFB917525:JFH917525 JOX917525:JPD917525 JYT917525:JYZ917525 KIP917525:KIV917525 KSL917525:KSR917525 LCH917525:LCN917525 LMD917525:LMJ917525 LVZ917525:LWF917525 MFV917525:MGB917525 MPR917525:MPX917525 MZN917525:MZT917525 NJJ917525:NJP917525 NTF917525:NTL917525 ODB917525:ODH917525 OMX917525:OND917525 OWT917525:OWZ917525 PGP917525:PGV917525 PQL917525:PQR917525 QAH917525:QAN917525 QKD917525:QKJ917525 QTZ917525:QUF917525 RDV917525:REB917525 RNR917525:RNX917525 RXN917525:RXT917525 SHJ917525:SHP917525 SRF917525:SRL917525 TBB917525:TBH917525 TKX917525:TLD917525 TUT917525:TUZ917525 UEP917525:UEV917525 UOL917525:UOR917525 UYH917525:UYN917525 VID917525:VIJ917525 VRZ917525:VSF917525 WBV917525:WCB917525 WLR917525:WLX917525 WVN917525:WVT917525 F983061:L983061 JB983061:JH983061 SX983061:TD983061 ACT983061:ACZ983061 AMP983061:AMV983061 AWL983061:AWR983061 BGH983061:BGN983061 BQD983061:BQJ983061 BZZ983061:CAF983061 CJV983061:CKB983061 CTR983061:CTX983061 DDN983061:DDT983061 DNJ983061:DNP983061 DXF983061:DXL983061 EHB983061:EHH983061 EQX983061:ERD983061 FAT983061:FAZ983061 FKP983061:FKV983061 FUL983061:FUR983061 GEH983061:GEN983061 GOD983061:GOJ983061 GXZ983061:GYF983061 HHV983061:HIB983061 HRR983061:HRX983061 IBN983061:IBT983061 ILJ983061:ILP983061 IVF983061:IVL983061 JFB983061:JFH983061 JOX983061:JPD983061 JYT983061:JYZ983061 KIP983061:KIV983061 KSL983061:KSR983061 LCH983061:LCN983061 LMD983061:LMJ983061 LVZ983061:LWF983061 MFV983061:MGB983061 MPR983061:MPX983061 MZN983061:MZT983061 NJJ983061:NJP983061 NTF983061:NTL983061 ODB983061:ODH983061 OMX983061:OND983061 OWT983061:OWZ983061 PGP983061:PGV983061 PQL983061:PQR983061 QAH983061:QAN983061 QKD983061:QKJ983061 QTZ983061:QUF983061 RDV983061:REB983061 RNR983061:RNX983061 RXN983061:RXT983061 SHJ983061:SHP983061 SRF983061:SRL983061 TBB983061:TBH983061 TKX983061:TLD983061 TUT983061:TUZ983061 UEP983061:UEV983061 UOL983061:UOR983061 UYH983061:UYN983061 VID983061:VIJ983061 VRZ983061:VSF983061 WBV983061:WCB983061 WLR983061:WLX983061" xr:uid="{00000000-0002-0000-0000-000003000000}">
      <formula1>$AD$20:$AD$22</formula1>
    </dataValidation>
    <dataValidation errorStyle="information" operator="greaterThan" allowBlank="1" showInputMessage="1" showErrorMessage="1" errorTitle="Uncorrect data" error="Please enter a date." sqref="U62:V68 JQ62:JR68 TM62:TN68 ADI62:ADJ68 ANE62:ANF68 AXA62:AXB68 BGW62:BGX68 BQS62:BQT68 CAO62:CAP68 CKK62:CKL68 CUG62:CUH68 DEC62:DED68 DNY62:DNZ68 DXU62:DXV68 EHQ62:EHR68 ERM62:ERN68 FBI62:FBJ68 FLE62:FLF68 FVA62:FVB68 GEW62:GEX68 GOS62:GOT68 GYO62:GYP68 HIK62:HIL68 HSG62:HSH68 ICC62:ICD68 ILY62:ILZ68 IVU62:IVV68 JFQ62:JFR68 JPM62:JPN68 JZI62:JZJ68 KJE62:KJF68 KTA62:KTB68 LCW62:LCX68 LMS62:LMT68 LWO62:LWP68 MGK62:MGL68 MQG62:MQH68 NAC62:NAD68 NJY62:NJZ68 NTU62:NTV68 ODQ62:ODR68 ONM62:ONN68 OXI62:OXJ68 PHE62:PHF68 PRA62:PRB68 QAW62:QAX68 QKS62:QKT68 QUO62:QUP68 REK62:REL68 ROG62:ROH68 RYC62:RYD68 SHY62:SHZ68 SRU62:SRV68 TBQ62:TBR68 TLM62:TLN68 TVI62:TVJ68 UFE62:UFF68 UPA62:UPB68 UYW62:UYX68 VIS62:VIT68 VSO62:VSP68 WCK62:WCL68 WMG62:WMH68 WWC62:WWD68 U65598:V65604 JQ65598:JR65604 TM65598:TN65604 ADI65598:ADJ65604 ANE65598:ANF65604 AXA65598:AXB65604 BGW65598:BGX65604 BQS65598:BQT65604 CAO65598:CAP65604 CKK65598:CKL65604 CUG65598:CUH65604 DEC65598:DED65604 DNY65598:DNZ65604 DXU65598:DXV65604 EHQ65598:EHR65604 ERM65598:ERN65604 FBI65598:FBJ65604 FLE65598:FLF65604 FVA65598:FVB65604 GEW65598:GEX65604 GOS65598:GOT65604 GYO65598:GYP65604 HIK65598:HIL65604 HSG65598:HSH65604 ICC65598:ICD65604 ILY65598:ILZ65604 IVU65598:IVV65604 JFQ65598:JFR65604 JPM65598:JPN65604 JZI65598:JZJ65604 KJE65598:KJF65604 KTA65598:KTB65604 LCW65598:LCX65604 LMS65598:LMT65604 LWO65598:LWP65604 MGK65598:MGL65604 MQG65598:MQH65604 NAC65598:NAD65604 NJY65598:NJZ65604 NTU65598:NTV65604 ODQ65598:ODR65604 ONM65598:ONN65604 OXI65598:OXJ65604 PHE65598:PHF65604 PRA65598:PRB65604 QAW65598:QAX65604 QKS65598:QKT65604 QUO65598:QUP65604 REK65598:REL65604 ROG65598:ROH65604 RYC65598:RYD65604 SHY65598:SHZ65604 SRU65598:SRV65604 TBQ65598:TBR65604 TLM65598:TLN65604 TVI65598:TVJ65604 UFE65598:UFF65604 UPA65598:UPB65604 UYW65598:UYX65604 VIS65598:VIT65604 VSO65598:VSP65604 WCK65598:WCL65604 WMG65598:WMH65604 WWC65598:WWD65604 U131134:V131140 JQ131134:JR131140 TM131134:TN131140 ADI131134:ADJ131140 ANE131134:ANF131140 AXA131134:AXB131140 BGW131134:BGX131140 BQS131134:BQT131140 CAO131134:CAP131140 CKK131134:CKL131140 CUG131134:CUH131140 DEC131134:DED131140 DNY131134:DNZ131140 DXU131134:DXV131140 EHQ131134:EHR131140 ERM131134:ERN131140 FBI131134:FBJ131140 FLE131134:FLF131140 FVA131134:FVB131140 GEW131134:GEX131140 GOS131134:GOT131140 GYO131134:GYP131140 HIK131134:HIL131140 HSG131134:HSH131140 ICC131134:ICD131140 ILY131134:ILZ131140 IVU131134:IVV131140 JFQ131134:JFR131140 JPM131134:JPN131140 JZI131134:JZJ131140 KJE131134:KJF131140 KTA131134:KTB131140 LCW131134:LCX131140 LMS131134:LMT131140 LWO131134:LWP131140 MGK131134:MGL131140 MQG131134:MQH131140 NAC131134:NAD131140 NJY131134:NJZ131140 NTU131134:NTV131140 ODQ131134:ODR131140 ONM131134:ONN131140 OXI131134:OXJ131140 PHE131134:PHF131140 PRA131134:PRB131140 QAW131134:QAX131140 QKS131134:QKT131140 QUO131134:QUP131140 REK131134:REL131140 ROG131134:ROH131140 RYC131134:RYD131140 SHY131134:SHZ131140 SRU131134:SRV131140 TBQ131134:TBR131140 TLM131134:TLN131140 TVI131134:TVJ131140 UFE131134:UFF131140 UPA131134:UPB131140 UYW131134:UYX131140 VIS131134:VIT131140 VSO131134:VSP131140 WCK131134:WCL131140 WMG131134:WMH131140 WWC131134:WWD131140 U196670:V196676 JQ196670:JR196676 TM196670:TN196676 ADI196670:ADJ196676 ANE196670:ANF196676 AXA196670:AXB196676 BGW196670:BGX196676 BQS196670:BQT196676 CAO196670:CAP196676 CKK196670:CKL196676 CUG196670:CUH196676 DEC196670:DED196676 DNY196670:DNZ196676 DXU196670:DXV196676 EHQ196670:EHR196676 ERM196670:ERN196676 FBI196670:FBJ196676 FLE196670:FLF196676 FVA196670:FVB196676 GEW196670:GEX196676 GOS196670:GOT196676 GYO196670:GYP196676 HIK196670:HIL196676 HSG196670:HSH196676 ICC196670:ICD196676 ILY196670:ILZ196676 IVU196670:IVV196676 JFQ196670:JFR196676 JPM196670:JPN196676 JZI196670:JZJ196676 KJE196670:KJF196676 KTA196670:KTB196676 LCW196670:LCX196676 LMS196670:LMT196676 LWO196670:LWP196676 MGK196670:MGL196676 MQG196670:MQH196676 NAC196670:NAD196676 NJY196670:NJZ196676 NTU196670:NTV196676 ODQ196670:ODR196676 ONM196670:ONN196676 OXI196670:OXJ196676 PHE196670:PHF196676 PRA196670:PRB196676 QAW196670:QAX196676 QKS196670:QKT196676 QUO196670:QUP196676 REK196670:REL196676 ROG196670:ROH196676 RYC196670:RYD196676 SHY196670:SHZ196676 SRU196670:SRV196676 TBQ196670:TBR196676 TLM196670:TLN196676 TVI196670:TVJ196676 UFE196670:UFF196676 UPA196670:UPB196676 UYW196670:UYX196676 VIS196670:VIT196676 VSO196670:VSP196676 WCK196670:WCL196676 WMG196670:WMH196676 WWC196670:WWD196676 U262206:V262212 JQ262206:JR262212 TM262206:TN262212 ADI262206:ADJ262212 ANE262206:ANF262212 AXA262206:AXB262212 BGW262206:BGX262212 BQS262206:BQT262212 CAO262206:CAP262212 CKK262206:CKL262212 CUG262206:CUH262212 DEC262206:DED262212 DNY262206:DNZ262212 DXU262206:DXV262212 EHQ262206:EHR262212 ERM262206:ERN262212 FBI262206:FBJ262212 FLE262206:FLF262212 FVA262206:FVB262212 GEW262206:GEX262212 GOS262206:GOT262212 GYO262206:GYP262212 HIK262206:HIL262212 HSG262206:HSH262212 ICC262206:ICD262212 ILY262206:ILZ262212 IVU262206:IVV262212 JFQ262206:JFR262212 JPM262206:JPN262212 JZI262206:JZJ262212 KJE262206:KJF262212 KTA262206:KTB262212 LCW262206:LCX262212 LMS262206:LMT262212 LWO262206:LWP262212 MGK262206:MGL262212 MQG262206:MQH262212 NAC262206:NAD262212 NJY262206:NJZ262212 NTU262206:NTV262212 ODQ262206:ODR262212 ONM262206:ONN262212 OXI262206:OXJ262212 PHE262206:PHF262212 PRA262206:PRB262212 QAW262206:QAX262212 QKS262206:QKT262212 QUO262206:QUP262212 REK262206:REL262212 ROG262206:ROH262212 RYC262206:RYD262212 SHY262206:SHZ262212 SRU262206:SRV262212 TBQ262206:TBR262212 TLM262206:TLN262212 TVI262206:TVJ262212 UFE262206:UFF262212 UPA262206:UPB262212 UYW262206:UYX262212 VIS262206:VIT262212 VSO262206:VSP262212 WCK262206:WCL262212 WMG262206:WMH262212 WWC262206:WWD262212 U327742:V327748 JQ327742:JR327748 TM327742:TN327748 ADI327742:ADJ327748 ANE327742:ANF327748 AXA327742:AXB327748 BGW327742:BGX327748 BQS327742:BQT327748 CAO327742:CAP327748 CKK327742:CKL327748 CUG327742:CUH327748 DEC327742:DED327748 DNY327742:DNZ327748 DXU327742:DXV327748 EHQ327742:EHR327748 ERM327742:ERN327748 FBI327742:FBJ327748 FLE327742:FLF327748 FVA327742:FVB327748 GEW327742:GEX327748 GOS327742:GOT327748 GYO327742:GYP327748 HIK327742:HIL327748 HSG327742:HSH327748 ICC327742:ICD327748 ILY327742:ILZ327748 IVU327742:IVV327748 JFQ327742:JFR327748 JPM327742:JPN327748 JZI327742:JZJ327748 KJE327742:KJF327748 KTA327742:KTB327748 LCW327742:LCX327748 LMS327742:LMT327748 LWO327742:LWP327748 MGK327742:MGL327748 MQG327742:MQH327748 NAC327742:NAD327748 NJY327742:NJZ327748 NTU327742:NTV327748 ODQ327742:ODR327748 ONM327742:ONN327748 OXI327742:OXJ327748 PHE327742:PHF327748 PRA327742:PRB327748 QAW327742:QAX327748 QKS327742:QKT327748 QUO327742:QUP327748 REK327742:REL327748 ROG327742:ROH327748 RYC327742:RYD327748 SHY327742:SHZ327748 SRU327742:SRV327748 TBQ327742:TBR327748 TLM327742:TLN327748 TVI327742:TVJ327748 UFE327742:UFF327748 UPA327742:UPB327748 UYW327742:UYX327748 VIS327742:VIT327748 VSO327742:VSP327748 WCK327742:WCL327748 WMG327742:WMH327748 WWC327742:WWD327748 U393278:V393284 JQ393278:JR393284 TM393278:TN393284 ADI393278:ADJ393284 ANE393278:ANF393284 AXA393278:AXB393284 BGW393278:BGX393284 BQS393278:BQT393284 CAO393278:CAP393284 CKK393278:CKL393284 CUG393278:CUH393284 DEC393278:DED393284 DNY393278:DNZ393284 DXU393278:DXV393284 EHQ393278:EHR393284 ERM393278:ERN393284 FBI393278:FBJ393284 FLE393278:FLF393284 FVA393278:FVB393284 GEW393278:GEX393284 GOS393278:GOT393284 GYO393278:GYP393284 HIK393278:HIL393284 HSG393278:HSH393284 ICC393278:ICD393284 ILY393278:ILZ393284 IVU393278:IVV393284 JFQ393278:JFR393284 JPM393278:JPN393284 JZI393278:JZJ393284 KJE393278:KJF393284 KTA393278:KTB393284 LCW393278:LCX393284 LMS393278:LMT393284 LWO393278:LWP393284 MGK393278:MGL393284 MQG393278:MQH393284 NAC393278:NAD393284 NJY393278:NJZ393284 NTU393278:NTV393284 ODQ393278:ODR393284 ONM393278:ONN393284 OXI393278:OXJ393284 PHE393278:PHF393284 PRA393278:PRB393284 QAW393278:QAX393284 QKS393278:QKT393284 QUO393278:QUP393284 REK393278:REL393284 ROG393278:ROH393284 RYC393278:RYD393284 SHY393278:SHZ393284 SRU393278:SRV393284 TBQ393278:TBR393284 TLM393278:TLN393284 TVI393278:TVJ393284 UFE393278:UFF393284 UPA393278:UPB393284 UYW393278:UYX393284 VIS393278:VIT393284 VSO393278:VSP393284 WCK393278:WCL393284 WMG393278:WMH393284 WWC393278:WWD393284 U458814:V458820 JQ458814:JR458820 TM458814:TN458820 ADI458814:ADJ458820 ANE458814:ANF458820 AXA458814:AXB458820 BGW458814:BGX458820 BQS458814:BQT458820 CAO458814:CAP458820 CKK458814:CKL458820 CUG458814:CUH458820 DEC458814:DED458820 DNY458814:DNZ458820 DXU458814:DXV458820 EHQ458814:EHR458820 ERM458814:ERN458820 FBI458814:FBJ458820 FLE458814:FLF458820 FVA458814:FVB458820 GEW458814:GEX458820 GOS458814:GOT458820 GYO458814:GYP458820 HIK458814:HIL458820 HSG458814:HSH458820 ICC458814:ICD458820 ILY458814:ILZ458820 IVU458814:IVV458820 JFQ458814:JFR458820 JPM458814:JPN458820 JZI458814:JZJ458820 KJE458814:KJF458820 KTA458814:KTB458820 LCW458814:LCX458820 LMS458814:LMT458820 LWO458814:LWP458820 MGK458814:MGL458820 MQG458814:MQH458820 NAC458814:NAD458820 NJY458814:NJZ458820 NTU458814:NTV458820 ODQ458814:ODR458820 ONM458814:ONN458820 OXI458814:OXJ458820 PHE458814:PHF458820 PRA458814:PRB458820 QAW458814:QAX458820 QKS458814:QKT458820 QUO458814:QUP458820 REK458814:REL458820 ROG458814:ROH458820 RYC458814:RYD458820 SHY458814:SHZ458820 SRU458814:SRV458820 TBQ458814:TBR458820 TLM458814:TLN458820 TVI458814:TVJ458820 UFE458814:UFF458820 UPA458814:UPB458820 UYW458814:UYX458820 VIS458814:VIT458820 VSO458814:VSP458820 WCK458814:WCL458820 WMG458814:WMH458820 WWC458814:WWD458820 U524350:V524356 JQ524350:JR524356 TM524350:TN524356 ADI524350:ADJ524356 ANE524350:ANF524356 AXA524350:AXB524356 BGW524350:BGX524356 BQS524350:BQT524356 CAO524350:CAP524356 CKK524350:CKL524356 CUG524350:CUH524356 DEC524350:DED524356 DNY524350:DNZ524356 DXU524350:DXV524356 EHQ524350:EHR524356 ERM524350:ERN524356 FBI524350:FBJ524356 FLE524350:FLF524356 FVA524350:FVB524356 GEW524350:GEX524356 GOS524350:GOT524356 GYO524350:GYP524356 HIK524350:HIL524356 HSG524350:HSH524356 ICC524350:ICD524356 ILY524350:ILZ524356 IVU524350:IVV524356 JFQ524350:JFR524356 JPM524350:JPN524356 JZI524350:JZJ524356 KJE524350:KJF524356 KTA524350:KTB524356 LCW524350:LCX524356 LMS524350:LMT524356 LWO524350:LWP524356 MGK524350:MGL524356 MQG524350:MQH524356 NAC524350:NAD524356 NJY524350:NJZ524356 NTU524350:NTV524356 ODQ524350:ODR524356 ONM524350:ONN524356 OXI524350:OXJ524356 PHE524350:PHF524356 PRA524350:PRB524356 QAW524350:QAX524356 QKS524350:QKT524356 QUO524350:QUP524356 REK524350:REL524356 ROG524350:ROH524356 RYC524350:RYD524356 SHY524350:SHZ524356 SRU524350:SRV524356 TBQ524350:TBR524356 TLM524350:TLN524356 TVI524350:TVJ524356 UFE524350:UFF524356 UPA524350:UPB524356 UYW524350:UYX524356 VIS524350:VIT524356 VSO524350:VSP524356 WCK524350:WCL524356 WMG524350:WMH524356 WWC524350:WWD524356 U589886:V589892 JQ589886:JR589892 TM589886:TN589892 ADI589886:ADJ589892 ANE589886:ANF589892 AXA589886:AXB589892 BGW589886:BGX589892 BQS589886:BQT589892 CAO589886:CAP589892 CKK589886:CKL589892 CUG589886:CUH589892 DEC589886:DED589892 DNY589886:DNZ589892 DXU589886:DXV589892 EHQ589886:EHR589892 ERM589886:ERN589892 FBI589886:FBJ589892 FLE589886:FLF589892 FVA589886:FVB589892 GEW589886:GEX589892 GOS589886:GOT589892 GYO589886:GYP589892 HIK589886:HIL589892 HSG589886:HSH589892 ICC589886:ICD589892 ILY589886:ILZ589892 IVU589886:IVV589892 JFQ589886:JFR589892 JPM589886:JPN589892 JZI589886:JZJ589892 KJE589886:KJF589892 KTA589886:KTB589892 LCW589886:LCX589892 LMS589886:LMT589892 LWO589886:LWP589892 MGK589886:MGL589892 MQG589886:MQH589892 NAC589886:NAD589892 NJY589886:NJZ589892 NTU589886:NTV589892 ODQ589886:ODR589892 ONM589886:ONN589892 OXI589886:OXJ589892 PHE589886:PHF589892 PRA589886:PRB589892 QAW589886:QAX589892 QKS589886:QKT589892 QUO589886:QUP589892 REK589886:REL589892 ROG589886:ROH589892 RYC589886:RYD589892 SHY589886:SHZ589892 SRU589886:SRV589892 TBQ589886:TBR589892 TLM589886:TLN589892 TVI589886:TVJ589892 UFE589886:UFF589892 UPA589886:UPB589892 UYW589886:UYX589892 VIS589886:VIT589892 VSO589886:VSP589892 WCK589886:WCL589892 WMG589886:WMH589892 WWC589886:WWD589892 U655422:V655428 JQ655422:JR655428 TM655422:TN655428 ADI655422:ADJ655428 ANE655422:ANF655428 AXA655422:AXB655428 BGW655422:BGX655428 BQS655422:BQT655428 CAO655422:CAP655428 CKK655422:CKL655428 CUG655422:CUH655428 DEC655422:DED655428 DNY655422:DNZ655428 DXU655422:DXV655428 EHQ655422:EHR655428 ERM655422:ERN655428 FBI655422:FBJ655428 FLE655422:FLF655428 FVA655422:FVB655428 GEW655422:GEX655428 GOS655422:GOT655428 GYO655422:GYP655428 HIK655422:HIL655428 HSG655422:HSH655428 ICC655422:ICD655428 ILY655422:ILZ655428 IVU655422:IVV655428 JFQ655422:JFR655428 JPM655422:JPN655428 JZI655422:JZJ655428 KJE655422:KJF655428 KTA655422:KTB655428 LCW655422:LCX655428 LMS655422:LMT655428 LWO655422:LWP655428 MGK655422:MGL655428 MQG655422:MQH655428 NAC655422:NAD655428 NJY655422:NJZ655428 NTU655422:NTV655428 ODQ655422:ODR655428 ONM655422:ONN655428 OXI655422:OXJ655428 PHE655422:PHF655428 PRA655422:PRB655428 QAW655422:QAX655428 QKS655422:QKT655428 QUO655422:QUP655428 REK655422:REL655428 ROG655422:ROH655428 RYC655422:RYD655428 SHY655422:SHZ655428 SRU655422:SRV655428 TBQ655422:TBR655428 TLM655422:TLN655428 TVI655422:TVJ655428 UFE655422:UFF655428 UPA655422:UPB655428 UYW655422:UYX655428 VIS655422:VIT655428 VSO655422:VSP655428 WCK655422:WCL655428 WMG655422:WMH655428 WWC655422:WWD655428 U720958:V720964 JQ720958:JR720964 TM720958:TN720964 ADI720958:ADJ720964 ANE720958:ANF720964 AXA720958:AXB720964 BGW720958:BGX720964 BQS720958:BQT720964 CAO720958:CAP720964 CKK720958:CKL720964 CUG720958:CUH720964 DEC720958:DED720964 DNY720958:DNZ720964 DXU720958:DXV720964 EHQ720958:EHR720964 ERM720958:ERN720964 FBI720958:FBJ720964 FLE720958:FLF720964 FVA720958:FVB720964 GEW720958:GEX720964 GOS720958:GOT720964 GYO720958:GYP720964 HIK720958:HIL720964 HSG720958:HSH720964 ICC720958:ICD720964 ILY720958:ILZ720964 IVU720958:IVV720964 JFQ720958:JFR720964 JPM720958:JPN720964 JZI720958:JZJ720964 KJE720958:KJF720964 KTA720958:KTB720964 LCW720958:LCX720964 LMS720958:LMT720964 LWO720958:LWP720964 MGK720958:MGL720964 MQG720958:MQH720964 NAC720958:NAD720964 NJY720958:NJZ720964 NTU720958:NTV720964 ODQ720958:ODR720964 ONM720958:ONN720964 OXI720958:OXJ720964 PHE720958:PHF720964 PRA720958:PRB720964 QAW720958:QAX720964 QKS720958:QKT720964 QUO720958:QUP720964 REK720958:REL720964 ROG720958:ROH720964 RYC720958:RYD720964 SHY720958:SHZ720964 SRU720958:SRV720964 TBQ720958:TBR720964 TLM720958:TLN720964 TVI720958:TVJ720964 UFE720958:UFF720964 UPA720958:UPB720964 UYW720958:UYX720964 VIS720958:VIT720964 VSO720958:VSP720964 WCK720958:WCL720964 WMG720958:WMH720964 WWC720958:WWD720964 U786494:V786500 JQ786494:JR786500 TM786494:TN786500 ADI786494:ADJ786500 ANE786494:ANF786500 AXA786494:AXB786500 BGW786494:BGX786500 BQS786494:BQT786500 CAO786494:CAP786500 CKK786494:CKL786500 CUG786494:CUH786500 DEC786494:DED786500 DNY786494:DNZ786500 DXU786494:DXV786500 EHQ786494:EHR786500 ERM786494:ERN786500 FBI786494:FBJ786500 FLE786494:FLF786500 FVA786494:FVB786500 GEW786494:GEX786500 GOS786494:GOT786500 GYO786494:GYP786500 HIK786494:HIL786500 HSG786494:HSH786500 ICC786494:ICD786500 ILY786494:ILZ786500 IVU786494:IVV786500 JFQ786494:JFR786500 JPM786494:JPN786500 JZI786494:JZJ786500 KJE786494:KJF786500 KTA786494:KTB786500 LCW786494:LCX786500 LMS786494:LMT786500 LWO786494:LWP786500 MGK786494:MGL786500 MQG786494:MQH786500 NAC786494:NAD786500 NJY786494:NJZ786500 NTU786494:NTV786500 ODQ786494:ODR786500 ONM786494:ONN786500 OXI786494:OXJ786500 PHE786494:PHF786500 PRA786494:PRB786500 QAW786494:QAX786500 QKS786494:QKT786500 QUO786494:QUP786500 REK786494:REL786500 ROG786494:ROH786500 RYC786494:RYD786500 SHY786494:SHZ786500 SRU786494:SRV786500 TBQ786494:TBR786500 TLM786494:TLN786500 TVI786494:TVJ786500 UFE786494:UFF786500 UPA786494:UPB786500 UYW786494:UYX786500 VIS786494:VIT786500 VSO786494:VSP786500 WCK786494:WCL786500 WMG786494:WMH786500 WWC786494:WWD786500 U852030:V852036 JQ852030:JR852036 TM852030:TN852036 ADI852030:ADJ852036 ANE852030:ANF852036 AXA852030:AXB852036 BGW852030:BGX852036 BQS852030:BQT852036 CAO852030:CAP852036 CKK852030:CKL852036 CUG852030:CUH852036 DEC852030:DED852036 DNY852030:DNZ852036 DXU852030:DXV852036 EHQ852030:EHR852036 ERM852030:ERN852036 FBI852030:FBJ852036 FLE852030:FLF852036 FVA852030:FVB852036 GEW852030:GEX852036 GOS852030:GOT852036 GYO852030:GYP852036 HIK852030:HIL852036 HSG852030:HSH852036 ICC852030:ICD852036 ILY852030:ILZ852036 IVU852030:IVV852036 JFQ852030:JFR852036 JPM852030:JPN852036 JZI852030:JZJ852036 KJE852030:KJF852036 KTA852030:KTB852036 LCW852030:LCX852036 LMS852030:LMT852036 LWO852030:LWP852036 MGK852030:MGL852036 MQG852030:MQH852036 NAC852030:NAD852036 NJY852030:NJZ852036 NTU852030:NTV852036 ODQ852030:ODR852036 ONM852030:ONN852036 OXI852030:OXJ852036 PHE852030:PHF852036 PRA852030:PRB852036 QAW852030:QAX852036 QKS852030:QKT852036 QUO852030:QUP852036 REK852030:REL852036 ROG852030:ROH852036 RYC852030:RYD852036 SHY852030:SHZ852036 SRU852030:SRV852036 TBQ852030:TBR852036 TLM852030:TLN852036 TVI852030:TVJ852036 UFE852030:UFF852036 UPA852030:UPB852036 UYW852030:UYX852036 VIS852030:VIT852036 VSO852030:VSP852036 WCK852030:WCL852036 WMG852030:WMH852036 WWC852030:WWD852036 U917566:V917572 JQ917566:JR917572 TM917566:TN917572 ADI917566:ADJ917572 ANE917566:ANF917572 AXA917566:AXB917572 BGW917566:BGX917572 BQS917566:BQT917572 CAO917566:CAP917572 CKK917566:CKL917572 CUG917566:CUH917572 DEC917566:DED917572 DNY917566:DNZ917572 DXU917566:DXV917572 EHQ917566:EHR917572 ERM917566:ERN917572 FBI917566:FBJ917572 FLE917566:FLF917572 FVA917566:FVB917572 GEW917566:GEX917572 GOS917566:GOT917572 GYO917566:GYP917572 HIK917566:HIL917572 HSG917566:HSH917572 ICC917566:ICD917572 ILY917566:ILZ917572 IVU917566:IVV917572 JFQ917566:JFR917572 JPM917566:JPN917572 JZI917566:JZJ917572 KJE917566:KJF917572 KTA917566:KTB917572 LCW917566:LCX917572 LMS917566:LMT917572 LWO917566:LWP917572 MGK917566:MGL917572 MQG917566:MQH917572 NAC917566:NAD917572 NJY917566:NJZ917572 NTU917566:NTV917572 ODQ917566:ODR917572 ONM917566:ONN917572 OXI917566:OXJ917572 PHE917566:PHF917572 PRA917566:PRB917572 QAW917566:QAX917572 QKS917566:QKT917572 QUO917566:QUP917572 REK917566:REL917572 ROG917566:ROH917572 RYC917566:RYD917572 SHY917566:SHZ917572 SRU917566:SRV917572 TBQ917566:TBR917572 TLM917566:TLN917572 TVI917566:TVJ917572 UFE917566:UFF917572 UPA917566:UPB917572 UYW917566:UYX917572 VIS917566:VIT917572 VSO917566:VSP917572 WCK917566:WCL917572 WMG917566:WMH917572 WWC917566:WWD917572 U983102:V983108 JQ983102:JR983108 TM983102:TN983108 ADI983102:ADJ983108 ANE983102:ANF983108 AXA983102:AXB983108 BGW983102:BGX983108 BQS983102:BQT983108 CAO983102:CAP983108 CKK983102:CKL983108 CUG983102:CUH983108 DEC983102:DED983108 DNY983102:DNZ983108 DXU983102:DXV983108 EHQ983102:EHR983108 ERM983102:ERN983108 FBI983102:FBJ983108 FLE983102:FLF983108 FVA983102:FVB983108 GEW983102:GEX983108 GOS983102:GOT983108 GYO983102:GYP983108 HIK983102:HIL983108 HSG983102:HSH983108 ICC983102:ICD983108 ILY983102:ILZ983108 IVU983102:IVV983108 JFQ983102:JFR983108 JPM983102:JPN983108 JZI983102:JZJ983108 KJE983102:KJF983108 KTA983102:KTB983108 LCW983102:LCX983108 LMS983102:LMT983108 LWO983102:LWP983108 MGK983102:MGL983108 MQG983102:MQH983108 NAC983102:NAD983108 NJY983102:NJZ983108 NTU983102:NTV983108 ODQ983102:ODR983108 ONM983102:ONN983108 OXI983102:OXJ983108 PHE983102:PHF983108 PRA983102:PRB983108 QAW983102:QAX983108 QKS983102:QKT983108 QUO983102:QUP983108 REK983102:REL983108 ROG983102:ROH983108 RYC983102:RYD983108 SHY983102:SHZ983108 SRU983102:SRV983108 TBQ983102:TBR983108 TLM983102:TLN983108 TVI983102:TVJ983108 UFE983102:UFF983108 UPA983102:UPB983108 UYW983102:UYX983108 VIS983102:VIT983108 VSO983102:VSP983108 WCK983102:WCL983108 WMG983102:WMH983108 WWC983102:WWD983108" xr:uid="{00000000-0002-0000-0000-000004000000}"/>
    <dataValidation type="list" allowBlank="1" showInputMessage="1" showErrorMessage="1" sqref="F20:L20 JB20:JH20 SX20:TD20 ACT20:ACZ20 AMP20:AMV20 AWL20:AWR20 BGH20:BGN20 BQD20:BQJ20 BZZ20:CAF20 CJV20:CKB20 CTR20:CTX20 DDN20:DDT20 DNJ20:DNP20 DXF20:DXL20 EHB20:EHH20 EQX20:ERD20 FAT20:FAZ20 FKP20:FKV20 FUL20:FUR20 GEH20:GEN20 GOD20:GOJ20 GXZ20:GYF20 HHV20:HIB20 HRR20:HRX20 IBN20:IBT20 ILJ20:ILP20 IVF20:IVL20 JFB20:JFH20 JOX20:JPD20 JYT20:JYZ20 KIP20:KIV20 KSL20:KSR20 LCH20:LCN20 LMD20:LMJ20 LVZ20:LWF20 MFV20:MGB20 MPR20:MPX20 MZN20:MZT20 NJJ20:NJP20 NTF20:NTL20 ODB20:ODH20 OMX20:OND20 OWT20:OWZ20 PGP20:PGV20 PQL20:PQR20 QAH20:QAN20 QKD20:QKJ20 QTZ20:QUF20 RDV20:REB20 RNR20:RNX20 RXN20:RXT20 SHJ20:SHP20 SRF20:SRL20 TBB20:TBH20 TKX20:TLD20 TUT20:TUZ20 UEP20:UEV20 UOL20:UOR20 UYH20:UYN20 VID20:VIJ20 VRZ20:VSF20 WBV20:WCB20 WLR20:WLX20 WVN20:WVT20 F65556:L65556 JB65556:JH65556 SX65556:TD65556 ACT65556:ACZ65556 AMP65556:AMV65556 AWL65556:AWR65556 BGH65556:BGN65556 BQD65556:BQJ65556 BZZ65556:CAF65556 CJV65556:CKB65556 CTR65556:CTX65556 DDN65556:DDT65556 DNJ65556:DNP65556 DXF65556:DXL65556 EHB65556:EHH65556 EQX65556:ERD65556 FAT65556:FAZ65556 FKP65556:FKV65556 FUL65556:FUR65556 GEH65556:GEN65556 GOD65556:GOJ65556 GXZ65556:GYF65556 HHV65556:HIB65556 HRR65556:HRX65556 IBN65556:IBT65556 ILJ65556:ILP65556 IVF65556:IVL65556 JFB65556:JFH65556 JOX65556:JPD65556 JYT65556:JYZ65556 KIP65556:KIV65556 KSL65556:KSR65556 LCH65556:LCN65556 LMD65556:LMJ65556 LVZ65556:LWF65556 MFV65556:MGB65556 MPR65556:MPX65556 MZN65556:MZT65556 NJJ65556:NJP65556 NTF65556:NTL65556 ODB65556:ODH65556 OMX65556:OND65556 OWT65556:OWZ65556 PGP65556:PGV65556 PQL65556:PQR65556 QAH65556:QAN65556 QKD65556:QKJ65556 QTZ65556:QUF65556 RDV65556:REB65556 RNR65556:RNX65556 RXN65556:RXT65556 SHJ65556:SHP65556 SRF65556:SRL65556 TBB65556:TBH65556 TKX65556:TLD65556 TUT65556:TUZ65556 UEP65556:UEV65556 UOL65556:UOR65556 UYH65556:UYN65556 VID65556:VIJ65556 VRZ65556:VSF65556 WBV65556:WCB65556 WLR65556:WLX65556 WVN65556:WVT65556 F131092:L131092 JB131092:JH131092 SX131092:TD131092 ACT131092:ACZ131092 AMP131092:AMV131092 AWL131092:AWR131092 BGH131092:BGN131092 BQD131092:BQJ131092 BZZ131092:CAF131092 CJV131092:CKB131092 CTR131092:CTX131092 DDN131092:DDT131092 DNJ131092:DNP131092 DXF131092:DXL131092 EHB131092:EHH131092 EQX131092:ERD131092 FAT131092:FAZ131092 FKP131092:FKV131092 FUL131092:FUR131092 GEH131092:GEN131092 GOD131092:GOJ131092 GXZ131092:GYF131092 HHV131092:HIB131092 HRR131092:HRX131092 IBN131092:IBT131092 ILJ131092:ILP131092 IVF131092:IVL131092 JFB131092:JFH131092 JOX131092:JPD131092 JYT131092:JYZ131092 KIP131092:KIV131092 KSL131092:KSR131092 LCH131092:LCN131092 LMD131092:LMJ131092 LVZ131092:LWF131092 MFV131092:MGB131092 MPR131092:MPX131092 MZN131092:MZT131092 NJJ131092:NJP131092 NTF131092:NTL131092 ODB131092:ODH131092 OMX131092:OND131092 OWT131092:OWZ131092 PGP131092:PGV131092 PQL131092:PQR131092 QAH131092:QAN131092 QKD131092:QKJ131092 QTZ131092:QUF131092 RDV131092:REB131092 RNR131092:RNX131092 RXN131092:RXT131092 SHJ131092:SHP131092 SRF131092:SRL131092 TBB131092:TBH131092 TKX131092:TLD131092 TUT131092:TUZ131092 UEP131092:UEV131092 UOL131092:UOR131092 UYH131092:UYN131092 VID131092:VIJ131092 VRZ131092:VSF131092 WBV131092:WCB131092 WLR131092:WLX131092 WVN131092:WVT131092 F196628:L196628 JB196628:JH196628 SX196628:TD196628 ACT196628:ACZ196628 AMP196628:AMV196628 AWL196628:AWR196628 BGH196628:BGN196628 BQD196628:BQJ196628 BZZ196628:CAF196628 CJV196628:CKB196628 CTR196628:CTX196628 DDN196628:DDT196628 DNJ196628:DNP196628 DXF196628:DXL196628 EHB196628:EHH196628 EQX196628:ERD196628 FAT196628:FAZ196628 FKP196628:FKV196628 FUL196628:FUR196628 GEH196628:GEN196628 GOD196628:GOJ196628 GXZ196628:GYF196628 HHV196628:HIB196628 HRR196628:HRX196628 IBN196628:IBT196628 ILJ196628:ILP196628 IVF196628:IVL196628 JFB196628:JFH196628 JOX196628:JPD196628 JYT196628:JYZ196628 KIP196628:KIV196628 KSL196628:KSR196628 LCH196628:LCN196628 LMD196628:LMJ196628 LVZ196628:LWF196628 MFV196628:MGB196628 MPR196628:MPX196628 MZN196628:MZT196628 NJJ196628:NJP196628 NTF196628:NTL196628 ODB196628:ODH196628 OMX196628:OND196628 OWT196628:OWZ196628 PGP196628:PGV196628 PQL196628:PQR196628 QAH196628:QAN196628 QKD196628:QKJ196628 QTZ196628:QUF196628 RDV196628:REB196628 RNR196628:RNX196628 RXN196628:RXT196628 SHJ196628:SHP196628 SRF196628:SRL196628 TBB196628:TBH196628 TKX196628:TLD196628 TUT196628:TUZ196628 UEP196628:UEV196628 UOL196628:UOR196628 UYH196628:UYN196628 VID196628:VIJ196628 VRZ196628:VSF196628 WBV196628:WCB196628 WLR196628:WLX196628 WVN196628:WVT196628 F262164:L262164 JB262164:JH262164 SX262164:TD262164 ACT262164:ACZ262164 AMP262164:AMV262164 AWL262164:AWR262164 BGH262164:BGN262164 BQD262164:BQJ262164 BZZ262164:CAF262164 CJV262164:CKB262164 CTR262164:CTX262164 DDN262164:DDT262164 DNJ262164:DNP262164 DXF262164:DXL262164 EHB262164:EHH262164 EQX262164:ERD262164 FAT262164:FAZ262164 FKP262164:FKV262164 FUL262164:FUR262164 GEH262164:GEN262164 GOD262164:GOJ262164 GXZ262164:GYF262164 HHV262164:HIB262164 HRR262164:HRX262164 IBN262164:IBT262164 ILJ262164:ILP262164 IVF262164:IVL262164 JFB262164:JFH262164 JOX262164:JPD262164 JYT262164:JYZ262164 KIP262164:KIV262164 KSL262164:KSR262164 LCH262164:LCN262164 LMD262164:LMJ262164 LVZ262164:LWF262164 MFV262164:MGB262164 MPR262164:MPX262164 MZN262164:MZT262164 NJJ262164:NJP262164 NTF262164:NTL262164 ODB262164:ODH262164 OMX262164:OND262164 OWT262164:OWZ262164 PGP262164:PGV262164 PQL262164:PQR262164 QAH262164:QAN262164 QKD262164:QKJ262164 QTZ262164:QUF262164 RDV262164:REB262164 RNR262164:RNX262164 RXN262164:RXT262164 SHJ262164:SHP262164 SRF262164:SRL262164 TBB262164:TBH262164 TKX262164:TLD262164 TUT262164:TUZ262164 UEP262164:UEV262164 UOL262164:UOR262164 UYH262164:UYN262164 VID262164:VIJ262164 VRZ262164:VSF262164 WBV262164:WCB262164 WLR262164:WLX262164 WVN262164:WVT262164 F327700:L327700 JB327700:JH327700 SX327700:TD327700 ACT327700:ACZ327700 AMP327700:AMV327700 AWL327700:AWR327700 BGH327700:BGN327700 BQD327700:BQJ327700 BZZ327700:CAF327700 CJV327700:CKB327700 CTR327700:CTX327700 DDN327700:DDT327700 DNJ327700:DNP327700 DXF327700:DXL327700 EHB327700:EHH327700 EQX327700:ERD327700 FAT327700:FAZ327700 FKP327700:FKV327700 FUL327700:FUR327700 GEH327700:GEN327700 GOD327700:GOJ327700 GXZ327700:GYF327700 HHV327700:HIB327700 HRR327700:HRX327700 IBN327700:IBT327700 ILJ327700:ILP327700 IVF327700:IVL327700 JFB327700:JFH327700 JOX327700:JPD327700 JYT327700:JYZ327700 KIP327700:KIV327700 KSL327700:KSR327700 LCH327700:LCN327700 LMD327700:LMJ327700 LVZ327700:LWF327700 MFV327700:MGB327700 MPR327700:MPX327700 MZN327700:MZT327700 NJJ327700:NJP327700 NTF327700:NTL327700 ODB327700:ODH327700 OMX327700:OND327700 OWT327700:OWZ327700 PGP327700:PGV327700 PQL327700:PQR327700 QAH327700:QAN327700 QKD327700:QKJ327700 QTZ327700:QUF327700 RDV327700:REB327700 RNR327700:RNX327700 RXN327700:RXT327700 SHJ327700:SHP327700 SRF327700:SRL327700 TBB327700:TBH327700 TKX327700:TLD327700 TUT327700:TUZ327700 UEP327700:UEV327700 UOL327700:UOR327700 UYH327700:UYN327700 VID327700:VIJ327700 VRZ327700:VSF327700 WBV327700:WCB327700 WLR327700:WLX327700 WVN327700:WVT327700 F393236:L393236 JB393236:JH393236 SX393236:TD393236 ACT393236:ACZ393236 AMP393236:AMV393236 AWL393236:AWR393236 BGH393236:BGN393236 BQD393236:BQJ393236 BZZ393236:CAF393236 CJV393236:CKB393236 CTR393236:CTX393236 DDN393236:DDT393236 DNJ393236:DNP393236 DXF393236:DXL393236 EHB393236:EHH393236 EQX393236:ERD393236 FAT393236:FAZ393236 FKP393236:FKV393236 FUL393236:FUR393236 GEH393236:GEN393236 GOD393236:GOJ393236 GXZ393236:GYF393236 HHV393236:HIB393236 HRR393236:HRX393236 IBN393236:IBT393236 ILJ393236:ILP393236 IVF393236:IVL393236 JFB393236:JFH393236 JOX393236:JPD393236 JYT393236:JYZ393236 KIP393236:KIV393236 KSL393236:KSR393236 LCH393236:LCN393236 LMD393236:LMJ393236 LVZ393236:LWF393236 MFV393236:MGB393236 MPR393236:MPX393236 MZN393236:MZT393236 NJJ393236:NJP393236 NTF393236:NTL393236 ODB393236:ODH393236 OMX393236:OND393236 OWT393236:OWZ393236 PGP393236:PGV393236 PQL393236:PQR393236 QAH393236:QAN393236 QKD393236:QKJ393236 QTZ393236:QUF393236 RDV393236:REB393236 RNR393236:RNX393236 RXN393236:RXT393236 SHJ393236:SHP393236 SRF393236:SRL393236 TBB393236:TBH393236 TKX393236:TLD393236 TUT393236:TUZ393236 UEP393236:UEV393236 UOL393236:UOR393236 UYH393236:UYN393236 VID393236:VIJ393236 VRZ393236:VSF393236 WBV393236:WCB393236 WLR393236:WLX393236 WVN393236:WVT393236 F458772:L458772 JB458772:JH458772 SX458772:TD458772 ACT458772:ACZ458772 AMP458772:AMV458772 AWL458772:AWR458772 BGH458772:BGN458772 BQD458772:BQJ458772 BZZ458772:CAF458772 CJV458772:CKB458772 CTR458772:CTX458772 DDN458772:DDT458772 DNJ458772:DNP458772 DXF458772:DXL458772 EHB458772:EHH458772 EQX458772:ERD458772 FAT458772:FAZ458772 FKP458772:FKV458772 FUL458772:FUR458772 GEH458772:GEN458772 GOD458772:GOJ458772 GXZ458772:GYF458772 HHV458772:HIB458772 HRR458772:HRX458772 IBN458772:IBT458772 ILJ458772:ILP458772 IVF458772:IVL458772 JFB458772:JFH458772 JOX458772:JPD458772 JYT458772:JYZ458772 KIP458772:KIV458772 KSL458772:KSR458772 LCH458772:LCN458772 LMD458772:LMJ458772 LVZ458772:LWF458772 MFV458772:MGB458772 MPR458772:MPX458772 MZN458772:MZT458772 NJJ458772:NJP458772 NTF458772:NTL458772 ODB458772:ODH458772 OMX458772:OND458772 OWT458772:OWZ458772 PGP458772:PGV458772 PQL458772:PQR458772 QAH458772:QAN458772 QKD458772:QKJ458772 QTZ458772:QUF458772 RDV458772:REB458772 RNR458772:RNX458772 RXN458772:RXT458772 SHJ458772:SHP458772 SRF458772:SRL458772 TBB458772:TBH458772 TKX458772:TLD458772 TUT458772:TUZ458772 UEP458772:UEV458772 UOL458772:UOR458772 UYH458772:UYN458772 VID458772:VIJ458772 VRZ458772:VSF458772 WBV458772:WCB458772 WLR458772:WLX458772 WVN458772:WVT458772 F524308:L524308 JB524308:JH524308 SX524308:TD524308 ACT524308:ACZ524308 AMP524308:AMV524308 AWL524308:AWR524308 BGH524308:BGN524308 BQD524308:BQJ524308 BZZ524308:CAF524308 CJV524308:CKB524308 CTR524308:CTX524308 DDN524308:DDT524308 DNJ524308:DNP524308 DXF524308:DXL524308 EHB524308:EHH524308 EQX524308:ERD524308 FAT524308:FAZ524308 FKP524308:FKV524308 FUL524308:FUR524308 GEH524308:GEN524308 GOD524308:GOJ524308 GXZ524308:GYF524308 HHV524308:HIB524308 HRR524308:HRX524308 IBN524308:IBT524308 ILJ524308:ILP524308 IVF524308:IVL524308 JFB524308:JFH524308 JOX524308:JPD524308 JYT524308:JYZ524308 KIP524308:KIV524308 KSL524308:KSR524308 LCH524308:LCN524308 LMD524308:LMJ524308 LVZ524308:LWF524308 MFV524308:MGB524308 MPR524308:MPX524308 MZN524308:MZT524308 NJJ524308:NJP524308 NTF524308:NTL524308 ODB524308:ODH524308 OMX524308:OND524308 OWT524308:OWZ524308 PGP524308:PGV524308 PQL524308:PQR524308 QAH524308:QAN524308 QKD524308:QKJ524308 QTZ524308:QUF524308 RDV524308:REB524308 RNR524308:RNX524308 RXN524308:RXT524308 SHJ524308:SHP524308 SRF524308:SRL524308 TBB524308:TBH524308 TKX524308:TLD524308 TUT524308:TUZ524308 UEP524308:UEV524308 UOL524308:UOR524308 UYH524308:UYN524308 VID524308:VIJ524308 VRZ524308:VSF524308 WBV524308:WCB524308 WLR524308:WLX524308 WVN524308:WVT524308 F589844:L589844 JB589844:JH589844 SX589844:TD589844 ACT589844:ACZ589844 AMP589844:AMV589844 AWL589844:AWR589844 BGH589844:BGN589844 BQD589844:BQJ589844 BZZ589844:CAF589844 CJV589844:CKB589844 CTR589844:CTX589844 DDN589844:DDT589844 DNJ589844:DNP589844 DXF589844:DXL589844 EHB589844:EHH589844 EQX589844:ERD589844 FAT589844:FAZ589844 FKP589844:FKV589844 FUL589844:FUR589844 GEH589844:GEN589844 GOD589844:GOJ589844 GXZ589844:GYF589844 HHV589844:HIB589844 HRR589844:HRX589844 IBN589844:IBT589844 ILJ589844:ILP589844 IVF589844:IVL589844 JFB589844:JFH589844 JOX589844:JPD589844 JYT589844:JYZ589844 KIP589844:KIV589844 KSL589844:KSR589844 LCH589844:LCN589844 LMD589844:LMJ589844 LVZ589844:LWF589844 MFV589844:MGB589844 MPR589844:MPX589844 MZN589844:MZT589844 NJJ589844:NJP589844 NTF589844:NTL589844 ODB589844:ODH589844 OMX589844:OND589844 OWT589844:OWZ589844 PGP589844:PGV589844 PQL589844:PQR589844 QAH589844:QAN589844 QKD589844:QKJ589844 QTZ589844:QUF589844 RDV589844:REB589844 RNR589844:RNX589844 RXN589844:RXT589844 SHJ589844:SHP589844 SRF589844:SRL589844 TBB589844:TBH589844 TKX589844:TLD589844 TUT589844:TUZ589844 UEP589844:UEV589844 UOL589844:UOR589844 UYH589844:UYN589844 VID589844:VIJ589844 VRZ589844:VSF589844 WBV589844:WCB589844 WLR589844:WLX589844 WVN589844:WVT589844 F655380:L655380 JB655380:JH655380 SX655380:TD655380 ACT655380:ACZ655380 AMP655380:AMV655380 AWL655380:AWR655380 BGH655380:BGN655380 BQD655380:BQJ655380 BZZ655380:CAF655380 CJV655380:CKB655380 CTR655380:CTX655380 DDN655380:DDT655380 DNJ655380:DNP655380 DXF655380:DXL655380 EHB655380:EHH655380 EQX655380:ERD655380 FAT655380:FAZ655380 FKP655380:FKV655380 FUL655380:FUR655380 GEH655380:GEN655380 GOD655380:GOJ655380 GXZ655380:GYF655380 HHV655380:HIB655380 HRR655380:HRX655380 IBN655380:IBT655380 ILJ655380:ILP655380 IVF655380:IVL655380 JFB655380:JFH655380 JOX655380:JPD655380 JYT655380:JYZ655380 KIP655380:KIV655380 KSL655380:KSR655380 LCH655380:LCN655380 LMD655380:LMJ655380 LVZ655380:LWF655380 MFV655380:MGB655380 MPR655380:MPX655380 MZN655380:MZT655380 NJJ655380:NJP655380 NTF655380:NTL655380 ODB655380:ODH655380 OMX655380:OND655380 OWT655380:OWZ655380 PGP655380:PGV655380 PQL655380:PQR655380 QAH655380:QAN655380 QKD655380:QKJ655380 QTZ655380:QUF655380 RDV655380:REB655380 RNR655380:RNX655380 RXN655380:RXT655380 SHJ655380:SHP655380 SRF655380:SRL655380 TBB655380:TBH655380 TKX655380:TLD655380 TUT655380:TUZ655380 UEP655380:UEV655380 UOL655380:UOR655380 UYH655380:UYN655380 VID655380:VIJ655380 VRZ655380:VSF655380 WBV655380:WCB655380 WLR655380:WLX655380 WVN655380:WVT655380 F720916:L720916 JB720916:JH720916 SX720916:TD720916 ACT720916:ACZ720916 AMP720916:AMV720916 AWL720916:AWR720916 BGH720916:BGN720916 BQD720916:BQJ720916 BZZ720916:CAF720916 CJV720916:CKB720916 CTR720916:CTX720916 DDN720916:DDT720916 DNJ720916:DNP720916 DXF720916:DXL720916 EHB720916:EHH720916 EQX720916:ERD720916 FAT720916:FAZ720916 FKP720916:FKV720916 FUL720916:FUR720916 GEH720916:GEN720916 GOD720916:GOJ720916 GXZ720916:GYF720916 HHV720916:HIB720916 HRR720916:HRX720916 IBN720916:IBT720916 ILJ720916:ILP720916 IVF720916:IVL720916 JFB720916:JFH720916 JOX720916:JPD720916 JYT720916:JYZ720916 KIP720916:KIV720916 KSL720916:KSR720916 LCH720916:LCN720916 LMD720916:LMJ720916 LVZ720916:LWF720916 MFV720916:MGB720916 MPR720916:MPX720916 MZN720916:MZT720916 NJJ720916:NJP720916 NTF720916:NTL720916 ODB720916:ODH720916 OMX720916:OND720916 OWT720916:OWZ720916 PGP720916:PGV720916 PQL720916:PQR720916 QAH720916:QAN720916 QKD720916:QKJ720916 QTZ720916:QUF720916 RDV720916:REB720916 RNR720916:RNX720916 RXN720916:RXT720916 SHJ720916:SHP720916 SRF720916:SRL720916 TBB720916:TBH720916 TKX720916:TLD720916 TUT720916:TUZ720916 UEP720916:UEV720916 UOL720916:UOR720916 UYH720916:UYN720916 VID720916:VIJ720916 VRZ720916:VSF720916 WBV720916:WCB720916 WLR720916:WLX720916 WVN720916:WVT720916 F786452:L786452 JB786452:JH786452 SX786452:TD786452 ACT786452:ACZ786452 AMP786452:AMV786452 AWL786452:AWR786452 BGH786452:BGN786452 BQD786452:BQJ786452 BZZ786452:CAF786452 CJV786452:CKB786452 CTR786452:CTX786452 DDN786452:DDT786452 DNJ786452:DNP786452 DXF786452:DXL786452 EHB786452:EHH786452 EQX786452:ERD786452 FAT786452:FAZ786452 FKP786452:FKV786452 FUL786452:FUR786452 GEH786452:GEN786452 GOD786452:GOJ786452 GXZ786452:GYF786452 HHV786452:HIB786452 HRR786452:HRX786452 IBN786452:IBT786452 ILJ786452:ILP786452 IVF786452:IVL786452 JFB786452:JFH786452 JOX786452:JPD786452 JYT786452:JYZ786452 KIP786452:KIV786452 KSL786452:KSR786452 LCH786452:LCN786452 LMD786452:LMJ786452 LVZ786452:LWF786452 MFV786452:MGB786452 MPR786452:MPX786452 MZN786452:MZT786452 NJJ786452:NJP786452 NTF786452:NTL786452 ODB786452:ODH786452 OMX786452:OND786452 OWT786452:OWZ786452 PGP786452:PGV786452 PQL786452:PQR786452 QAH786452:QAN786452 QKD786452:QKJ786452 QTZ786452:QUF786452 RDV786452:REB786452 RNR786452:RNX786452 RXN786452:RXT786452 SHJ786452:SHP786452 SRF786452:SRL786452 TBB786452:TBH786452 TKX786452:TLD786452 TUT786452:TUZ786452 UEP786452:UEV786452 UOL786452:UOR786452 UYH786452:UYN786452 VID786452:VIJ786452 VRZ786452:VSF786452 WBV786452:WCB786452 WLR786452:WLX786452 WVN786452:WVT786452 F851988:L851988 JB851988:JH851988 SX851988:TD851988 ACT851988:ACZ851988 AMP851988:AMV851988 AWL851988:AWR851988 BGH851988:BGN851988 BQD851988:BQJ851988 BZZ851988:CAF851988 CJV851988:CKB851988 CTR851988:CTX851988 DDN851988:DDT851988 DNJ851988:DNP851988 DXF851988:DXL851988 EHB851988:EHH851988 EQX851988:ERD851988 FAT851988:FAZ851988 FKP851988:FKV851988 FUL851988:FUR851988 GEH851988:GEN851988 GOD851988:GOJ851988 GXZ851988:GYF851988 HHV851988:HIB851988 HRR851988:HRX851988 IBN851988:IBT851988 ILJ851988:ILP851988 IVF851988:IVL851988 JFB851988:JFH851988 JOX851988:JPD851988 JYT851988:JYZ851988 KIP851988:KIV851988 KSL851988:KSR851988 LCH851988:LCN851988 LMD851988:LMJ851988 LVZ851988:LWF851988 MFV851988:MGB851988 MPR851988:MPX851988 MZN851988:MZT851988 NJJ851988:NJP851988 NTF851988:NTL851988 ODB851988:ODH851988 OMX851988:OND851988 OWT851988:OWZ851988 PGP851988:PGV851988 PQL851988:PQR851988 QAH851988:QAN851988 QKD851988:QKJ851988 QTZ851988:QUF851988 RDV851988:REB851988 RNR851988:RNX851988 RXN851988:RXT851988 SHJ851988:SHP851988 SRF851988:SRL851988 TBB851988:TBH851988 TKX851988:TLD851988 TUT851988:TUZ851988 UEP851988:UEV851988 UOL851988:UOR851988 UYH851988:UYN851988 VID851988:VIJ851988 VRZ851988:VSF851988 WBV851988:WCB851988 WLR851988:WLX851988 WVN851988:WVT851988 F917524:L917524 JB917524:JH917524 SX917524:TD917524 ACT917524:ACZ917524 AMP917524:AMV917524 AWL917524:AWR917524 BGH917524:BGN917524 BQD917524:BQJ917524 BZZ917524:CAF917524 CJV917524:CKB917524 CTR917524:CTX917524 DDN917524:DDT917524 DNJ917524:DNP917524 DXF917524:DXL917524 EHB917524:EHH917524 EQX917524:ERD917524 FAT917524:FAZ917524 FKP917524:FKV917524 FUL917524:FUR917524 GEH917524:GEN917524 GOD917524:GOJ917524 GXZ917524:GYF917524 HHV917524:HIB917524 HRR917524:HRX917524 IBN917524:IBT917524 ILJ917524:ILP917524 IVF917524:IVL917524 JFB917524:JFH917524 JOX917524:JPD917524 JYT917524:JYZ917524 KIP917524:KIV917524 KSL917524:KSR917524 LCH917524:LCN917524 LMD917524:LMJ917524 LVZ917524:LWF917524 MFV917524:MGB917524 MPR917524:MPX917524 MZN917524:MZT917524 NJJ917524:NJP917524 NTF917524:NTL917524 ODB917524:ODH917524 OMX917524:OND917524 OWT917524:OWZ917524 PGP917524:PGV917524 PQL917524:PQR917524 QAH917524:QAN917524 QKD917524:QKJ917524 QTZ917524:QUF917524 RDV917524:REB917524 RNR917524:RNX917524 RXN917524:RXT917524 SHJ917524:SHP917524 SRF917524:SRL917524 TBB917524:TBH917524 TKX917524:TLD917524 TUT917524:TUZ917524 UEP917524:UEV917524 UOL917524:UOR917524 UYH917524:UYN917524 VID917524:VIJ917524 VRZ917524:VSF917524 WBV917524:WCB917524 WLR917524:WLX917524 WVN917524:WVT917524 F983060:L983060 JB983060:JH983060 SX983060:TD983060 ACT983060:ACZ983060 AMP983060:AMV983060 AWL983060:AWR983060 BGH983060:BGN983060 BQD983060:BQJ983060 BZZ983060:CAF983060 CJV983060:CKB983060 CTR983060:CTX983060 DDN983060:DDT983060 DNJ983060:DNP983060 DXF983060:DXL983060 EHB983060:EHH983060 EQX983060:ERD983060 FAT983060:FAZ983060 FKP983060:FKV983060 FUL983060:FUR983060 GEH983060:GEN983060 GOD983060:GOJ983060 GXZ983060:GYF983060 HHV983060:HIB983060 HRR983060:HRX983060 IBN983060:IBT983060 ILJ983060:ILP983060 IVF983060:IVL983060 JFB983060:JFH983060 JOX983060:JPD983060 JYT983060:JYZ983060 KIP983060:KIV983060 KSL983060:KSR983060 LCH983060:LCN983060 LMD983060:LMJ983060 LVZ983060:LWF983060 MFV983060:MGB983060 MPR983060:MPX983060 MZN983060:MZT983060 NJJ983060:NJP983060 NTF983060:NTL983060 ODB983060:ODH983060 OMX983060:OND983060 OWT983060:OWZ983060 PGP983060:PGV983060 PQL983060:PQR983060 QAH983060:QAN983060 QKD983060:QKJ983060 QTZ983060:QUF983060 RDV983060:REB983060 RNR983060:RNX983060 RXN983060:RXT983060 SHJ983060:SHP983060 SRF983060:SRL983060 TBB983060:TBH983060 TKX983060:TLD983060 TUT983060:TUZ983060 UEP983060:UEV983060 UOL983060:UOR983060 UYH983060:UYN983060 VID983060:VIJ983060 VRZ983060:VSF983060 WBV983060:WCB983060 WLR983060:WLX983060 WVN983060:WVT983060" xr:uid="{00000000-0002-0000-0000-000005000000}">
      <formula1>$AD$17:$AD$18</formula1>
    </dataValidation>
    <dataValidation type="list" allowBlank="1" showInputMessage="1" showErrorMessage="1" sqref="WVN983056:WVT983056 JB16:JH16 SX16:TD16 ACT16:ACZ16 AMP16:AMV16 AWL16:AWR16 BGH16:BGN16 BQD16:BQJ16 BZZ16:CAF16 CJV16:CKB16 CTR16:CTX16 DDN16:DDT16 DNJ16:DNP16 DXF16:DXL16 EHB16:EHH16 EQX16:ERD16 FAT16:FAZ16 FKP16:FKV16 FUL16:FUR16 GEH16:GEN16 GOD16:GOJ16 GXZ16:GYF16 HHV16:HIB16 HRR16:HRX16 IBN16:IBT16 ILJ16:ILP16 IVF16:IVL16 JFB16:JFH16 JOX16:JPD16 JYT16:JYZ16 KIP16:KIV16 KSL16:KSR16 LCH16:LCN16 LMD16:LMJ16 LVZ16:LWF16 MFV16:MGB16 MPR16:MPX16 MZN16:MZT16 NJJ16:NJP16 NTF16:NTL16 ODB16:ODH16 OMX16:OND16 OWT16:OWZ16 PGP16:PGV16 PQL16:PQR16 QAH16:QAN16 QKD16:QKJ16 QTZ16:QUF16 RDV16:REB16 RNR16:RNX16 RXN16:RXT16 SHJ16:SHP16 SRF16:SRL16 TBB16:TBH16 TKX16:TLD16 TUT16:TUZ16 UEP16:UEV16 UOL16:UOR16 UYH16:UYN16 VID16:VIJ16 VRZ16:VSF16 WBV16:WCB16 WLR16:WLX16 WVN16:WVT16 F65552:L65552 JB65552:JH65552 SX65552:TD65552 ACT65552:ACZ65552 AMP65552:AMV65552 AWL65552:AWR65552 BGH65552:BGN65552 BQD65552:BQJ65552 BZZ65552:CAF65552 CJV65552:CKB65552 CTR65552:CTX65552 DDN65552:DDT65552 DNJ65552:DNP65552 DXF65552:DXL65552 EHB65552:EHH65552 EQX65552:ERD65552 FAT65552:FAZ65552 FKP65552:FKV65552 FUL65552:FUR65552 GEH65552:GEN65552 GOD65552:GOJ65552 GXZ65552:GYF65552 HHV65552:HIB65552 HRR65552:HRX65552 IBN65552:IBT65552 ILJ65552:ILP65552 IVF65552:IVL65552 JFB65552:JFH65552 JOX65552:JPD65552 JYT65552:JYZ65552 KIP65552:KIV65552 KSL65552:KSR65552 LCH65552:LCN65552 LMD65552:LMJ65552 LVZ65552:LWF65552 MFV65552:MGB65552 MPR65552:MPX65552 MZN65552:MZT65552 NJJ65552:NJP65552 NTF65552:NTL65552 ODB65552:ODH65552 OMX65552:OND65552 OWT65552:OWZ65552 PGP65552:PGV65552 PQL65552:PQR65552 QAH65552:QAN65552 QKD65552:QKJ65552 QTZ65552:QUF65552 RDV65552:REB65552 RNR65552:RNX65552 RXN65552:RXT65552 SHJ65552:SHP65552 SRF65552:SRL65552 TBB65552:TBH65552 TKX65552:TLD65552 TUT65552:TUZ65552 UEP65552:UEV65552 UOL65552:UOR65552 UYH65552:UYN65552 VID65552:VIJ65552 VRZ65552:VSF65552 WBV65552:WCB65552 WLR65552:WLX65552 WVN65552:WVT65552 F131088:L131088 JB131088:JH131088 SX131088:TD131088 ACT131088:ACZ131088 AMP131088:AMV131088 AWL131088:AWR131088 BGH131088:BGN131088 BQD131088:BQJ131088 BZZ131088:CAF131088 CJV131088:CKB131088 CTR131088:CTX131088 DDN131088:DDT131088 DNJ131088:DNP131088 DXF131088:DXL131088 EHB131088:EHH131088 EQX131088:ERD131088 FAT131088:FAZ131088 FKP131088:FKV131088 FUL131088:FUR131088 GEH131088:GEN131088 GOD131088:GOJ131088 GXZ131088:GYF131088 HHV131088:HIB131088 HRR131088:HRX131088 IBN131088:IBT131088 ILJ131088:ILP131088 IVF131088:IVL131088 JFB131088:JFH131088 JOX131088:JPD131088 JYT131088:JYZ131088 KIP131088:KIV131088 KSL131088:KSR131088 LCH131088:LCN131088 LMD131088:LMJ131088 LVZ131088:LWF131088 MFV131088:MGB131088 MPR131088:MPX131088 MZN131088:MZT131088 NJJ131088:NJP131088 NTF131088:NTL131088 ODB131088:ODH131088 OMX131088:OND131088 OWT131088:OWZ131088 PGP131088:PGV131088 PQL131088:PQR131088 QAH131088:QAN131088 QKD131088:QKJ131088 QTZ131088:QUF131088 RDV131088:REB131088 RNR131088:RNX131088 RXN131088:RXT131088 SHJ131088:SHP131088 SRF131088:SRL131088 TBB131088:TBH131088 TKX131088:TLD131088 TUT131088:TUZ131088 UEP131088:UEV131088 UOL131088:UOR131088 UYH131088:UYN131088 VID131088:VIJ131088 VRZ131088:VSF131088 WBV131088:WCB131088 WLR131088:WLX131088 WVN131088:WVT131088 F196624:L196624 JB196624:JH196624 SX196624:TD196624 ACT196624:ACZ196624 AMP196624:AMV196624 AWL196624:AWR196624 BGH196624:BGN196624 BQD196624:BQJ196624 BZZ196624:CAF196624 CJV196624:CKB196624 CTR196624:CTX196624 DDN196624:DDT196624 DNJ196624:DNP196624 DXF196624:DXL196624 EHB196624:EHH196624 EQX196624:ERD196624 FAT196624:FAZ196624 FKP196624:FKV196624 FUL196624:FUR196624 GEH196624:GEN196624 GOD196624:GOJ196624 GXZ196624:GYF196624 HHV196624:HIB196624 HRR196624:HRX196624 IBN196624:IBT196624 ILJ196624:ILP196624 IVF196624:IVL196624 JFB196624:JFH196624 JOX196624:JPD196624 JYT196624:JYZ196624 KIP196624:KIV196624 KSL196624:KSR196624 LCH196624:LCN196624 LMD196624:LMJ196624 LVZ196624:LWF196624 MFV196624:MGB196624 MPR196624:MPX196624 MZN196624:MZT196624 NJJ196624:NJP196624 NTF196624:NTL196624 ODB196624:ODH196624 OMX196624:OND196624 OWT196624:OWZ196624 PGP196624:PGV196624 PQL196624:PQR196624 QAH196624:QAN196624 QKD196624:QKJ196624 QTZ196624:QUF196624 RDV196624:REB196624 RNR196624:RNX196624 RXN196624:RXT196624 SHJ196624:SHP196624 SRF196624:SRL196624 TBB196624:TBH196624 TKX196624:TLD196624 TUT196624:TUZ196624 UEP196624:UEV196624 UOL196624:UOR196624 UYH196624:UYN196624 VID196624:VIJ196624 VRZ196624:VSF196624 WBV196624:WCB196624 WLR196624:WLX196624 WVN196624:WVT196624 F262160:L262160 JB262160:JH262160 SX262160:TD262160 ACT262160:ACZ262160 AMP262160:AMV262160 AWL262160:AWR262160 BGH262160:BGN262160 BQD262160:BQJ262160 BZZ262160:CAF262160 CJV262160:CKB262160 CTR262160:CTX262160 DDN262160:DDT262160 DNJ262160:DNP262160 DXF262160:DXL262160 EHB262160:EHH262160 EQX262160:ERD262160 FAT262160:FAZ262160 FKP262160:FKV262160 FUL262160:FUR262160 GEH262160:GEN262160 GOD262160:GOJ262160 GXZ262160:GYF262160 HHV262160:HIB262160 HRR262160:HRX262160 IBN262160:IBT262160 ILJ262160:ILP262160 IVF262160:IVL262160 JFB262160:JFH262160 JOX262160:JPD262160 JYT262160:JYZ262160 KIP262160:KIV262160 KSL262160:KSR262160 LCH262160:LCN262160 LMD262160:LMJ262160 LVZ262160:LWF262160 MFV262160:MGB262160 MPR262160:MPX262160 MZN262160:MZT262160 NJJ262160:NJP262160 NTF262160:NTL262160 ODB262160:ODH262160 OMX262160:OND262160 OWT262160:OWZ262160 PGP262160:PGV262160 PQL262160:PQR262160 QAH262160:QAN262160 QKD262160:QKJ262160 QTZ262160:QUF262160 RDV262160:REB262160 RNR262160:RNX262160 RXN262160:RXT262160 SHJ262160:SHP262160 SRF262160:SRL262160 TBB262160:TBH262160 TKX262160:TLD262160 TUT262160:TUZ262160 UEP262160:UEV262160 UOL262160:UOR262160 UYH262160:UYN262160 VID262160:VIJ262160 VRZ262160:VSF262160 WBV262160:WCB262160 WLR262160:WLX262160 WVN262160:WVT262160 F327696:L327696 JB327696:JH327696 SX327696:TD327696 ACT327696:ACZ327696 AMP327696:AMV327696 AWL327696:AWR327696 BGH327696:BGN327696 BQD327696:BQJ327696 BZZ327696:CAF327696 CJV327696:CKB327696 CTR327696:CTX327696 DDN327696:DDT327696 DNJ327696:DNP327696 DXF327696:DXL327696 EHB327696:EHH327696 EQX327696:ERD327696 FAT327696:FAZ327696 FKP327696:FKV327696 FUL327696:FUR327696 GEH327696:GEN327696 GOD327696:GOJ327696 GXZ327696:GYF327696 HHV327696:HIB327696 HRR327696:HRX327696 IBN327696:IBT327696 ILJ327696:ILP327696 IVF327696:IVL327696 JFB327696:JFH327696 JOX327696:JPD327696 JYT327696:JYZ327696 KIP327696:KIV327696 KSL327696:KSR327696 LCH327696:LCN327696 LMD327696:LMJ327696 LVZ327696:LWF327696 MFV327696:MGB327696 MPR327696:MPX327696 MZN327696:MZT327696 NJJ327696:NJP327696 NTF327696:NTL327696 ODB327696:ODH327696 OMX327696:OND327696 OWT327696:OWZ327696 PGP327696:PGV327696 PQL327696:PQR327696 QAH327696:QAN327696 QKD327696:QKJ327696 QTZ327696:QUF327696 RDV327696:REB327696 RNR327696:RNX327696 RXN327696:RXT327696 SHJ327696:SHP327696 SRF327696:SRL327696 TBB327696:TBH327696 TKX327696:TLD327696 TUT327696:TUZ327696 UEP327696:UEV327696 UOL327696:UOR327696 UYH327696:UYN327696 VID327696:VIJ327696 VRZ327696:VSF327696 WBV327696:WCB327696 WLR327696:WLX327696 WVN327696:WVT327696 F393232:L393232 JB393232:JH393232 SX393232:TD393232 ACT393232:ACZ393232 AMP393232:AMV393232 AWL393232:AWR393232 BGH393232:BGN393232 BQD393232:BQJ393232 BZZ393232:CAF393232 CJV393232:CKB393232 CTR393232:CTX393232 DDN393232:DDT393232 DNJ393232:DNP393232 DXF393232:DXL393232 EHB393232:EHH393232 EQX393232:ERD393232 FAT393232:FAZ393232 FKP393232:FKV393232 FUL393232:FUR393232 GEH393232:GEN393232 GOD393232:GOJ393232 GXZ393232:GYF393232 HHV393232:HIB393232 HRR393232:HRX393232 IBN393232:IBT393232 ILJ393232:ILP393232 IVF393232:IVL393232 JFB393232:JFH393232 JOX393232:JPD393232 JYT393232:JYZ393232 KIP393232:KIV393232 KSL393232:KSR393232 LCH393232:LCN393232 LMD393232:LMJ393232 LVZ393232:LWF393232 MFV393232:MGB393232 MPR393232:MPX393232 MZN393232:MZT393232 NJJ393232:NJP393232 NTF393232:NTL393232 ODB393232:ODH393232 OMX393232:OND393232 OWT393232:OWZ393232 PGP393232:PGV393232 PQL393232:PQR393232 QAH393232:QAN393232 QKD393232:QKJ393232 QTZ393232:QUF393232 RDV393232:REB393232 RNR393232:RNX393232 RXN393232:RXT393232 SHJ393232:SHP393232 SRF393232:SRL393232 TBB393232:TBH393232 TKX393232:TLD393232 TUT393232:TUZ393232 UEP393232:UEV393232 UOL393232:UOR393232 UYH393232:UYN393232 VID393232:VIJ393232 VRZ393232:VSF393232 WBV393232:WCB393232 WLR393232:WLX393232 WVN393232:WVT393232 F458768:L458768 JB458768:JH458768 SX458768:TD458768 ACT458768:ACZ458768 AMP458768:AMV458768 AWL458768:AWR458768 BGH458768:BGN458768 BQD458768:BQJ458768 BZZ458768:CAF458768 CJV458768:CKB458768 CTR458768:CTX458768 DDN458768:DDT458768 DNJ458768:DNP458768 DXF458768:DXL458768 EHB458768:EHH458768 EQX458768:ERD458768 FAT458768:FAZ458768 FKP458768:FKV458768 FUL458768:FUR458768 GEH458768:GEN458768 GOD458768:GOJ458768 GXZ458768:GYF458768 HHV458768:HIB458768 HRR458768:HRX458768 IBN458768:IBT458768 ILJ458768:ILP458768 IVF458768:IVL458768 JFB458768:JFH458768 JOX458768:JPD458768 JYT458768:JYZ458768 KIP458768:KIV458768 KSL458768:KSR458768 LCH458768:LCN458768 LMD458768:LMJ458768 LVZ458768:LWF458768 MFV458768:MGB458768 MPR458768:MPX458768 MZN458768:MZT458768 NJJ458768:NJP458768 NTF458768:NTL458768 ODB458768:ODH458768 OMX458768:OND458768 OWT458768:OWZ458768 PGP458768:PGV458768 PQL458768:PQR458768 QAH458768:QAN458768 QKD458768:QKJ458768 QTZ458768:QUF458768 RDV458768:REB458768 RNR458768:RNX458768 RXN458768:RXT458768 SHJ458768:SHP458768 SRF458768:SRL458768 TBB458768:TBH458768 TKX458768:TLD458768 TUT458768:TUZ458768 UEP458768:UEV458768 UOL458768:UOR458768 UYH458768:UYN458768 VID458768:VIJ458768 VRZ458768:VSF458768 WBV458768:WCB458768 WLR458768:WLX458768 WVN458768:WVT458768 F524304:L524304 JB524304:JH524304 SX524304:TD524304 ACT524304:ACZ524304 AMP524304:AMV524304 AWL524304:AWR524304 BGH524304:BGN524304 BQD524304:BQJ524304 BZZ524304:CAF524304 CJV524304:CKB524304 CTR524304:CTX524304 DDN524304:DDT524304 DNJ524304:DNP524304 DXF524304:DXL524304 EHB524304:EHH524304 EQX524304:ERD524304 FAT524304:FAZ524304 FKP524304:FKV524304 FUL524304:FUR524304 GEH524304:GEN524304 GOD524304:GOJ524304 GXZ524304:GYF524304 HHV524304:HIB524304 HRR524304:HRX524304 IBN524304:IBT524304 ILJ524304:ILP524304 IVF524304:IVL524304 JFB524304:JFH524304 JOX524304:JPD524304 JYT524304:JYZ524304 KIP524304:KIV524304 KSL524304:KSR524304 LCH524304:LCN524304 LMD524304:LMJ524304 LVZ524304:LWF524304 MFV524304:MGB524304 MPR524304:MPX524304 MZN524304:MZT524304 NJJ524304:NJP524304 NTF524304:NTL524304 ODB524304:ODH524304 OMX524304:OND524304 OWT524304:OWZ524304 PGP524304:PGV524304 PQL524304:PQR524304 QAH524304:QAN524304 QKD524304:QKJ524304 QTZ524304:QUF524304 RDV524304:REB524304 RNR524304:RNX524304 RXN524304:RXT524304 SHJ524304:SHP524304 SRF524304:SRL524304 TBB524304:TBH524304 TKX524304:TLD524304 TUT524304:TUZ524304 UEP524304:UEV524304 UOL524304:UOR524304 UYH524304:UYN524304 VID524304:VIJ524304 VRZ524304:VSF524304 WBV524304:WCB524304 WLR524304:WLX524304 WVN524304:WVT524304 F589840:L589840 JB589840:JH589840 SX589840:TD589840 ACT589840:ACZ589840 AMP589840:AMV589840 AWL589840:AWR589840 BGH589840:BGN589840 BQD589840:BQJ589840 BZZ589840:CAF589840 CJV589840:CKB589840 CTR589840:CTX589840 DDN589840:DDT589840 DNJ589840:DNP589840 DXF589840:DXL589840 EHB589840:EHH589840 EQX589840:ERD589840 FAT589840:FAZ589840 FKP589840:FKV589840 FUL589840:FUR589840 GEH589840:GEN589840 GOD589840:GOJ589840 GXZ589840:GYF589840 HHV589840:HIB589840 HRR589840:HRX589840 IBN589840:IBT589840 ILJ589840:ILP589840 IVF589840:IVL589840 JFB589840:JFH589840 JOX589840:JPD589840 JYT589840:JYZ589840 KIP589840:KIV589840 KSL589840:KSR589840 LCH589840:LCN589840 LMD589840:LMJ589840 LVZ589840:LWF589840 MFV589840:MGB589840 MPR589840:MPX589840 MZN589840:MZT589840 NJJ589840:NJP589840 NTF589840:NTL589840 ODB589840:ODH589840 OMX589840:OND589840 OWT589840:OWZ589840 PGP589840:PGV589840 PQL589840:PQR589840 QAH589840:QAN589840 QKD589840:QKJ589840 QTZ589840:QUF589840 RDV589840:REB589840 RNR589840:RNX589840 RXN589840:RXT589840 SHJ589840:SHP589840 SRF589840:SRL589840 TBB589840:TBH589840 TKX589840:TLD589840 TUT589840:TUZ589840 UEP589840:UEV589840 UOL589840:UOR589840 UYH589840:UYN589840 VID589840:VIJ589840 VRZ589840:VSF589840 WBV589840:WCB589840 WLR589840:WLX589840 WVN589840:WVT589840 F655376:L655376 JB655376:JH655376 SX655376:TD655376 ACT655376:ACZ655376 AMP655376:AMV655376 AWL655376:AWR655376 BGH655376:BGN655376 BQD655376:BQJ655376 BZZ655376:CAF655376 CJV655376:CKB655376 CTR655376:CTX655376 DDN655376:DDT655376 DNJ655376:DNP655376 DXF655376:DXL655376 EHB655376:EHH655376 EQX655376:ERD655376 FAT655376:FAZ655376 FKP655376:FKV655376 FUL655376:FUR655376 GEH655376:GEN655376 GOD655376:GOJ655376 GXZ655376:GYF655376 HHV655376:HIB655376 HRR655376:HRX655376 IBN655376:IBT655376 ILJ655376:ILP655376 IVF655376:IVL655376 JFB655376:JFH655376 JOX655376:JPD655376 JYT655376:JYZ655376 KIP655376:KIV655376 KSL655376:KSR655376 LCH655376:LCN655376 LMD655376:LMJ655376 LVZ655376:LWF655376 MFV655376:MGB655376 MPR655376:MPX655376 MZN655376:MZT655376 NJJ655376:NJP655376 NTF655376:NTL655376 ODB655376:ODH655376 OMX655376:OND655376 OWT655376:OWZ655376 PGP655376:PGV655376 PQL655376:PQR655376 QAH655376:QAN655376 QKD655376:QKJ655376 QTZ655376:QUF655376 RDV655376:REB655376 RNR655376:RNX655376 RXN655376:RXT655376 SHJ655376:SHP655376 SRF655376:SRL655376 TBB655376:TBH655376 TKX655376:TLD655376 TUT655376:TUZ655376 UEP655376:UEV655376 UOL655376:UOR655376 UYH655376:UYN655376 VID655376:VIJ655376 VRZ655376:VSF655376 WBV655376:WCB655376 WLR655376:WLX655376 WVN655376:WVT655376 F720912:L720912 JB720912:JH720912 SX720912:TD720912 ACT720912:ACZ720912 AMP720912:AMV720912 AWL720912:AWR720912 BGH720912:BGN720912 BQD720912:BQJ720912 BZZ720912:CAF720912 CJV720912:CKB720912 CTR720912:CTX720912 DDN720912:DDT720912 DNJ720912:DNP720912 DXF720912:DXL720912 EHB720912:EHH720912 EQX720912:ERD720912 FAT720912:FAZ720912 FKP720912:FKV720912 FUL720912:FUR720912 GEH720912:GEN720912 GOD720912:GOJ720912 GXZ720912:GYF720912 HHV720912:HIB720912 HRR720912:HRX720912 IBN720912:IBT720912 ILJ720912:ILP720912 IVF720912:IVL720912 JFB720912:JFH720912 JOX720912:JPD720912 JYT720912:JYZ720912 KIP720912:KIV720912 KSL720912:KSR720912 LCH720912:LCN720912 LMD720912:LMJ720912 LVZ720912:LWF720912 MFV720912:MGB720912 MPR720912:MPX720912 MZN720912:MZT720912 NJJ720912:NJP720912 NTF720912:NTL720912 ODB720912:ODH720912 OMX720912:OND720912 OWT720912:OWZ720912 PGP720912:PGV720912 PQL720912:PQR720912 QAH720912:QAN720912 QKD720912:QKJ720912 QTZ720912:QUF720912 RDV720912:REB720912 RNR720912:RNX720912 RXN720912:RXT720912 SHJ720912:SHP720912 SRF720912:SRL720912 TBB720912:TBH720912 TKX720912:TLD720912 TUT720912:TUZ720912 UEP720912:UEV720912 UOL720912:UOR720912 UYH720912:UYN720912 VID720912:VIJ720912 VRZ720912:VSF720912 WBV720912:WCB720912 WLR720912:WLX720912 WVN720912:WVT720912 F786448:L786448 JB786448:JH786448 SX786448:TD786448 ACT786448:ACZ786448 AMP786448:AMV786448 AWL786448:AWR786448 BGH786448:BGN786448 BQD786448:BQJ786448 BZZ786448:CAF786448 CJV786448:CKB786448 CTR786448:CTX786448 DDN786448:DDT786448 DNJ786448:DNP786448 DXF786448:DXL786448 EHB786448:EHH786448 EQX786448:ERD786448 FAT786448:FAZ786448 FKP786448:FKV786448 FUL786448:FUR786448 GEH786448:GEN786448 GOD786448:GOJ786448 GXZ786448:GYF786448 HHV786448:HIB786448 HRR786448:HRX786448 IBN786448:IBT786448 ILJ786448:ILP786448 IVF786448:IVL786448 JFB786448:JFH786448 JOX786448:JPD786448 JYT786448:JYZ786448 KIP786448:KIV786448 KSL786448:KSR786448 LCH786448:LCN786448 LMD786448:LMJ786448 LVZ786448:LWF786448 MFV786448:MGB786448 MPR786448:MPX786448 MZN786448:MZT786448 NJJ786448:NJP786448 NTF786448:NTL786448 ODB786448:ODH786448 OMX786448:OND786448 OWT786448:OWZ786448 PGP786448:PGV786448 PQL786448:PQR786448 QAH786448:QAN786448 QKD786448:QKJ786448 QTZ786448:QUF786448 RDV786448:REB786448 RNR786448:RNX786448 RXN786448:RXT786448 SHJ786448:SHP786448 SRF786448:SRL786448 TBB786448:TBH786448 TKX786448:TLD786448 TUT786448:TUZ786448 UEP786448:UEV786448 UOL786448:UOR786448 UYH786448:UYN786448 VID786448:VIJ786448 VRZ786448:VSF786448 WBV786448:WCB786448 WLR786448:WLX786448 WVN786448:WVT786448 F851984:L851984 JB851984:JH851984 SX851984:TD851984 ACT851984:ACZ851984 AMP851984:AMV851984 AWL851984:AWR851984 BGH851984:BGN851984 BQD851984:BQJ851984 BZZ851984:CAF851984 CJV851984:CKB851984 CTR851984:CTX851984 DDN851984:DDT851984 DNJ851984:DNP851984 DXF851984:DXL851984 EHB851984:EHH851984 EQX851984:ERD851984 FAT851984:FAZ851984 FKP851984:FKV851984 FUL851984:FUR851984 GEH851984:GEN851984 GOD851984:GOJ851984 GXZ851984:GYF851984 HHV851984:HIB851984 HRR851984:HRX851984 IBN851984:IBT851984 ILJ851984:ILP851984 IVF851984:IVL851984 JFB851984:JFH851984 JOX851984:JPD851984 JYT851984:JYZ851984 KIP851984:KIV851984 KSL851984:KSR851984 LCH851984:LCN851984 LMD851984:LMJ851984 LVZ851984:LWF851984 MFV851984:MGB851984 MPR851984:MPX851984 MZN851984:MZT851984 NJJ851984:NJP851984 NTF851984:NTL851984 ODB851984:ODH851984 OMX851984:OND851984 OWT851984:OWZ851984 PGP851984:PGV851984 PQL851984:PQR851984 QAH851984:QAN851984 QKD851984:QKJ851984 QTZ851984:QUF851984 RDV851984:REB851984 RNR851984:RNX851984 RXN851984:RXT851984 SHJ851984:SHP851984 SRF851984:SRL851984 TBB851984:TBH851984 TKX851984:TLD851984 TUT851984:TUZ851984 UEP851984:UEV851984 UOL851984:UOR851984 UYH851984:UYN851984 VID851984:VIJ851984 VRZ851984:VSF851984 WBV851984:WCB851984 WLR851984:WLX851984 WVN851984:WVT851984 F917520:L917520 JB917520:JH917520 SX917520:TD917520 ACT917520:ACZ917520 AMP917520:AMV917520 AWL917520:AWR917520 BGH917520:BGN917520 BQD917520:BQJ917520 BZZ917520:CAF917520 CJV917520:CKB917520 CTR917520:CTX917520 DDN917520:DDT917520 DNJ917520:DNP917520 DXF917520:DXL917520 EHB917520:EHH917520 EQX917520:ERD917520 FAT917520:FAZ917520 FKP917520:FKV917520 FUL917520:FUR917520 GEH917520:GEN917520 GOD917520:GOJ917520 GXZ917520:GYF917520 HHV917520:HIB917520 HRR917520:HRX917520 IBN917520:IBT917520 ILJ917520:ILP917520 IVF917520:IVL917520 JFB917520:JFH917520 JOX917520:JPD917520 JYT917520:JYZ917520 KIP917520:KIV917520 KSL917520:KSR917520 LCH917520:LCN917520 LMD917520:LMJ917520 LVZ917520:LWF917520 MFV917520:MGB917520 MPR917520:MPX917520 MZN917520:MZT917520 NJJ917520:NJP917520 NTF917520:NTL917520 ODB917520:ODH917520 OMX917520:OND917520 OWT917520:OWZ917520 PGP917520:PGV917520 PQL917520:PQR917520 QAH917520:QAN917520 QKD917520:QKJ917520 QTZ917520:QUF917520 RDV917520:REB917520 RNR917520:RNX917520 RXN917520:RXT917520 SHJ917520:SHP917520 SRF917520:SRL917520 TBB917520:TBH917520 TKX917520:TLD917520 TUT917520:TUZ917520 UEP917520:UEV917520 UOL917520:UOR917520 UYH917520:UYN917520 VID917520:VIJ917520 VRZ917520:VSF917520 WBV917520:WCB917520 WLR917520:WLX917520 WVN917520:WVT917520 F983056:L983056 JB983056:JH983056 SX983056:TD983056 ACT983056:ACZ983056 AMP983056:AMV983056 AWL983056:AWR983056 BGH983056:BGN983056 BQD983056:BQJ983056 BZZ983056:CAF983056 CJV983056:CKB983056 CTR983056:CTX983056 DDN983056:DDT983056 DNJ983056:DNP983056 DXF983056:DXL983056 EHB983056:EHH983056 EQX983056:ERD983056 FAT983056:FAZ983056 FKP983056:FKV983056 FUL983056:FUR983056 GEH983056:GEN983056 GOD983056:GOJ983056 GXZ983056:GYF983056 HHV983056:HIB983056 HRR983056:HRX983056 IBN983056:IBT983056 ILJ983056:ILP983056 IVF983056:IVL983056 JFB983056:JFH983056 JOX983056:JPD983056 JYT983056:JYZ983056 KIP983056:KIV983056 KSL983056:KSR983056 LCH983056:LCN983056 LMD983056:LMJ983056 LVZ983056:LWF983056 MFV983056:MGB983056 MPR983056:MPX983056 MZN983056:MZT983056 NJJ983056:NJP983056 NTF983056:NTL983056 ODB983056:ODH983056 OMX983056:OND983056 OWT983056:OWZ983056 PGP983056:PGV983056 PQL983056:PQR983056 QAH983056:QAN983056 QKD983056:QKJ983056 QTZ983056:QUF983056 RDV983056:REB983056 RNR983056:RNX983056 RXN983056:RXT983056 SHJ983056:SHP983056 SRF983056:SRL983056 TBB983056:TBH983056 TKX983056:TLD983056 TUT983056:TUZ983056 UEP983056:UEV983056 UOL983056:UOR983056 UYH983056:UYN983056 VID983056:VIJ983056 VRZ983056:VSF983056 WBV983056:WCB983056 WLR983056:WLX983056" xr:uid="{00000000-0002-0000-0000-000006000000}">
      <formula1>$AD$12:$AD$15</formula1>
    </dataValidation>
    <dataValidation type="list" allowBlank="1" showInputMessage="1" showErrorMessage="1" sqref="F4:J4 JB4:JF4 SX4:TB4 ACT4:ACX4 AMP4:AMT4 AWL4:AWP4 BGH4:BGL4 BQD4:BQH4 BZZ4:CAD4 CJV4:CJZ4 CTR4:CTV4 DDN4:DDR4 DNJ4:DNN4 DXF4:DXJ4 EHB4:EHF4 EQX4:ERB4 FAT4:FAX4 FKP4:FKT4 FUL4:FUP4 GEH4:GEL4 GOD4:GOH4 GXZ4:GYD4 HHV4:HHZ4 HRR4:HRV4 IBN4:IBR4 ILJ4:ILN4 IVF4:IVJ4 JFB4:JFF4 JOX4:JPB4 JYT4:JYX4 KIP4:KIT4 KSL4:KSP4 LCH4:LCL4 LMD4:LMH4 LVZ4:LWD4 MFV4:MFZ4 MPR4:MPV4 MZN4:MZR4 NJJ4:NJN4 NTF4:NTJ4 ODB4:ODF4 OMX4:ONB4 OWT4:OWX4 PGP4:PGT4 PQL4:PQP4 QAH4:QAL4 QKD4:QKH4 QTZ4:QUD4 RDV4:RDZ4 RNR4:RNV4 RXN4:RXR4 SHJ4:SHN4 SRF4:SRJ4 TBB4:TBF4 TKX4:TLB4 TUT4:TUX4 UEP4:UET4 UOL4:UOP4 UYH4:UYL4 VID4:VIH4 VRZ4:VSD4 WBV4:WBZ4 WLR4:WLV4 WVN4:WVR4 F65540:J65540 JB65540:JF65540 SX65540:TB65540 ACT65540:ACX65540 AMP65540:AMT65540 AWL65540:AWP65540 BGH65540:BGL65540 BQD65540:BQH65540 BZZ65540:CAD65540 CJV65540:CJZ65540 CTR65540:CTV65540 DDN65540:DDR65540 DNJ65540:DNN65540 DXF65540:DXJ65540 EHB65540:EHF65540 EQX65540:ERB65540 FAT65540:FAX65540 FKP65540:FKT65540 FUL65540:FUP65540 GEH65540:GEL65540 GOD65540:GOH65540 GXZ65540:GYD65540 HHV65540:HHZ65540 HRR65540:HRV65540 IBN65540:IBR65540 ILJ65540:ILN65540 IVF65540:IVJ65540 JFB65540:JFF65540 JOX65540:JPB65540 JYT65540:JYX65540 KIP65540:KIT65540 KSL65540:KSP65540 LCH65540:LCL65540 LMD65540:LMH65540 LVZ65540:LWD65540 MFV65540:MFZ65540 MPR65540:MPV65540 MZN65540:MZR65540 NJJ65540:NJN65540 NTF65540:NTJ65540 ODB65540:ODF65540 OMX65540:ONB65540 OWT65540:OWX65540 PGP65540:PGT65540 PQL65540:PQP65540 QAH65540:QAL65540 QKD65540:QKH65540 QTZ65540:QUD65540 RDV65540:RDZ65540 RNR65540:RNV65540 RXN65540:RXR65540 SHJ65540:SHN65540 SRF65540:SRJ65540 TBB65540:TBF65540 TKX65540:TLB65540 TUT65540:TUX65540 UEP65540:UET65540 UOL65540:UOP65540 UYH65540:UYL65540 VID65540:VIH65540 VRZ65540:VSD65540 WBV65540:WBZ65540 WLR65540:WLV65540 WVN65540:WVR65540 F131076:J131076 JB131076:JF131076 SX131076:TB131076 ACT131076:ACX131076 AMP131076:AMT131076 AWL131076:AWP131076 BGH131076:BGL131076 BQD131076:BQH131076 BZZ131076:CAD131076 CJV131076:CJZ131076 CTR131076:CTV131076 DDN131076:DDR131076 DNJ131076:DNN131076 DXF131076:DXJ131076 EHB131076:EHF131076 EQX131076:ERB131076 FAT131076:FAX131076 FKP131076:FKT131076 FUL131076:FUP131076 GEH131076:GEL131076 GOD131076:GOH131076 GXZ131076:GYD131076 HHV131076:HHZ131076 HRR131076:HRV131076 IBN131076:IBR131076 ILJ131076:ILN131076 IVF131076:IVJ131076 JFB131076:JFF131076 JOX131076:JPB131076 JYT131076:JYX131076 KIP131076:KIT131076 KSL131076:KSP131076 LCH131076:LCL131076 LMD131076:LMH131076 LVZ131076:LWD131076 MFV131076:MFZ131076 MPR131076:MPV131076 MZN131076:MZR131076 NJJ131076:NJN131076 NTF131076:NTJ131076 ODB131076:ODF131076 OMX131076:ONB131076 OWT131076:OWX131076 PGP131076:PGT131076 PQL131076:PQP131076 QAH131076:QAL131076 QKD131076:QKH131076 QTZ131076:QUD131076 RDV131076:RDZ131076 RNR131076:RNV131076 RXN131076:RXR131076 SHJ131076:SHN131076 SRF131076:SRJ131076 TBB131076:TBF131076 TKX131076:TLB131076 TUT131076:TUX131076 UEP131076:UET131076 UOL131076:UOP131076 UYH131076:UYL131076 VID131076:VIH131076 VRZ131076:VSD131076 WBV131076:WBZ131076 WLR131076:WLV131076 WVN131076:WVR131076 F196612:J196612 JB196612:JF196612 SX196612:TB196612 ACT196612:ACX196612 AMP196612:AMT196612 AWL196612:AWP196612 BGH196612:BGL196612 BQD196612:BQH196612 BZZ196612:CAD196612 CJV196612:CJZ196612 CTR196612:CTV196612 DDN196612:DDR196612 DNJ196612:DNN196612 DXF196612:DXJ196612 EHB196612:EHF196612 EQX196612:ERB196612 FAT196612:FAX196612 FKP196612:FKT196612 FUL196612:FUP196612 GEH196612:GEL196612 GOD196612:GOH196612 GXZ196612:GYD196612 HHV196612:HHZ196612 HRR196612:HRV196612 IBN196612:IBR196612 ILJ196612:ILN196612 IVF196612:IVJ196612 JFB196612:JFF196612 JOX196612:JPB196612 JYT196612:JYX196612 KIP196612:KIT196612 KSL196612:KSP196612 LCH196612:LCL196612 LMD196612:LMH196612 LVZ196612:LWD196612 MFV196612:MFZ196612 MPR196612:MPV196612 MZN196612:MZR196612 NJJ196612:NJN196612 NTF196612:NTJ196612 ODB196612:ODF196612 OMX196612:ONB196612 OWT196612:OWX196612 PGP196612:PGT196612 PQL196612:PQP196612 QAH196612:QAL196612 QKD196612:QKH196612 QTZ196612:QUD196612 RDV196612:RDZ196612 RNR196612:RNV196612 RXN196612:RXR196612 SHJ196612:SHN196612 SRF196612:SRJ196612 TBB196612:TBF196612 TKX196612:TLB196612 TUT196612:TUX196612 UEP196612:UET196612 UOL196612:UOP196612 UYH196612:UYL196612 VID196612:VIH196612 VRZ196612:VSD196612 WBV196612:WBZ196612 WLR196612:WLV196612 WVN196612:WVR196612 F262148:J262148 JB262148:JF262148 SX262148:TB262148 ACT262148:ACX262148 AMP262148:AMT262148 AWL262148:AWP262148 BGH262148:BGL262148 BQD262148:BQH262148 BZZ262148:CAD262148 CJV262148:CJZ262148 CTR262148:CTV262148 DDN262148:DDR262148 DNJ262148:DNN262148 DXF262148:DXJ262148 EHB262148:EHF262148 EQX262148:ERB262148 FAT262148:FAX262148 FKP262148:FKT262148 FUL262148:FUP262148 GEH262148:GEL262148 GOD262148:GOH262148 GXZ262148:GYD262148 HHV262148:HHZ262148 HRR262148:HRV262148 IBN262148:IBR262148 ILJ262148:ILN262148 IVF262148:IVJ262148 JFB262148:JFF262148 JOX262148:JPB262148 JYT262148:JYX262148 KIP262148:KIT262148 KSL262148:KSP262148 LCH262148:LCL262148 LMD262148:LMH262148 LVZ262148:LWD262148 MFV262148:MFZ262148 MPR262148:MPV262148 MZN262148:MZR262148 NJJ262148:NJN262148 NTF262148:NTJ262148 ODB262148:ODF262148 OMX262148:ONB262148 OWT262148:OWX262148 PGP262148:PGT262148 PQL262148:PQP262148 QAH262148:QAL262148 QKD262148:QKH262148 QTZ262148:QUD262148 RDV262148:RDZ262148 RNR262148:RNV262148 RXN262148:RXR262148 SHJ262148:SHN262148 SRF262148:SRJ262148 TBB262148:TBF262148 TKX262148:TLB262148 TUT262148:TUX262148 UEP262148:UET262148 UOL262148:UOP262148 UYH262148:UYL262148 VID262148:VIH262148 VRZ262148:VSD262148 WBV262148:WBZ262148 WLR262148:WLV262148 WVN262148:WVR262148 F327684:J327684 JB327684:JF327684 SX327684:TB327684 ACT327684:ACX327684 AMP327684:AMT327684 AWL327684:AWP327684 BGH327684:BGL327684 BQD327684:BQH327684 BZZ327684:CAD327684 CJV327684:CJZ327684 CTR327684:CTV327684 DDN327684:DDR327684 DNJ327684:DNN327684 DXF327684:DXJ327684 EHB327684:EHF327684 EQX327684:ERB327684 FAT327684:FAX327684 FKP327684:FKT327684 FUL327684:FUP327684 GEH327684:GEL327684 GOD327684:GOH327684 GXZ327684:GYD327684 HHV327684:HHZ327684 HRR327684:HRV327684 IBN327684:IBR327684 ILJ327684:ILN327684 IVF327684:IVJ327684 JFB327684:JFF327684 JOX327684:JPB327684 JYT327684:JYX327684 KIP327684:KIT327684 KSL327684:KSP327684 LCH327684:LCL327684 LMD327684:LMH327684 LVZ327684:LWD327684 MFV327684:MFZ327684 MPR327684:MPV327684 MZN327684:MZR327684 NJJ327684:NJN327684 NTF327684:NTJ327684 ODB327684:ODF327684 OMX327684:ONB327684 OWT327684:OWX327684 PGP327684:PGT327684 PQL327684:PQP327684 QAH327684:QAL327684 QKD327684:QKH327684 QTZ327684:QUD327684 RDV327684:RDZ327684 RNR327684:RNV327684 RXN327684:RXR327684 SHJ327684:SHN327684 SRF327684:SRJ327684 TBB327684:TBF327684 TKX327684:TLB327684 TUT327684:TUX327684 UEP327684:UET327684 UOL327684:UOP327684 UYH327684:UYL327684 VID327684:VIH327684 VRZ327684:VSD327684 WBV327684:WBZ327684 WLR327684:WLV327684 WVN327684:WVR327684 F393220:J393220 JB393220:JF393220 SX393220:TB393220 ACT393220:ACX393220 AMP393220:AMT393220 AWL393220:AWP393220 BGH393220:BGL393220 BQD393220:BQH393220 BZZ393220:CAD393220 CJV393220:CJZ393220 CTR393220:CTV393220 DDN393220:DDR393220 DNJ393220:DNN393220 DXF393220:DXJ393220 EHB393220:EHF393220 EQX393220:ERB393220 FAT393220:FAX393220 FKP393220:FKT393220 FUL393220:FUP393220 GEH393220:GEL393220 GOD393220:GOH393220 GXZ393220:GYD393220 HHV393220:HHZ393220 HRR393220:HRV393220 IBN393220:IBR393220 ILJ393220:ILN393220 IVF393220:IVJ393220 JFB393220:JFF393220 JOX393220:JPB393220 JYT393220:JYX393220 KIP393220:KIT393220 KSL393220:KSP393220 LCH393220:LCL393220 LMD393220:LMH393220 LVZ393220:LWD393220 MFV393220:MFZ393220 MPR393220:MPV393220 MZN393220:MZR393220 NJJ393220:NJN393220 NTF393220:NTJ393220 ODB393220:ODF393220 OMX393220:ONB393220 OWT393220:OWX393220 PGP393220:PGT393220 PQL393220:PQP393220 QAH393220:QAL393220 QKD393220:QKH393220 QTZ393220:QUD393220 RDV393220:RDZ393220 RNR393220:RNV393220 RXN393220:RXR393220 SHJ393220:SHN393220 SRF393220:SRJ393220 TBB393220:TBF393220 TKX393220:TLB393220 TUT393220:TUX393220 UEP393220:UET393220 UOL393220:UOP393220 UYH393220:UYL393220 VID393220:VIH393220 VRZ393220:VSD393220 WBV393220:WBZ393220 WLR393220:WLV393220 WVN393220:WVR393220 F458756:J458756 JB458756:JF458756 SX458756:TB458756 ACT458756:ACX458756 AMP458756:AMT458756 AWL458756:AWP458756 BGH458756:BGL458756 BQD458756:BQH458756 BZZ458756:CAD458756 CJV458756:CJZ458756 CTR458756:CTV458756 DDN458756:DDR458756 DNJ458756:DNN458756 DXF458756:DXJ458756 EHB458756:EHF458756 EQX458756:ERB458756 FAT458756:FAX458756 FKP458756:FKT458756 FUL458756:FUP458756 GEH458756:GEL458756 GOD458756:GOH458756 GXZ458756:GYD458756 HHV458756:HHZ458756 HRR458756:HRV458756 IBN458756:IBR458756 ILJ458756:ILN458756 IVF458756:IVJ458756 JFB458756:JFF458756 JOX458756:JPB458756 JYT458756:JYX458756 KIP458756:KIT458756 KSL458756:KSP458756 LCH458756:LCL458756 LMD458756:LMH458756 LVZ458756:LWD458756 MFV458756:MFZ458756 MPR458756:MPV458756 MZN458756:MZR458756 NJJ458756:NJN458756 NTF458756:NTJ458756 ODB458756:ODF458756 OMX458756:ONB458756 OWT458756:OWX458756 PGP458756:PGT458756 PQL458756:PQP458756 QAH458756:QAL458756 QKD458756:QKH458756 QTZ458756:QUD458756 RDV458756:RDZ458756 RNR458756:RNV458756 RXN458756:RXR458756 SHJ458756:SHN458756 SRF458756:SRJ458756 TBB458756:TBF458756 TKX458756:TLB458756 TUT458756:TUX458756 UEP458756:UET458756 UOL458756:UOP458756 UYH458756:UYL458756 VID458756:VIH458756 VRZ458756:VSD458756 WBV458756:WBZ458756 WLR458756:WLV458756 WVN458756:WVR458756 F524292:J524292 JB524292:JF524292 SX524292:TB524292 ACT524292:ACX524292 AMP524292:AMT524292 AWL524292:AWP524292 BGH524292:BGL524292 BQD524292:BQH524292 BZZ524292:CAD524292 CJV524292:CJZ524292 CTR524292:CTV524292 DDN524292:DDR524292 DNJ524292:DNN524292 DXF524292:DXJ524292 EHB524292:EHF524292 EQX524292:ERB524292 FAT524292:FAX524292 FKP524292:FKT524292 FUL524292:FUP524292 GEH524292:GEL524292 GOD524292:GOH524292 GXZ524292:GYD524292 HHV524292:HHZ524292 HRR524292:HRV524292 IBN524292:IBR524292 ILJ524292:ILN524292 IVF524292:IVJ524292 JFB524292:JFF524292 JOX524292:JPB524292 JYT524292:JYX524292 KIP524292:KIT524292 KSL524292:KSP524292 LCH524292:LCL524292 LMD524292:LMH524292 LVZ524292:LWD524292 MFV524292:MFZ524292 MPR524292:MPV524292 MZN524292:MZR524292 NJJ524292:NJN524292 NTF524292:NTJ524292 ODB524292:ODF524292 OMX524292:ONB524292 OWT524292:OWX524292 PGP524292:PGT524292 PQL524292:PQP524292 QAH524292:QAL524292 QKD524292:QKH524292 QTZ524292:QUD524292 RDV524292:RDZ524292 RNR524292:RNV524292 RXN524292:RXR524292 SHJ524292:SHN524292 SRF524292:SRJ524292 TBB524292:TBF524292 TKX524292:TLB524292 TUT524292:TUX524292 UEP524292:UET524292 UOL524292:UOP524292 UYH524292:UYL524292 VID524292:VIH524292 VRZ524292:VSD524292 WBV524292:WBZ524292 WLR524292:WLV524292 WVN524292:WVR524292 F589828:J589828 JB589828:JF589828 SX589828:TB589828 ACT589828:ACX589828 AMP589828:AMT589828 AWL589828:AWP589828 BGH589828:BGL589828 BQD589828:BQH589828 BZZ589828:CAD589828 CJV589828:CJZ589828 CTR589828:CTV589828 DDN589828:DDR589828 DNJ589828:DNN589828 DXF589828:DXJ589828 EHB589828:EHF589828 EQX589828:ERB589828 FAT589828:FAX589828 FKP589828:FKT589828 FUL589828:FUP589828 GEH589828:GEL589828 GOD589828:GOH589828 GXZ589828:GYD589828 HHV589828:HHZ589828 HRR589828:HRV589828 IBN589828:IBR589828 ILJ589828:ILN589828 IVF589828:IVJ589828 JFB589828:JFF589828 JOX589828:JPB589828 JYT589828:JYX589828 KIP589828:KIT589828 KSL589828:KSP589828 LCH589828:LCL589828 LMD589828:LMH589828 LVZ589828:LWD589828 MFV589828:MFZ589828 MPR589828:MPV589828 MZN589828:MZR589828 NJJ589828:NJN589828 NTF589828:NTJ589828 ODB589828:ODF589828 OMX589828:ONB589828 OWT589828:OWX589828 PGP589828:PGT589828 PQL589828:PQP589828 QAH589828:QAL589828 QKD589828:QKH589828 QTZ589828:QUD589828 RDV589828:RDZ589828 RNR589828:RNV589828 RXN589828:RXR589828 SHJ589828:SHN589828 SRF589828:SRJ589828 TBB589828:TBF589828 TKX589828:TLB589828 TUT589828:TUX589828 UEP589828:UET589828 UOL589828:UOP589828 UYH589828:UYL589828 VID589828:VIH589828 VRZ589828:VSD589828 WBV589828:WBZ589828 WLR589828:WLV589828 WVN589828:WVR589828 F655364:J655364 JB655364:JF655364 SX655364:TB655364 ACT655364:ACX655364 AMP655364:AMT655364 AWL655364:AWP655364 BGH655364:BGL655364 BQD655364:BQH655364 BZZ655364:CAD655364 CJV655364:CJZ655364 CTR655364:CTV655364 DDN655364:DDR655364 DNJ655364:DNN655364 DXF655364:DXJ655364 EHB655364:EHF655364 EQX655364:ERB655364 FAT655364:FAX655364 FKP655364:FKT655364 FUL655364:FUP655364 GEH655364:GEL655364 GOD655364:GOH655364 GXZ655364:GYD655364 HHV655364:HHZ655364 HRR655364:HRV655364 IBN655364:IBR655364 ILJ655364:ILN655364 IVF655364:IVJ655364 JFB655364:JFF655364 JOX655364:JPB655364 JYT655364:JYX655364 KIP655364:KIT655364 KSL655364:KSP655364 LCH655364:LCL655364 LMD655364:LMH655364 LVZ655364:LWD655364 MFV655364:MFZ655364 MPR655364:MPV655364 MZN655364:MZR655364 NJJ655364:NJN655364 NTF655364:NTJ655364 ODB655364:ODF655364 OMX655364:ONB655364 OWT655364:OWX655364 PGP655364:PGT655364 PQL655364:PQP655364 QAH655364:QAL655364 QKD655364:QKH655364 QTZ655364:QUD655364 RDV655364:RDZ655364 RNR655364:RNV655364 RXN655364:RXR655364 SHJ655364:SHN655364 SRF655364:SRJ655364 TBB655364:TBF655364 TKX655364:TLB655364 TUT655364:TUX655364 UEP655364:UET655364 UOL655364:UOP655364 UYH655364:UYL655364 VID655364:VIH655364 VRZ655364:VSD655364 WBV655364:WBZ655364 WLR655364:WLV655364 WVN655364:WVR655364 F720900:J720900 JB720900:JF720900 SX720900:TB720900 ACT720900:ACX720900 AMP720900:AMT720900 AWL720900:AWP720900 BGH720900:BGL720900 BQD720900:BQH720900 BZZ720900:CAD720900 CJV720900:CJZ720900 CTR720900:CTV720900 DDN720900:DDR720900 DNJ720900:DNN720900 DXF720900:DXJ720900 EHB720900:EHF720900 EQX720900:ERB720900 FAT720900:FAX720900 FKP720900:FKT720900 FUL720900:FUP720900 GEH720900:GEL720900 GOD720900:GOH720900 GXZ720900:GYD720900 HHV720900:HHZ720900 HRR720900:HRV720900 IBN720900:IBR720900 ILJ720900:ILN720900 IVF720900:IVJ720900 JFB720900:JFF720900 JOX720900:JPB720900 JYT720900:JYX720900 KIP720900:KIT720900 KSL720900:KSP720900 LCH720900:LCL720900 LMD720900:LMH720900 LVZ720900:LWD720900 MFV720900:MFZ720900 MPR720900:MPV720900 MZN720900:MZR720900 NJJ720900:NJN720900 NTF720900:NTJ720900 ODB720900:ODF720900 OMX720900:ONB720900 OWT720900:OWX720900 PGP720900:PGT720900 PQL720900:PQP720900 QAH720900:QAL720900 QKD720900:QKH720900 QTZ720900:QUD720900 RDV720900:RDZ720900 RNR720900:RNV720900 RXN720900:RXR720900 SHJ720900:SHN720900 SRF720900:SRJ720900 TBB720900:TBF720900 TKX720900:TLB720900 TUT720900:TUX720900 UEP720900:UET720900 UOL720900:UOP720900 UYH720900:UYL720900 VID720900:VIH720900 VRZ720900:VSD720900 WBV720900:WBZ720900 WLR720900:WLV720900 WVN720900:WVR720900 F786436:J786436 JB786436:JF786436 SX786436:TB786436 ACT786436:ACX786436 AMP786436:AMT786436 AWL786436:AWP786436 BGH786436:BGL786436 BQD786436:BQH786436 BZZ786436:CAD786436 CJV786436:CJZ786436 CTR786436:CTV786436 DDN786436:DDR786436 DNJ786436:DNN786436 DXF786436:DXJ786436 EHB786436:EHF786436 EQX786436:ERB786436 FAT786436:FAX786436 FKP786436:FKT786436 FUL786436:FUP786436 GEH786436:GEL786436 GOD786436:GOH786436 GXZ786436:GYD786436 HHV786436:HHZ786436 HRR786436:HRV786436 IBN786436:IBR786436 ILJ786436:ILN786436 IVF786436:IVJ786436 JFB786436:JFF786436 JOX786436:JPB786436 JYT786436:JYX786436 KIP786436:KIT786436 KSL786436:KSP786436 LCH786436:LCL786436 LMD786436:LMH786436 LVZ786436:LWD786436 MFV786436:MFZ786436 MPR786436:MPV786436 MZN786436:MZR786436 NJJ786436:NJN786436 NTF786436:NTJ786436 ODB786436:ODF786436 OMX786436:ONB786436 OWT786436:OWX786436 PGP786436:PGT786436 PQL786436:PQP786436 QAH786436:QAL786436 QKD786436:QKH786436 QTZ786436:QUD786436 RDV786436:RDZ786436 RNR786436:RNV786436 RXN786436:RXR786436 SHJ786436:SHN786436 SRF786436:SRJ786436 TBB786436:TBF786436 TKX786436:TLB786436 TUT786436:TUX786436 UEP786436:UET786436 UOL786436:UOP786436 UYH786436:UYL786436 VID786436:VIH786436 VRZ786436:VSD786436 WBV786436:WBZ786436 WLR786436:WLV786436 WVN786436:WVR786436 F851972:J851972 JB851972:JF851972 SX851972:TB851972 ACT851972:ACX851972 AMP851972:AMT851972 AWL851972:AWP851972 BGH851972:BGL851972 BQD851972:BQH851972 BZZ851972:CAD851972 CJV851972:CJZ851972 CTR851972:CTV851972 DDN851972:DDR851972 DNJ851972:DNN851972 DXF851972:DXJ851972 EHB851972:EHF851972 EQX851972:ERB851972 FAT851972:FAX851972 FKP851972:FKT851972 FUL851972:FUP851972 GEH851972:GEL851972 GOD851972:GOH851972 GXZ851972:GYD851972 HHV851972:HHZ851972 HRR851972:HRV851972 IBN851972:IBR851972 ILJ851972:ILN851972 IVF851972:IVJ851972 JFB851972:JFF851972 JOX851972:JPB851972 JYT851972:JYX851972 KIP851972:KIT851972 KSL851972:KSP851972 LCH851972:LCL851972 LMD851972:LMH851972 LVZ851972:LWD851972 MFV851972:MFZ851972 MPR851972:MPV851972 MZN851972:MZR851972 NJJ851972:NJN851972 NTF851972:NTJ851972 ODB851972:ODF851972 OMX851972:ONB851972 OWT851972:OWX851972 PGP851972:PGT851972 PQL851972:PQP851972 QAH851972:QAL851972 QKD851972:QKH851972 QTZ851972:QUD851972 RDV851972:RDZ851972 RNR851972:RNV851972 RXN851972:RXR851972 SHJ851972:SHN851972 SRF851972:SRJ851972 TBB851972:TBF851972 TKX851972:TLB851972 TUT851972:TUX851972 UEP851972:UET851972 UOL851972:UOP851972 UYH851972:UYL851972 VID851972:VIH851972 VRZ851972:VSD851972 WBV851972:WBZ851972 WLR851972:WLV851972 WVN851972:WVR851972 F917508:J917508 JB917508:JF917508 SX917508:TB917508 ACT917508:ACX917508 AMP917508:AMT917508 AWL917508:AWP917508 BGH917508:BGL917508 BQD917508:BQH917508 BZZ917508:CAD917508 CJV917508:CJZ917508 CTR917508:CTV917508 DDN917508:DDR917508 DNJ917508:DNN917508 DXF917508:DXJ917508 EHB917508:EHF917508 EQX917508:ERB917508 FAT917508:FAX917508 FKP917508:FKT917508 FUL917508:FUP917508 GEH917508:GEL917508 GOD917508:GOH917508 GXZ917508:GYD917508 HHV917508:HHZ917508 HRR917508:HRV917508 IBN917508:IBR917508 ILJ917508:ILN917508 IVF917508:IVJ917508 JFB917508:JFF917508 JOX917508:JPB917508 JYT917508:JYX917508 KIP917508:KIT917508 KSL917508:KSP917508 LCH917508:LCL917508 LMD917508:LMH917508 LVZ917508:LWD917508 MFV917508:MFZ917508 MPR917508:MPV917508 MZN917508:MZR917508 NJJ917508:NJN917508 NTF917508:NTJ917508 ODB917508:ODF917508 OMX917508:ONB917508 OWT917508:OWX917508 PGP917508:PGT917508 PQL917508:PQP917508 QAH917508:QAL917508 QKD917508:QKH917508 QTZ917508:QUD917508 RDV917508:RDZ917508 RNR917508:RNV917508 RXN917508:RXR917508 SHJ917508:SHN917508 SRF917508:SRJ917508 TBB917508:TBF917508 TKX917508:TLB917508 TUT917508:TUX917508 UEP917508:UET917508 UOL917508:UOP917508 UYH917508:UYL917508 VID917508:VIH917508 VRZ917508:VSD917508 WBV917508:WBZ917508 WLR917508:WLV917508 WVN917508:WVR917508 F983044:J983044 JB983044:JF983044 SX983044:TB983044 ACT983044:ACX983044 AMP983044:AMT983044 AWL983044:AWP983044 BGH983044:BGL983044 BQD983044:BQH983044 BZZ983044:CAD983044 CJV983044:CJZ983044 CTR983044:CTV983044 DDN983044:DDR983044 DNJ983044:DNN983044 DXF983044:DXJ983044 EHB983044:EHF983044 EQX983044:ERB983044 FAT983044:FAX983044 FKP983044:FKT983044 FUL983044:FUP983044 GEH983044:GEL983044 GOD983044:GOH983044 GXZ983044:GYD983044 HHV983044:HHZ983044 HRR983044:HRV983044 IBN983044:IBR983044 ILJ983044:ILN983044 IVF983044:IVJ983044 JFB983044:JFF983044 JOX983044:JPB983044 JYT983044:JYX983044 KIP983044:KIT983044 KSL983044:KSP983044 LCH983044:LCL983044 LMD983044:LMH983044 LVZ983044:LWD983044 MFV983044:MFZ983044 MPR983044:MPV983044 MZN983044:MZR983044 NJJ983044:NJN983044 NTF983044:NTJ983044 ODB983044:ODF983044 OMX983044:ONB983044 OWT983044:OWX983044 PGP983044:PGT983044 PQL983044:PQP983044 QAH983044:QAL983044 QKD983044:QKH983044 QTZ983044:QUD983044 RDV983044:RDZ983044 RNR983044:RNV983044 RXN983044:RXR983044 SHJ983044:SHN983044 SRF983044:SRJ983044 TBB983044:TBF983044 TKX983044:TLB983044 TUT983044:TUX983044 UEP983044:UET983044 UOL983044:UOP983044 UYH983044:UYL983044 VID983044:VIH983044 VRZ983044:VSD983044 WBV983044:WBZ983044 WLR983044:WLV983044 WVN983044:WVR983044" xr:uid="{00000000-0002-0000-0000-000007000000}">
      <formula1>$AD$1:$AD$8</formula1>
    </dataValidation>
    <dataValidation type="list" allowBlank="1" showInputMessage="1" showErrorMessage="1" sqref="F16:L16" xr:uid="{E319DB31-40B9-4B41-BC4A-AAE11484AE98}">
      <formula1>$AD$12:$AD$16</formula1>
    </dataValidation>
    <dataValidation type="list" allowBlank="1" showInputMessage="1" showErrorMessage="1" sqref="F21:L21" xr:uid="{02B453D9-A610-49A5-99AF-82B36D5F5BCB}">
      <formula1>$AD$20:$AD$23</formula1>
    </dataValidation>
  </dataValidations>
  <hyperlinks>
    <hyperlink ref="P59" location="'Sorting approval'!A1" display="see sorting approval" xr:uid="{00000000-0004-0000-0000-000000000000}"/>
    <hyperlink ref="S34" r:id="rId1" xr:uid="{00A24B05-168D-44D5-8A54-9E8434960381}"/>
    <hyperlink ref="S35" r:id="rId2" xr:uid="{92511441-D826-403F-A3C0-3DD18801C416}"/>
    <hyperlink ref="S36" r:id="rId3" xr:uid="{AC5633F4-41B4-4CD8-8C84-3DBA9B43A77A}"/>
  </hyperlinks>
  <printOptions horizontalCentered="1"/>
  <pageMargins left="0.59055118110236227" right="0.39370078740157483" top="0.39370078740157483" bottom="0.39370078740157483" header="0.39370078740157483" footer="0.19685039370078741"/>
  <pageSetup paperSize="9" scale="84" orientation="portrait" r:id="rId4"/>
  <headerFooter alignWithMargins="0">
    <oddFooter>&amp;L&amp;8&amp;F&amp;C&amp;8Edition 1 - 2015.11.1&amp;R&amp;8Print &amp;D</oddFooter>
  </headerFooter>
  <drawing r:id="rId5"/>
  <legacyDrawing r:id="rId6"/>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rkusz2">
    <pageSetUpPr fitToPage="1"/>
  </sheetPr>
  <dimension ref="A1:AC65"/>
  <sheetViews>
    <sheetView view="pageBreakPreview" zoomScaleNormal="100" zoomScaleSheetLayoutView="100" workbookViewId="0">
      <selection activeCell="AP18" sqref="AP18"/>
    </sheetView>
  </sheetViews>
  <sheetFormatPr baseColWidth="10" defaultColWidth="4.33203125" defaultRowHeight="10.199999999999999"/>
  <cols>
    <col min="1" max="1" width="1.44140625" style="46" customWidth="1"/>
    <col min="2" max="24" width="4.33203125" style="46" customWidth="1"/>
    <col min="25" max="25" width="1.44140625" style="46" customWidth="1"/>
    <col min="26" max="28" width="4.33203125" style="46" customWidth="1"/>
    <col min="29" max="29" width="4.33203125" style="47" customWidth="1"/>
    <col min="30" max="16384" width="4.33203125" style="46"/>
  </cols>
  <sheetData>
    <row r="1" spans="1:29" ht="12.75" customHeight="1">
      <c r="A1" s="365"/>
      <c r="B1" s="365"/>
      <c r="C1" s="365"/>
      <c r="D1" s="365"/>
      <c r="E1" s="365"/>
      <c r="F1" s="365"/>
      <c r="G1" s="365"/>
      <c r="H1" s="365"/>
      <c r="I1" s="365"/>
      <c r="J1" s="418" t="s">
        <v>183</v>
      </c>
      <c r="K1" s="418"/>
      <c r="L1" s="418"/>
      <c r="M1" s="418"/>
      <c r="N1" s="418"/>
      <c r="O1" s="418"/>
      <c r="P1" s="418"/>
      <c r="Q1" s="418"/>
      <c r="R1" s="365" t="s">
        <v>182</v>
      </c>
      <c r="S1" s="365"/>
      <c r="T1" s="365"/>
      <c r="U1" s="365"/>
      <c r="V1" s="365"/>
      <c r="W1" s="365"/>
      <c r="X1" s="365"/>
      <c r="Y1" s="365"/>
    </row>
    <row r="2" spans="1:29">
      <c r="A2" s="365"/>
      <c r="B2" s="365"/>
      <c r="C2" s="365"/>
      <c r="D2" s="365"/>
      <c r="E2" s="365"/>
      <c r="F2" s="365"/>
      <c r="G2" s="365"/>
      <c r="H2" s="365"/>
      <c r="I2" s="365"/>
      <c r="J2" s="418"/>
      <c r="K2" s="418"/>
      <c r="L2" s="418"/>
      <c r="M2" s="418"/>
      <c r="N2" s="418"/>
      <c r="O2" s="418"/>
      <c r="P2" s="418"/>
      <c r="Q2" s="418"/>
      <c r="R2" s="365"/>
      <c r="S2" s="365"/>
      <c r="T2" s="365"/>
      <c r="U2" s="365"/>
      <c r="V2" s="365"/>
      <c r="W2" s="365"/>
      <c r="X2" s="365"/>
      <c r="Y2" s="365"/>
    </row>
    <row r="3" spans="1:29" ht="10.8" thickBot="1">
      <c r="A3" s="365"/>
      <c r="B3" s="365"/>
      <c r="C3" s="365"/>
      <c r="D3" s="365"/>
      <c r="E3" s="365"/>
      <c r="F3" s="365"/>
      <c r="G3" s="365"/>
      <c r="H3" s="365"/>
      <c r="I3" s="365"/>
      <c r="J3" s="419"/>
      <c r="K3" s="419"/>
      <c r="L3" s="419"/>
      <c r="M3" s="419"/>
      <c r="N3" s="419"/>
      <c r="O3" s="419"/>
      <c r="P3" s="419"/>
      <c r="Q3" s="419"/>
      <c r="R3" s="365"/>
      <c r="S3" s="365"/>
      <c r="T3" s="365"/>
      <c r="U3" s="365"/>
      <c r="V3" s="365"/>
      <c r="W3" s="365"/>
      <c r="X3" s="365"/>
      <c r="Y3" s="365"/>
    </row>
    <row r="4" spans="1:29">
      <c r="A4" s="88" t="s">
        <v>178</v>
      </c>
      <c r="B4" s="86"/>
      <c r="C4" s="86"/>
      <c r="D4" s="86"/>
      <c r="E4" s="86"/>
      <c r="F4" s="458" t="str">
        <f>'Quick Response'!F4</f>
        <v>NMA Santa Perpetua</v>
      </c>
      <c r="G4" s="458"/>
      <c r="H4" s="458"/>
      <c r="I4" s="458"/>
      <c r="J4" s="458"/>
      <c r="K4" s="87" t="s">
        <v>177</v>
      </c>
      <c r="L4" s="86"/>
      <c r="M4" s="458" t="str">
        <f>'Quick Response'!M4</f>
        <v>AVOCarbon Tunsia</v>
      </c>
      <c r="N4" s="458"/>
      <c r="O4" s="458"/>
      <c r="P4" s="458"/>
      <c r="Q4" s="458"/>
      <c r="R4" s="86"/>
      <c r="S4" s="87" t="s">
        <v>176</v>
      </c>
      <c r="T4" s="86"/>
      <c r="U4" s="86"/>
      <c r="V4" s="463">
        <f>'Quick Response'!V4</f>
        <v>45946</v>
      </c>
      <c r="W4" s="463"/>
      <c r="X4" s="463"/>
      <c r="Y4" s="464"/>
    </row>
    <row r="5" spans="1:29">
      <c r="A5" s="85" t="s">
        <v>174</v>
      </c>
      <c r="B5" s="83"/>
      <c r="C5" s="83"/>
      <c r="D5" s="83"/>
      <c r="E5" s="83"/>
      <c r="F5" s="459" t="str">
        <f>'Quick Response'!F5</f>
        <v>Alfons Lledó</v>
      </c>
      <c r="G5" s="459"/>
      <c r="H5" s="459"/>
      <c r="I5" s="459"/>
      <c r="J5" s="459"/>
      <c r="K5" s="84" t="s">
        <v>208</v>
      </c>
      <c r="L5" s="83"/>
      <c r="M5" s="459">
        <f>'Quick Response'!M5</f>
        <v>0</v>
      </c>
      <c r="N5" s="459"/>
      <c r="O5" s="459"/>
      <c r="P5" s="459"/>
      <c r="Q5" s="459"/>
      <c r="R5" s="83"/>
      <c r="S5" s="84" t="s">
        <v>207</v>
      </c>
      <c r="T5" s="83"/>
      <c r="U5" s="83"/>
      <c r="V5" s="421"/>
      <c r="W5" s="421"/>
      <c r="X5" s="421"/>
      <c r="Y5" s="422"/>
    </row>
    <row r="6" spans="1:29" ht="10.8" thickBot="1">
      <c r="A6" s="82" t="s">
        <v>170</v>
      </c>
      <c r="B6" s="79"/>
      <c r="C6" s="79"/>
      <c r="D6" s="79"/>
      <c r="E6" s="79"/>
      <c r="F6" s="465" t="str">
        <f>'Quick Response'!F6</f>
        <v>NMAS/2025/006</v>
      </c>
      <c r="G6" s="465"/>
      <c r="H6" s="465"/>
      <c r="I6" s="465"/>
      <c r="J6" s="465"/>
      <c r="K6" s="81" t="s">
        <v>169</v>
      </c>
      <c r="L6" s="79"/>
      <c r="M6" s="465">
        <f>'Quick Response'!M6</f>
        <v>0</v>
      </c>
      <c r="N6" s="465"/>
      <c r="O6" s="465"/>
      <c r="P6" s="465"/>
      <c r="Q6" s="465"/>
      <c r="R6" s="79"/>
      <c r="S6" s="80" t="s">
        <v>206</v>
      </c>
      <c r="T6" s="79"/>
      <c r="U6" s="79"/>
      <c r="V6" s="425"/>
      <c r="W6" s="425"/>
      <c r="X6" s="425"/>
      <c r="Y6" s="426"/>
    </row>
    <row r="7" spans="1:29" ht="10.8" thickBot="1"/>
    <row r="8" spans="1:29" ht="24.6">
      <c r="A8" s="460" t="s">
        <v>205</v>
      </c>
      <c r="B8" s="461"/>
      <c r="C8" s="461"/>
      <c r="D8" s="461"/>
      <c r="E8" s="461"/>
      <c r="F8" s="461"/>
      <c r="G8" s="461"/>
      <c r="H8" s="461"/>
      <c r="I8" s="461"/>
      <c r="J8" s="461"/>
      <c r="K8" s="461"/>
      <c r="L8" s="461"/>
      <c r="M8" s="461"/>
      <c r="N8" s="461"/>
      <c r="O8" s="461"/>
      <c r="P8" s="461"/>
      <c r="Q8" s="461"/>
      <c r="R8" s="461"/>
      <c r="S8" s="461"/>
      <c r="T8" s="461"/>
      <c r="U8" s="461"/>
      <c r="V8" s="461"/>
      <c r="W8" s="461"/>
      <c r="X8" s="461"/>
      <c r="Y8" s="462"/>
    </row>
    <row r="9" spans="1:29" ht="14.4" thickBot="1">
      <c r="A9" s="102"/>
      <c r="B9" s="456" t="s">
        <v>204</v>
      </c>
      <c r="C9" s="457"/>
      <c r="D9" s="457"/>
      <c r="E9" s="457"/>
      <c r="F9" s="457"/>
      <c r="G9" s="457"/>
      <c r="H9" s="457"/>
      <c r="I9" s="457"/>
      <c r="J9" s="457"/>
      <c r="K9" s="457"/>
      <c r="L9" s="457"/>
      <c r="M9" s="457"/>
      <c r="N9" s="101">
        <v>5</v>
      </c>
      <c r="O9" s="517" t="s">
        <v>203</v>
      </c>
      <c r="P9" s="517"/>
      <c r="Q9" s="517"/>
      <c r="R9" s="517"/>
      <c r="S9" s="517"/>
      <c r="T9" s="517"/>
      <c r="U9" s="517"/>
      <c r="V9" s="517"/>
      <c r="W9" s="517"/>
      <c r="X9" s="517"/>
      <c r="Y9" s="100"/>
      <c r="AC9" s="47">
        <v>1</v>
      </c>
    </row>
    <row r="10" spans="1:29" ht="7.5" customHeight="1" thickBot="1">
      <c r="B10" s="47"/>
      <c r="D10" s="47"/>
      <c r="F10" s="47"/>
      <c r="H10" s="47"/>
      <c r="J10" s="47"/>
      <c r="L10" s="47"/>
      <c r="N10" s="47"/>
      <c r="P10" s="47"/>
      <c r="R10" s="47"/>
      <c r="T10" s="47"/>
      <c r="V10" s="47"/>
      <c r="X10" s="47"/>
      <c r="Z10" s="47"/>
      <c r="AC10" s="47">
        <v>2</v>
      </c>
    </row>
    <row r="11" spans="1:29" ht="13.8" thickBot="1">
      <c r="A11" s="99"/>
      <c r="B11" s="98"/>
      <c r="C11" s="98"/>
      <c r="D11" s="98"/>
      <c r="E11" s="98"/>
      <c r="F11" s="98"/>
      <c r="G11" s="98"/>
      <c r="H11" s="98"/>
      <c r="I11" s="98"/>
      <c r="J11" s="98"/>
      <c r="K11" s="98"/>
      <c r="L11" s="98"/>
      <c r="M11" s="98"/>
      <c r="N11" s="98"/>
      <c r="O11" s="98"/>
      <c r="P11" s="98"/>
      <c r="Q11" s="98"/>
      <c r="R11" s="98"/>
      <c r="S11" s="98"/>
      <c r="T11" s="98"/>
      <c r="U11" s="98"/>
      <c r="V11" s="98"/>
      <c r="W11" s="98"/>
      <c r="X11" s="98"/>
      <c r="Y11" s="97"/>
      <c r="AC11" s="47">
        <v>3</v>
      </c>
    </row>
    <row r="12" spans="1:29" ht="13.8" thickBot="1">
      <c r="A12" s="93"/>
      <c r="B12" s="450" t="s">
        <v>202</v>
      </c>
      <c r="C12" s="451"/>
      <c r="D12" s="451"/>
      <c r="E12" s="451"/>
      <c r="F12" s="451"/>
      <c r="G12" s="451"/>
      <c r="H12" s="451"/>
      <c r="I12" s="451"/>
      <c r="J12" s="451"/>
      <c r="K12" s="451"/>
      <c r="L12" s="452"/>
      <c r="M12" s="94"/>
      <c r="N12" s="453" t="s">
        <v>201</v>
      </c>
      <c r="O12" s="454"/>
      <c r="P12" s="454"/>
      <c r="Q12" s="454"/>
      <c r="R12" s="454"/>
      <c r="S12" s="454"/>
      <c r="T12" s="454"/>
      <c r="U12" s="454"/>
      <c r="V12" s="454"/>
      <c r="W12" s="454"/>
      <c r="X12" s="455"/>
      <c r="Y12" s="92"/>
      <c r="AC12" s="47">
        <v>5</v>
      </c>
    </row>
    <row r="13" spans="1:29" ht="13.2">
      <c r="A13" s="93"/>
      <c r="B13" s="448" t="s">
        <v>135</v>
      </c>
      <c r="C13" s="449"/>
      <c r="D13" s="449"/>
      <c r="E13" s="518"/>
      <c r="F13" s="519"/>
      <c r="G13" s="519"/>
      <c r="H13" s="519"/>
      <c r="I13" s="519"/>
      <c r="J13" s="519"/>
      <c r="K13" s="519"/>
      <c r="L13" s="520"/>
      <c r="M13" s="94"/>
      <c r="N13" s="448" t="s">
        <v>135</v>
      </c>
      <c r="O13" s="449"/>
      <c r="P13" s="449"/>
      <c r="Q13" s="518"/>
      <c r="R13" s="519"/>
      <c r="S13" s="519"/>
      <c r="T13" s="519"/>
      <c r="U13" s="519"/>
      <c r="V13" s="519"/>
      <c r="W13" s="519"/>
      <c r="X13" s="520"/>
      <c r="Y13" s="92"/>
      <c r="AC13" s="47">
        <v>8</v>
      </c>
    </row>
    <row r="14" spans="1:29" ht="13.2">
      <c r="A14" s="93"/>
      <c r="B14" s="490" t="s">
        <v>134</v>
      </c>
      <c r="C14" s="477"/>
      <c r="D14" s="477"/>
      <c r="E14" s="487"/>
      <c r="F14" s="488"/>
      <c r="G14" s="488"/>
      <c r="H14" s="488"/>
      <c r="I14" s="488"/>
      <c r="J14" s="488"/>
      <c r="K14" s="488"/>
      <c r="L14" s="489"/>
      <c r="M14" s="94"/>
      <c r="N14" s="490" t="s">
        <v>134</v>
      </c>
      <c r="O14" s="477"/>
      <c r="P14" s="477"/>
      <c r="Q14" s="487"/>
      <c r="R14" s="488"/>
      <c r="S14" s="488"/>
      <c r="T14" s="488"/>
      <c r="U14" s="488"/>
      <c r="V14" s="488"/>
      <c r="W14" s="488"/>
      <c r="X14" s="489"/>
      <c r="Y14" s="92"/>
      <c r="AC14" s="47">
        <v>12</v>
      </c>
    </row>
    <row r="15" spans="1:29" ht="13.2">
      <c r="A15" s="93"/>
      <c r="B15" s="490" t="s">
        <v>132</v>
      </c>
      <c r="C15" s="477"/>
      <c r="D15" s="477"/>
      <c r="E15" s="487"/>
      <c r="F15" s="488"/>
      <c r="G15" s="488"/>
      <c r="H15" s="488"/>
      <c r="I15" s="488"/>
      <c r="J15" s="488"/>
      <c r="K15" s="488"/>
      <c r="L15" s="489"/>
      <c r="M15" s="94"/>
      <c r="N15" s="490" t="s">
        <v>132</v>
      </c>
      <c r="O15" s="477"/>
      <c r="P15" s="477"/>
      <c r="Q15" s="487"/>
      <c r="R15" s="488"/>
      <c r="S15" s="488"/>
      <c r="T15" s="488"/>
      <c r="U15" s="488"/>
      <c r="V15" s="488"/>
      <c r="W15" s="488"/>
      <c r="X15" s="489"/>
      <c r="Y15" s="92"/>
      <c r="AC15" s="47">
        <v>24</v>
      </c>
    </row>
    <row r="16" spans="1:29" ht="13.2">
      <c r="A16" s="93"/>
      <c r="B16" s="490" t="s">
        <v>191</v>
      </c>
      <c r="C16" s="477"/>
      <c r="D16" s="477"/>
      <c r="E16" s="487"/>
      <c r="F16" s="488"/>
      <c r="G16" s="488"/>
      <c r="H16" s="488"/>
      <c r="I16" s="488"/>
      <c r="J16" s="488"/>
      <c r="K16" s="488"/>
      <c r="L16" s="489"/>
      <c r="M16" s="94"/>
      <c r="N16" s="490" t="s">
        <v>191</v>
      </c>
      <c r="O16" s="477"/>
      <c r="P16" s="477"/>
      <c r="Q16" s="487"/>
      <c r="R16" s="488"/>
      <c r="S16" s="488"/>
      <c r="T16" s="488"/>
      <c r="U16" s="488"/>
      <c r="V16" s="488"/>
      <c r="W16" s="488"/>
      <c r="X16" s="489"/>
      <c r="Y16" s="92"/>
    </row>
    <row r="17" spans="1:29" ht="13.8" thickBot="1">
      <c r="A17" s="93"/>
      <c r="B17" s="491" t="s">
        <v>131</v>
      </c>
      <c r="C17" s="492"/>
      <c r="D17" s="492"/>
      <c r="E17" s="508"/>
      <c r="F17" s="509"/>
      <c r="G17" s="509"/>
      <c r="H17" s="509"/>
      <c r="I17" s="509"/>
      <c r="J17" s="509"/>
      <c r="K17" s="509"/>
      <c r="L17" s="510"/>
      <c r="M17" s="94"/>
      <c r="N17" s="491" t="s">
        <v>131</v>
      </c>
      <c r="O17" s="492"/>
      <c r="P17" s="492"/>
      <c r="Q17" s="508"/>
      <c r="R17" s="509"/>
      <c r="S17" s="509"/>
      <c r="T17" s="509"/>
      <c r="U17" s="509"/>
      <c r="V17" s="509"/>
      <c r="W17" s="509"/>
      <c r="X17" s="510"/>
      <c r="Y17" s="92"/>
    </row>
    <row r="18" spans="1:29" ht="13.2">
      <c r="A18" s="93"/>
      <c r="B18" s="94"/>
      <c r="C18" s="94"/>
      <c r="D18" s="94"/>
      <c r="E18" s="94"/>
      <c r="F18" s="94"/>
      <c r="G18" s="94"/>
      <c r="H18" s="94"/>
      <c r="I18" s="94"/>
      <c r="J18" s="94"/>
      <c r="K18" s="94"/>
      <c r="L18" s="94"/>
      <c r="M18" s="94"/>
      <c r="N18" s="94"/>
      <c r="O18" s="94"/>
      <c r="P18" s="94"/>
      <c r="Q18" s="94"/>
      <c r="R18" s="94"/>
      <c r="S18" s="94"/>
      <c r="T18" s="94"/>
      <c r="U18" s="94"/>
      <c r="V18" s="94"/>
      <c r="W18" s="94"/>
      <c r="X18" s="94"/>
      <c r="Y18" s="92"/>
    </row>
    <row r="19" spans="1:29" ht="13.8" thickBot="1">
      <c r="A19" s="93"/>
      <c r="B19" s="94"/>
      <c r="C19" s="94"/>
      <c r="D19" s="94"/>
      <c r="E19" s="94"/>
      <c r="F19" s="94"/>
      <c r="G19" s="94"/>
      <c r="H19" s="94"/>
      <c r="I19" s="94"/>
      <c r="J19" s="94"/>
      <c r="K19" s="94"/>
      <c r="L19" s="94"/>
      <c r="M19" s="94"/>
      <c r="N19" s="94"/>
      <c r="O19" s="94"/>
      <c r="P19" s="94"/>
      <c r="Q19" s="94"/>
      <c r="R19" s="94"/>
      <c r="S19" s="94"/>
      <c r="T19" s="94"/>
      <c r="U19" s="94"/>
      <c r="V19" s="94"/>
      <c r="W19" s="94"/>
      <c r="X19" s="94"/>
      <c r="Y19" s="92"/>
    </row>
    <row r="20" spans="1:29" ht="12.75" customHeight="1" thickBot="1">
      <c r="A20" s="453" t="s">
        <v>200</v>
      </c>
      <c r="B20" s="454"/>
      <c r="C20" s="454"/>
      <c r="D20" s="454"/>
      <c r="E20" s="454"/>
      <c r="F20" s="454"/>
      <c r="G20" s="454"/>
      <c r="H20" s="454"/>
      <c r="I20" s="454"/>
      <c r="J20" s="454"/>
      <c r="K20" s="454"/>
      <c r="L20" s="454"/>
      <c r="M20" s="454"/>
      <c r="N20" s="454"/>
      <c r="O20" s="454"/>
      <c r="P20" s="454"/>
      <c r="Q20" s="454"/>
      <c r="R20" s="454"/>
      <c r="S20" s="454"/>
      <c r="T20" s="454"/>
      <c r="U20" s="454"/>
      <c r="V20" s="454"/>
      <c r="W20" s="454"/>
      <c r="X20" s="454"/>
      <c r="Y20" s="455"/>
    </row>
    <row r="21" spans="1:29" ht="13.2">
      <c r="A21" s="93"/>
      <c r="B21" s="94"/>
      <c r="C21" s="94"/>
      <c r="D21" s="94"/>
      <c r="E21" s="94"/>
      <c r="F21" s="94"/>
      <c r="G21" s="94"/>
      <c r="H21" s="94"/>
      <c r="I21" s="94"/>
      <c r="J21" s="94"/>
      <c r="K21" s="94"/>
      <c r="L21" s="94"/>
      <c r="M21" s="94"/>
      <c r="N21" s="94"/>
      <c r="O21" s="94"/>
      <c r="P21" s="94"/>
      <c r="Q21" s="94"/>
      <c r="R21" s="94"/>
      <c r="S21" s="94"/>
      <c r="T21" s="94"/>
      <c r="U21" s="94"/>
      <c r="V21" s="94"/>
      <c r="W21" s="94"/>
      <c r="X21" s="94"/>
      <c r="Y21" s="92"/>
    </row>
    <row r="22" spans="1:29" ht="13.2">
      <c r="A22" s="93"/>
      <c r="B22" s="96" t="s">
        <v>159</v>
      </c>
      <c r="C22" s="94"/>
      <c r="D22" s="94"/>
      <c r="E22" s="94"/>
      <c r="F22" s="94"/>
      <c r="G22" s="94"/>
      <c r="H22" s="94"/>
      <c r="I22" s="94"/>
      <c r="J22" s="94"/>
      <c r="K22" s="94"/>
      <c r="L22" s="94"/>
      <c r="M22" s="94"/>
      <c r="N22" s="94"/>
      <c r="O22" s="94"/>
      <c r="P22" s="94"/>
      <c r="Q22" s="94"/>
      <c r="R22" s="94"/>
      <c r="S22" s="94"/>
      <c r="T22" s="94"/>
      <c r="U22" s="94"/>
      <c r="V22" s="94"/>
      <c r="W22" s="94"/>
      <c r="X22" s="94"/>
      <c r="Y22" s="92"/>
    </row>
    <row r="23" spans="1:29" ht="13.2">
      <c r="A23" s="93"/>
      <c r="B23" s="511" t="str">
        <f>'Quick Response'!F13</f>
        <v>Brusch Card without continuity</v>
      </c>
      <c r="C23" s="512"/>
      <c r="D23" s="512"/>
      <c r="E23" s="512"/>
      <c r="F23" s="512"/>
      <c r="G23" s="512"/>
      <c r="H23" s="512"/>
      <c r="I23" s="512"/>
      <c r="J23" s="512"/>
      <c r="K23" s="512"/>
      <c r="L23" s="512"/>
      <c r="M23" s="512"/>
      <c r="N23" s="512"/>
      <c r="O23" s="512"/>
      <c r="P23" s="512"/>
      <c r="Q23" s="512"/>
      <c r="R23" s="512"/>
      <c r="S23" s="512"/>
      <c r="T23" s="512"/>
      <c r="U23" s="512"/>
      <c r="V23" s="512"/>
      <c r="W23" s="512"/>
      <c r="X23" s="513"/>
      <c r="Y23" s="92"/>
    </row>
    <row r="24" spans="1:29" ht="13.2">
      <c r="A24" s="93"/>
      <c r="B24" s="514"/>
      <c r="C24" s="515"/>
      <c r="D24" s="515"/>
      <c r="E24" s="515"/>
      <c r="F24" s="515"/>
      <c r="G24" s="515"/>
      <c r="H24" s="515"/>
      <c r="I24" s="515"/>
      <c r="J24" s="515"/>
      <c r="K24" s="515"/>
      <c r="L24" s="515"/>
      <c r="M24" s="515"/>
      <c r="N24" s="515"/>
      <c r="O24" s="515"/>
      <c r="P24" s="515"/>
      <c r="Q24" s="515"/>
      <c r="R24" s="515"/>
      <c r="S24" s="515"/>
      <c r="T24" s="515"/>
      <c r="U24" s="515"/>
      <c r="V24" s="515"/>
      <c r="W24" s="515"/>
      <c r="X24" s="516"/>
      <c r="Y24" s="92"/>
    </row>
    <row r="25" spans="1:29" ht="13.2">
      <c r="A25" s="93"/>
      <c r="B25" s="94"/>
      <c r="C25" s="94"/>
      <c r="D25" s="94"/>
      <c r="E25" s="94"/>
      <c r="F25" s="94"/>
      <c r="G25" s="94"/>
      <c r="H25" s="94"/>
      <c r="I25" s="94"/>
      <c r="J25" s="94"/>
      <c r="K25" s="94"/>
      <c r="L25" s="94"/>
      <c r="M25" s="94"/>
      <c r="N25" s="94"/>
      <c r="O25" s="94"/>
      <c r="P25" s="94"/>
      <c r="Q25" s="94"/>
      <c r="R25" s="94"/>
      <c r="S25" s="94"/>
      <c r="T25" s="94"/>
      <c r="U25" s="94"/>
      <c r="V25" s="94"/>
      <c r="W25" s="94"/>
      <c r="X25" s="94"/>
      <c r="Y25" s="92"/>
    </row>
    <row r="26" spans="1:29" ht="13.2">
      <c r="A26" s="93"/>
      <c r="B26" s="96" t="s">
        <v>199</v>
      </c>
      <c r="C26" s="94"/>
      <c r="D26" s="94"/>
      <c r="E26" s="94"/>
      <c r="F26" s="94"/>
      <c r="G26" s="94"/>
      <c r="H26" s="94"/>
      <c r="I26" s="94"/>
      <c r="J26" s="94"/>
      <c r="K26" s="94"/>
      <c r="L26" s="94"/>
      <c r="M26" s="94"/>
      <c r="N26" s="94"/>
      <c r="O26" s="94"/>
      <c r="P26" s="94"/>
      <c r="Q26" s="94"/>
      <c r="R26" s="94"/>
      <c r="S26" s="94"/>
      <c r="T26" s="94"/>
      <c r="U26" s="94"/>
      <c r="V26" s="94"/>
      <c r="W26" s="94"/>
      <c r="X26" s="94"/>
      <c r="Y26" s="92"/>
    </row>
    <row r="27" spans="1:29" ht="13.2">
      <c r="A27" s="93"/>
      <c r="B27" s="511"/>
      <c r="C27" s="512"/>
      <c r="D27" s="512"/>
      <c r="E27" s="512"/>
      <c r="F27" s="512"/>
      <c r="G27" s="512"/>
      <c r="H27" s="512"/>
      <c r="I27" s="512"/>
      <c r="J27" s="512"/>
      <c r="K27" s="512"/>
      <c r="L27" s="512"/>
      <c r="M27" s="512"/>
      <c r="N27" s="512"/>
      <c r="O27" s="512"/>
      <c r="P27" s="512"/>
      <c r="Q27" s="512"/>
      <c r="R27" s="512"/>
      <c r="S27" s="512"/>
      <c r="T27" s="512"/>
      <c r="U27" s="512"/>
      <c r="V27" s="512"/>
      <c r="W27" s="512"/>
      <c r="X27" s="513"/>
      <c r="Y27" s="92"/>
    </row>
    <row r="28" spans="1:29" ht="13.2">
      <c r="A28" s="93"/>
      <c r="B28" s="524"/>
      <c r="C28" s="525"/>
      <c r="D28" s="525"/>
      <c r="E28" s="525"/>
      <c r="F28" s="525"/>
      <c r="G28" s="525"/>
      <c r="H28" s="525"/>
      <c r="I28" s="525"/>
      <c r="J28" s="525"/>
      <c r="K28" s="525"/>
      <c r="L28" s="525"/>
      <c r="M28" s="525"/>
      <c r="N28" s="525"/>
      <c r="O28" s="525"/>
      <c r="P28" s="525"/>
      <c r="Q28" s="525"/>
      <c r="R28" s="525"/>
      <c r="S28" s="525"/>
      <c r="T28" s="525"/>
      <c r="U28" s="525"/>
      <c r="V28" s="525"/>
      <c r="W28" s="525"/>
      <c r="X28" s="526"/>
      <c r="Y28" s="92"/>
    </row>
    <row r="29" spans="1:29" ht="13.2">
      <c r="A29" s="93"/>
      <c r="B29" s="514"/>
      <c r="C29" s="515"/>
      <c r="D29" s="515"/>
      <c r="E29" s="515"/>
      <c r="F29" s="515"/>
      <c r="G29" s="515"/>
      <c r="H29" s="515"/>
      <c r="I29" s="515"/>
      <c r="J29" s="515"/>
      <c r="K29" s="515"/>
      <c r="L29" s="515"/>
      <c r="M29" s="515"/>
      <c r="N29" s="515"/>
      <c r="O29" s="515"/>
      <c r="P29" s="515"/>
      <c r="Q29" s="515"/>
      <c r="R29" s="515"/>
      <c r="S29" s="515"/>
      <c r="T29" s="515"/>
      <c r="U29" s="515"/>
      <c r="V29" s="515"/>
      <c r="W29" s="515"/>
      <c r="X29" s="516"/>
      <c r="Y29" s="92"/>
    </row>
    <row r="30" spans="1:29" ht="13.2">
      <c r="A30" s="93"/>
      <c r="B30" s="94"/>
      <c r="C30" s="94"/>
      <c r="D30" s="94"/>
      <c r="E30" s="94"/>
      <c r="F30" s="94"/>
      <c r="G30" s="94"/>
      <c r="H30" s="94"/>
      <c r="I30" s="94"/>
      <c r="J30" s="94"/>
      <c r="K30" s="94"/>
      <c r="L30" s="94"/>
      <c r="M30" s="94"/>
      <c r="N30" s="94"/>
      <c r="O30" s="94"/>
      <c r="P30" s="94"/>
      <c r="Q30" s="94"/>
      <c r="R30" s="94"/>
      <c r="S30" s="94"/>
      <c r="T30" s="94"/>
      <c r="U30" s="94"/>
      <c r="V30" s="94"/>
      <c r="W30" s="94"/>
      <c r="X30" s="94"/>
      <c r="Y30" s="92"/>
    </row>
    <row r="31" spans="1:29" ht="13.2">
      <c r="A31" s="93"/>
      <c r="B31" s="96" t="s">
        <v>198</v>
      </c>
      <c r="C31" s="94"/>
      <c r="D31" s="94"/>
      <c r="E31" s="94"/>
      <c r="F31" s="94"/>
      <c r="G31" s="94"/>
      <c r="H31" s="94"/>
      <c r="I31" s="94"/>
      <c r="J31" s="94"/>
      <c r="K31" s="94"/>
      <c r="L31" s="94"/>
      <c r="M31" s="94"/>
      <c r="N31" s="94"/>
      <c r="O31" s="94"/>
      <c r="P31" s="94"/>
      <c r="Q31" s="94"/>
      <c r="R31" s="94"/>
      <c r="S31" s="94"/>
      <c r="T31" s="94"/>
      <c r="U31" s="94"/>
      <c r="V31" s="94"/>
      <c r="W31" s="94"/>
      <c r="X31" s="94"/>
      <c r="Y31" s="92"/>
    </row>
    <row r="32" spans="1:29" ht="13.2">
      <c r="A32" s="93"/>
      <c r="B32" s="94" t="s">
        <v>109</v>
      </c>
      <c r="C32" s="94"/>
      <c r="D32" s="94"/>
      <c r="E32" s="94"/>
      <c r="F32" s="94"/>
      <c r="G32" s="94"/>
      <c r="H32" s="94"/>
      <c r="I32" s="467" t="s">
        <v>197</v>
      </c>
      <c r="J32" s="467"/>
      <c r="K32" s="467"/>
      <c r="L32" s="484" t="s">
        <v>196</v>
      </c>
      <c r="M32" s="484"/>
      <c r="N32" s="484"/>
      <c r="O32" s="484"/>
      <c r="P32" s="484"/>
      <c r="Q32" s="484"/>
      <c r="R32" s="484"/>
      <c r="S32" s="484"/>
      <c r="T32" s="484"/>
      <c r="U32" s="484"/>
      <c r="V32" s="484"/>
      <c r="W32" s="484"/>
      <c r="X32" s="484"/>
      <c r="Y32" s="92"/>
      <c r="AC32" s="46"/>
    </row>
    <row r="33" spans="1:29" ht="13.2">
      <c r="A33" s="93"/>
      <c r="B33" s="529" t="s">
        <v>195</v>
      </c>
      <c r="C33" s="530"/>
      <c r="D33" s="530"/>
      <c r="E33" s="530"/>
      <c r="F33" s="530"/>
      <c r="G33" s="530"/>
      <c r="H33" s="531"/>
      <c r="I33" s="468" t="str">
        <f>'Quick Response'!I62</f>
        <v>167+436+67</v>
      </c>
      <c r="J33" s="468"/>
      <c r="K33" s="468"/>
      <c r="L33" s="527"/>
      <c r="M33" s="527"/>
      <c r="N33" s="527"/>
      <c r="O33" s="527"/>
      <c r="P33" s="527"/>
      <c r="Q33" s="527"/>
      <c r="R33" s="527"/>
      <c r="S33" s="527"/>
      <c r="T33" s="527"/>
      <c r="U33" s="527"/>
      <c r="V33" s="527"/>
      <c r="W33" s="527"/>
      <c r="X33" s="528"/>
      <c r="Y33" s="92"/>
      <c r="AC33" s="46"/>
    </row>
    <row r="34" spans="1:29" ht="13.2">
      <c r="A34" s="93"/>
      <c r="B34" s="476" t="s">
        <v>102</v>
      </c>
      <c r="C34" s="477"/>
      <c r="D34" s="477"/>
      <c r="E34" s="477"/>
      <c r="F34" s="477"/>
      <c r="G34" s="477"/>
      <c r="H34" s="478"/>
      <c r="I34" s="469">
        <f>'Quick Response'!I63</f>
        <v>0</v>
      </c>
      <c r="J34" s="469"/>
      <c r="K34" s="469"/>
      <c r="L34" s="482"/>
      <c r="M34" s="482"/>
      <c r="N34" s="482"/>
      <c r="O34" s="482"/>
      <c r="P34" s="482"/>
      <c r="Q34" s="482"/>
      <c r="R34" s="482"/>
      <c r="S34" s="482"/>
      <c r="T34" s="482"/>
      <c r="U34" s="482"/>
      <c r="V34" s="482"/>
      <c r="W34" s="482"/>
      <c r="X34" s="483"/>
      <c r="Y34" s="92"/>
      <c r="AC34" s="46"/>
    </row>
    <row r="35" spans="1:29" ht="13.2">
      <c r="A35" s="93"/>
      <c r="B35" s="476" t="s">
        <v>194</v>
      </c>
      <c r="C35" s="477"/>
      <c r="D35" s="477"/>
      <c r="E35" s="477"/>
      <c r="F35" s="477"/>
      <c r="G35" s="477"/>
      <c r="H35" s="478"/>
      <c r="I35" s="469">
        <f>'Quick Response'!I64</f>
        <v>232</v>
      </c>
      <c r="J35" s="469"/>
      <c r="K35" s="469"/>
      <c r="L35" s="482"/>
      <c r="M35" s="482"/>
      <c r="N35" s="482"/>
      <c r="O35" s="482"/>
      <c r="P35" s="482"/>
      <c r="Q35" s="482"/>
      <c r="R35" s="482"/>
      <c r="S35" s="482"/>
      <c r="T35" s="482"/>
      <c r="U35" s="482"/>
      <c r="V35" s="482"/>
      <c r="W35" s="482"/>
      <c r="X35" s="483"/>
      <c r="Y35" s="92"/>
      <c r="AC35" s="46"/>
    </row>
    <row r="36" spans="1:29" ht="13.2">
      <c r="A36" s="93"/>
      <c r="B36" s="479" t="s">
        <v>100</v>
      </c>
      <c r="C36" s="480"/>
      <c r="D36" s="480"/>
      <c r="E36" s="480"/>
      <c r="F36" s="480"/>
      <c r="G36" s="480"/>
      <c r="H36" s="481"/>
      <c r="I36" s="470">
        <f>'Quick Response'!I65</f>
        <v>0</v>
      </c>
      <c r="J36" s="470"/>
      <c r="K36" s="470"/>
      <c r="L36" s="474"/>
      <c r="M36" s="474"/>
      <c r="N36" s="474"/>
      <c r="O36" s="474"/>
      <c r="P36" s="474"/>
      <c r="Q36" s="474"/>
      <c r="R36" s="474"/>
      <c r="S36" s="474"/>
      <c r="T36" s="474"/>
      <c r="U36" s="474"/>
      <c r="V36" s="474"/>
      <c r="W36" s="474"/>
      <c r="X36" s="475"/>
      <c r="Y36" s="92"/>
      <c r="AC36" s="46"/>
    </row>
    <row r="37" spans="1:29" ht="13.2">
      <c r="A37" s="93"/>
      <c r="B37" s="94"/>
      <c r="C37" s="94"/>
      <c r="D37" s="94"/>
      <c r="E37" s="94"/>
      <c r="F37" s="94"/>
      <c r="G37" s="94"/>
      <c r="H37" s="94"/>
      <c r="I37" s="94"/>
      <c r="J37" s="94"/>
      <c r="K37" s="94"/>
      <c r="L37" s="94"/>
      <c r="M37" s="94"/>
      <c r="N37" s="94"/>
      <c r="O37" s="94"/>
      <c r="P37" s="94"/>
      <c r="Q37" s="94"/>
      <c r="R37" s="94"/>
      <c r="S37" s="94"/>
      <c r="T37" s="94"/>
      <c r="U37" s="94"/>
      <c r="V37" s="94"/>
      <c r="W37" s="94"/>
      <c r="X37" s="94"/>
      <c r="Y37" s="92"/>
    </row>
    <row r="38" spans="1:29" ht="13.2">
      <c r="A38" s="93"/>
      <c r="B38" s="96" t="s">
        <v>193</v>
      </c>
      <c r="C38" s="94"/>
      <c r="D38" s="94"/>
      <c r="E38" s="94"/>
      <c r="F38" s="94"/>
      <c r="G38" s="94"/>
      <c r="H38" s="94"/>
      <c r="I38" s="94"/>
      <c r="J38" s="94"/>
      <c r="K38" s="94"/>
      <c r="L38" s="94"/>
      <c r="M38" s="94"/>
      <c r="N38" s="94"/>
      <c r="O38" s="94"/>
      <c r="P38" s="94"/>
      <c r="Q38" s="94"/>
      <c r="R38" s="94"/>
      <c r="S38" s="94"/>
      <c r="T38" s="94"/>
      <c r="U38" s="94"/>
      <c r="V38" s="94"/>
      <c r="W38" s="94"/>
      <c r="X38" s="94"/>
      <c r="Y38" s="92"/>
    </row>
    <row r="39" spans="1:29" ht="13.2">
      <c r="A39" s="93"/>
      <c r="B39" s="94" t="s">
        <v>135</v>
      </c>
      <c r="C39" s="94"/>
      <c r="D39" s="502"/>
      <c r="E39" s="503"/>
      <c r="F39" s="503"/>
      <c r="G39" s="503"/>
      <c r="H39" s="503"/>
      <c r="I39" s="503"/>
      <c r="J39" s="503"/>
      <c r="K39" s="503"/>
      <c r="L39" s="504"/>
      <c r="M39" s="94"/>
      <c r="N39" s="94" t="s">
        <v>192</v>
      </c>
      <c r="O39" s="94"/>
      <c r="P39" s="502"/>
      <c r="Q39" s="503"/>
      <c r="R39" s="503"/>
      <c r="S39" s="503"/>
      <c r="T39" s="503"/>
      <c r="U39" s="503"/>
      <c r="V39" s="503"/>
      <c r="W39" s="503"/>
      <c r="X39" s="504"/>
      <c r="Y39" s="92"/>
    </row>
    <row r="40" spans="1:29" ht="13.2">
      <c r="A40" s="93"/>
      <c r="B40" s="94" t="s">
        <v>133</v>
      </c>
      <c r="C40" s="94"/>
      <c r="D40" s="487"/>
      <c r="E40" s="488"/>
      <c r="F40" s="488"/>
      <c r="G40" s="488"/>
      <c r="H40" s="488"/>
      <c r="I40" s="488"/>
      <c r="J40" s="488"/>
      <c r="K40" s="488"/>
      <c r="L40" s="523"/>
      <c r="M40" s="94"/>
      <c r="N40" s="94" t="s">
        <v>191</v>
      </c>
      <c r="O40" s="94"/>
      <c r="P40" s="487"/>
      <c r="Q40" s="488"/>
      <c r="R40" s="488"/>
      <c r="S40" s="488"/>
      <c r="T40" s="488"/>
      <c r="U40" s="488"/>
      <c r="V40" s="488"/>
      <c r="W40" s="488"/>
      <c r="X40" s="523"/>
      <c r="Y40" s="92"/>
      <c r="AC40" s="46"/>
    </row>
    <row r="41" spans="1:29" ht="13.2">
      <c r="A41" s="93"/>
      <c r="B41" s="94" t="s">
        <v>190</v>
      </c>
      <c r="C41" s="94"/>
      <c r="D41" s="505"/>
      <c r="E41" s="506"/>
      <c r="F41" s="506"/>
      <c r="G41" s="506"/>
      <c r="H41" s="506"/>
      <c r="I41" s="506"/>
      <c r="J41" s="506"/>
      <c r="K41" s="506"/>
      <c r="L41" s="507"/>
      <c r="M41" s="94"/>
      <c r="N41" s="94" t="s">
        <v>131</v>
      </c>
      <c r="O41" s="94"/>
      <c r="P41" s="505"/>
      <c r="Q41" s="506"/>
      <c r="R41" s="506"/>
      <c r="S41" s="506"/>
      <c r="T41" s="506"/>
      <c r="U41" s="506"/>
      <c r="V41" s="506"/>
      <c r="W41" s="506"/>
      <c r="X41" s="507"/>
      <c r="Y41" s="92"/>
      <c r="AC41" s="46"/>
    </row>
    <row r="42" spans="1:29" ht="13.2">
      <c r="A42" s="93"/>
      <c r="B42" s="94"/>
      <c r="C42" s="94"/>
      <c r="D42" s="94"/>
      <c r="E42" s="94"/>
      <c r="F42" s="94"/>
      <c r="G42" s="94"/>
      <c r="H42" s="94"/>
      <c r="I42" s="94"/>
      <c r="J42" s="94"/>
      <c r="K42" s="94"/>
      <c r="L42" s="94"/>
      <c r="M42" s="94"/>
      <c r="N42" s="94"/>
      <c r="O42" s="94"/>
      <c r="P42" s="94"/>
      <c r="Q42" s="94"/>
      <c r="R42" s="94"/>
      <c r="S42" s="94"/>
      <c r="T42" s="94"/>
      <c r="U42" s="94"/>
      <c r="V42" s="94"/>
      <c r="W42" s="94"/>
      <c r="X42" s="94"/>
      <c r="Y42" s="92"/>
      <c r="AC42" s="46"/>
    </row>
    <row r="43" spans="1:29" ht="13.2">
      <c r="A43" s="93"/>
      <c r="B43" s="94"/>
      <c r="C43" s="94"/>
      <c r="D43" s="94"/>
      <c r="E43" s="94"/>
      <c r="F43" s="94"/>
      <c r="G43" s="94"/>
      <c r="H43" s="94"/>
      <c r="I43" s="94"/>
      <c r="J43" s="94"/>
      <c r="K43" s="94"/>
      <c r="L43" s="94"/>
      <c r="M43" s="94"/>
      <c r="N43" s="94"/>
      <c r="O43" s="94"/>
      <c r="P43" s="94"/>
      <c r="Q43" s="94"/>
      <c r="R43" s="94"/>
      <c r="S43" s="94"/>
      <c r="T43" s="94"/>
      <c r="U43" s="94"/>
      <c r="V43" s="94"/>
      <c r="W43" s="94"/>
      <c r="X43" s="94"/>
      <c r="Y43" s="92"/>
      <c r="AB43" s="94"/>
      <c r="AC43" s="94"/>
    </row>
    <row r="44" spans="1:29" ht="13.2">
      <c r="A44" s="93"/>
      <c r="B44" s="96" t="s">
        <v>189</v>
      </c>
      <c r="C44" s="94"/>
      <c r="D44" s="94"/>
      <c r="E44" s="94"/>
      <c r="F44" s="94"/>
      <c r="G44" s="94"/>
      <c r="H44" s="94"/>
      <c r="I44" s="94"/>
      <c r="J44" s="94"/>
      <c r="K44" s="94"/>
      <c r="L44" s="94"/>
      <c r="M44" s="94"/>
      <c r="N44" s="94"/>
      <c r="O44" s="94"/>
      <c r="P44" s="94"/>
      <c r="Q44" s="94"/>
      <c r="R44" s="94"/>
      <c r="S44" s="94"/>
      <c r="T44" s="94"/>
      <c r="U44" s="94"/>
      <c r="V44" s="94"/>
      <c r="W44" s="94"/>
      <c r="X44" s="94"/>
      <c r="Y44" s="92"/>
    </row>
    <row r="45" spans="1:29" ht="13.2">
      <c r="A45" s="93"/>
      <c r="B45" s="493" t="s">
        <v>188</v>
      </c>
      <c r="C45" s="494"/>
      <c r="D45" s="494"/>
      <c r="E45" s="494"/>
      <c r="F45" s="494"/>
      <c r="G45" s="494"/>
      <c r="H45" s="494"/>
      <c r="I45" s="494"/>
      <c r="J45" s="494"/>
      <c r="K45" s="494"/>
      <c r="L45" s="494"/>
      <c r="M45" s="494"/>
      <c r="N45" s="494"/>
      <c r="O45" s="494"/>
      <c r="P45" s="494"/>
      <c r="Q45" s="494"/>
      <c r="R45" s="494"/>
      <c r="S45" s="494"/>
      <c r="T45" s="494"/>
      <c r="U45" s="494"/>
      <c r="V45" s="494"/>
      <c r="W45" s="494"/>
      <c r="X45" s="495"/>
      <c r="Y45" s="92"/>
    </row>
    <row r="46" spans="1:29" ht="13.2">
      <c r="A46" s="93"/>
      <c r="B46" s="496"/>
      <c r="C46" s="497"/>
      <c r="D46" s="497"/>
      <c r="E46" s="497"/>
      <c r="F46" s="497"/>
      <c r="G46" s="497"/>
      <c r="H46" s="497"/>
      <c r="I46" s="497"/>
      <c r="J46" s="497"/>
      <c r="K46" s="497"/>
      <c r="L46" s="497"/>
      <c r="M46" s="497"/>
      <c r="N46" s="497"/>
      <c r="O46" s="497"/>
      <c r="P46" s="497"/>
      <c r="Q46" s="497"/>
      <c r="R46" s="497"/>
      <c r="S46" s="497"/>
      <c r="T46" s="497"/>
      <c r="U46" s="497"/>
      <c r="V46" s="497"/>
      <c r="W46" s="497"/>
      <c r="X46" s="498"/>
      <c r="Y46" s="92"/>
    </row>
    <row r="47" spans="1:29" ht="13.2">
      <c r="A47" s="93"/>
      <c r="B47" s="499"/>
      <c r="C47" s="500"/>
      <c r="D47" s="500"/>
      <c r="E47" s="500"/>
      <c r="F47" s="500"/>
      <c r="G47" s="500"/>
      <c r="H47" s="500"/>
      <c r="I47" s="500"/>
      <c r="J47" s="500"/>
      <c r="K47" s="500"/>
      <c r="L47" s="500"/>
      <c r="M47" s="500"/>
      <c r="N47" s="500"/>
      <c r="O47" s="500"/>
      <c r="P47" s="500"/>
      <c r="Q47" s="500"/>
      <c r="R47" s="500"/>
      <c r="S47" s="500"/>
      <c r="T47" s="500"/>
      <c r="U47" s="500"/>
      <c r="V47" s="500"/>
      <c r="W47" s="500"/>
      <c r="X47" s="501"/>
      <c r="Y47" s="92"/>
    </row>
    <row r="48" spans="1:29" ht="13.2">
      <c r="A48" s="93"/>
      <c r="B48" s="94"/>
      <c r="C48" s="94"/>
      <c r="D48" s="94"/>
      <c r="E48" s="94"/>
      <c r="F48" s="94"/>
      <c r="G48" s="94"/>
      <c r="H48" s="94"/>
      <c r="I48" s="94"/>
      <c r="J48" s="94"/>
      <c r="K48" s="94"/>
      <c r="L48" s="94"/>
      <c r="M48" s="94"/>
      <c r="N48" s="94"/>
      <c r="O48" s="94"/>
      <c r="P48" s="94"/>
      <c r="Q48" s="94"/>
      <c r="R48" s="94"/>
      <c r="S48" s="94"/>
      <c r="T48" s="94"/>
      <c r="U48" s="94"/>
      <c r="V48" s="94"/>
      <c r="W48" s="94"/>
      <c r="X48" s="94"/>
      <c r="Y48" s="92"/>
    </row>
    <row r="49" spans="1:25" ht="13.8" thickBot="1">
      <c r="A49" s="91"/>
      <c r="B49" s="90"/>
      <c r="C49" s="90"/>
      <c r="D49" s="90"/>
      <c r="E49" s="90"/>
      <c r="F49" s="90"/>
      <c r="G49" s="90"/>
      <c r="H49" s="90"/>
      <c r="I49" s="90"/>
      <c r="J49" s="90"/>
      <c r="K49" s="90"/>
      <c r="L49" s="90"/>
      <c r="M49" s="90"/>
      <c r="N49" s="90"/>
      <c r="O49" s="90"/>
      <c r="P49" s="90"/>
      <c r="Q49" s="90"/>
      <c r="R49" s="90"/>
      <c r="S49" s="90"/>
      <c r="T49" s="90"/>
      <c r="U49" s="90"/>
      <c r="V49" s="90"/>
      <c r="W49" s="90"/>
      <c r="X49" s="90"/>
      <c r="Y49" s="89"/>
    </row>
    <row r="50" spans="1:25" ht="13.8" thickBot="1">
      <c r="A50" s="95"/>
      <c r="B50" s="95"/>
      <c r="C50" s="95"/>
      <c r="D50" s="95"/>
      <c r="E50" s="95"/>
      <c r="F50" s="95"/>
      <c r="G50" s="95"/>
      <c r="H50" s="95"/>
      <c r="I50" s="95"/>
      <c r="J50" s="95"/>
      <c r="K50" s="95"/>
      <c r="L50" s="95"/>
      <c r="M50" s="95"/>
      <c r="N50" s="95"/>
      <c r="O50" s="95"/>
      <c r="P50" s="95"/>
      <c r="Q50" s="95"/>
      <c r="R50" s="95"/>
      <c r="S50" s="95"/>
      <c r="T50" s="95"/>
      <c r="U50" s="95"/>
      <c r="V50" s="95"/>
      <c r="W50" s="95"/>
      <c r="X50" s="95"/>
      <c r="Y50" s="95"/>
    </row>
    <row r="51" spans="1:25" ht="13.8" thickBot="1">
      <c r="A51" s="453" t="s">
        <v>187</v>
      </c>
      <c r="B51" s="454"/>
      <c r="C51" s="454"/>
      <c r="D51" s="454"/>
      <c r="E51" s="454"/>
      <c r="F51" s="454"/>
      <c r="G51" s="454"/>
      <c r="H51" s="454"/>
      <c r="I51" s="454"/>
      <c r="J51" s="454"/>
      <c r="K51" s="454"/>
      <c r="L51" s="454"/>
      <c r="M51" s="454"/>
      <c r="N51" s="454"/>
      <c r="O51" s="454"/>
      <c r="P51" s="454"/>
      <c r="Q51" s="454"/>
      <c r="R51" s="454"/>
      <c r="S51" s="454"/>
      <c r="T51" s="454"/>
      <c r="U51" s="454"/>
      <c r="V51" s="454"/>
      <c r="W51" s="454"/>
      <c r="X51" s="454"/>
      <c r="Y51" s="455"/>
    </row>
    <row r="52" spans="1:25" ht="13.2">
      <c r="A52" s="93"/>
      <c r="B52" s="94"/>
      <c r="C52" s="94"/>
      <c r="D52" s="94"/>
      <c r="E52" s="94"/>
      <c r="F52" s="94"/>
      <c r="G52" s="94"/>
      <c r="H52" s="94"/>
      <c r="I52" s="94"/>
      <c r="J52" s="94"/>
      <c r="K52" s="94"/>
      <c r="L52" s="94"/>
      <c r="M52" s="94"/>
      <c r="N52" s="94"/>
      <c r="O52" s="94"/>
      <c r="P52" s="94"/>
      <c r="Q52" s="94"/>
      <c r="R52" s="94"/>
      <c r="S52" s="94"/>
      <c r="T52" s="94"/>
      <c r="U52" s="94"/>
      <c r="V52" s="94"/>
      <c r="W52" s="94"/>
      <c r="X52" s="94"/>
      <c r="Y52" s="92"/>
    </row>
    <row r="53" spans="1:25" ht="13.2">
      <c r="A53" s="93"/>
      <c r="B53" s="94"/>
      <c r="C53" s="94"/>
      <c r="D53" s="94"/>
      <c r="E53" s="94"/>
      <c r="F53" s="94"/>
      <c r="G53" s="94"/>
      <c r="H53" s="94"/>
      <c r="I53" s="94"/>
      <c r="J53" s="94"/>
      <c r="K53" s="94"/>
      <c r="L53" s="94"/>
      <c r="M53" s="94"/>
      <c r="N53" s="94"/>
      <c r="O53" s="94"/>
      <c r="P53" s="94"/>
      <c r="Q53" s="94"/>
      <c r="R53" s="94"/>
      <c r="S53" s="94"/>
      <c r="T53" s="94"/>
      <c r="U53" s="94"/>
      <c r="V53" s="94"/>
      <c r="W53" s="94"/>
      <c r="X53" s="94"/>
      <c r="Y53" s="92"/>
    </row>
    <row r="54" spans="1:25" ht="13.2">
      <c r="A54" s="93"/>
      <c r="B54" s="94"/>
      <c r="C54" s="94"/>
      <c r="D54" s="94"/>
      <c r="E54" s="94"/>
      <c r="F54" s="94"/>
      <c r="G54" s="94"/>
      <c r="H54" s="94"/>
      <c r="I54" s="94"/>
      <c r="J54" s="94"/>
      <c r="K54" s="94"/>
      <c r="L54" s="94"/>
      <c r="M54" s="94"/>
      <c r="N54" s="94"/>
      <c r="O54" s="94"/>
      <c r="P54" s="94"/>
      <c r="Q54" s="94"/>
      <c r="R54" s="94"/>
      <c r="S54" s="94"/>
      <c r="T54" s="94"/>
      <c r="U54" s="94"/>
      <c r="V54" s="94"/>
      <c r="W54" s="94"/>
      <c r="X54" s="94"/>
      <c r="Y54" s="92"/>
    </row>
    <row r="55" spans="1:25" ht="13.2">
      <c r="A55" s="93"/>
      <c r="B55" s="94"/>
      <c r="C55" s="94"/>
      <c r="D55" s="94"/>
      <c r="E55" s="94"/>
      <c r="F55" s="94"/>
      <c r="G55" s="94"/>
      <c r="H55" s="94"/>
      <c r="I55" s="94"/>
      <c r="J55" s="94"/>
      <c r="K55" s="94"/>
      <c r="L55" s="94"/>
      <c r="M55" s="94"/>
      <c r="N55" s="94"/>
      <c r="O55" s="94"/>
      <c r="P55" s="94"/>
      <c r="Q55" s="94"/>
      <c r="R55" s="94"/>
      <c r="S55" s="94"/>
      <c r="T55" s="94"/>
      <c r="U55" s="94"/>
      <c r="V55" s="94"/>
      <c r="W55" s="94"/>
      <c r="X55" s="94"/>
      <c r="Y55" s="92"/>
    </row>
    <row r="56" spans="1:25" ht="13.2">
      <c r="A56" s="93"/>
      <c r="B56" s="472"/>
      <c r="C56" s="472"/>
      <c r="D56" s="472"/>
      <c r="E56" s="472"/>
      <c r="F56" s="472"/>
      <c r="G56" s="472"/>
      <c r="H56" s="472"/>
      <c r="I56" s="94"/>
      <c r="J56" s="521"/>
      <c r="K56" s="521"/>
      <c r="L56" s="521"/>
      <c r="M56" s="521"/>
      <c r="N56" s="521"/>
      <c r="O56" s="521"/>
      <c r="P56" s="521"/>
      <c r="Q56" s="94"/>
      <c r="R56" s="485"/>
      <c r="S56" s="485"/>
      <c r="T56" s="485"/>
      <c r="U56" s="485"/>
      <c r="V56" s="485"/>
      <c r="W56" s="485"/>
      <c r="X56" s="485"/>
      <c r="Y56" s="92"/>
    </row>
    <row r="57" spans="1:25" ht="13.2">
      <c r="A57" s="93"/>
      <c r="B57" s="472"/>
      <c r="C57" s="472"/>
      <c r="D57" s="472"/>
      <c r="E57" s="472"/>
      <c r="F57" s="472"/>
      <c r="G57" s="472"/>
      <c r="H57" s="472"/>
      <c r="I57" s="94"/>
      <c r="J57" s="521"/>
      <c r="K57" s="521"/>
      <c r="L57" s="521"/>
      <c r="M57" s="521"/>
      <c r="N57" s="521"/>
      <c r="O57" s="521"/>
      <c r="P57" s="521"/>
      <c r="Q57" s="94"/>
      <c r="R57" s="485"/>
      <c r="S57" s="485"/>
      <c r="T57" s="485"/>
      <c r="U57" s="485"/>
      <c r="V57" s="485"/>
      <c r="W57" s="485"/>
      <c r="X57" s="485"/>
      <c r="Y57" s="92"/>
    </row>
    <row r="58" spans="1:25" ht="13.2">
      <c r="A58" s="93"/>
      <c r="B58" s="473"/>
      <c r="C58" s="473"/>
      <c r="D58" s="473"/>
      <c r="E58" s="473"/>
      <c r="F58" s="473"/>
      <c r="G58" s="473"/>
      <c r="H58" s="473"/>
      <c r="I58" s="94"/>
      <c r="J58" s="522"/>
      <c r="K58" s="522"/>
      <c r="L58" s="522"/>
      <c r="M58" s="522"/>
      <c r="N58" s="522"/>
      <c r="O58" s="522"/>
      <c r="P58" s="522"/>
      <c r="Q58" s="94"/>
      <c r="R58" s="486"/>
      <c r="S58" s="486"/>
      <c r="T58" s="486"/>
      <c r="U58" s="486"/>
      <c r="V58" s="486"/>
      <c r="W58" s="486"/>
      <c r="X58" s="486"/>
      <c r="Y58" s="92"/>
    </row>
    <row r="59" spans="1:25" ht="12.75" customHeight="1">
      <c r="A59" s="93"/>
      <c r="B59" s="471" t="s">
        <v>186</v>
      </c>
      <c r="C59" s="471"/>
      <c r="D59" s="471"/>
      <c r="E59" s="471"/>
      <c r="F59" s="471"/>
      <c r="G59" s="471"/>
      <c r="H59" s="471"/>
      <c r="I59" s="94"/>
      <c r="J59" s="471" t="s">
        <v>185</v>
      </c>
      <c r="K59" s="471"/>
      <c r="L59" s="471"/>
      <c r="M59" s="471"/>
      <c r="N59" s="471"/>
      <c r="O59" s="471"/>
      <c r="P59" s="471"/>
      <c r="Q59" s="94"/>
      <c r="R59" s="471" t="s">
        <v>104</v>
      </c>
      <c r="S59" s="471"/>
      <c r="T59" s="471"/>
      <c r="U59" s="471"/>
      <c r="V59" s="471"/>
      <c r="W59" s="471"/>
      <c r="X59" s="471"/>
      <c r="Y59" s="92"/>
    </row>
    <row r="60" spans="1:25" ht="13.2">
      <c r="A60" s="93"/>
      <c r="B60" s="94"/>
      <c r="C60" s="94"/>
      <c r="D60" s="94"/>
      <c r="E60" s="94"/>
      <c r="F60" s="94"/>
      <c r="G60" s="94"/>
      <c r="H60" s="94"/>
      <c r="I60" s="94"/>
      <c r="J60" s="94"/>
      <c r="K60" s="94"/>
      <c r="L60" s="94"/>
      <c r="M60" s="94"/>
      <c r="N60" s="94"/>
      <c r="O60" s="94"/>
      <c r="P60" s="94"/>
      <c r="Q60" s="94"/>
      <c r="R60" s="94"/>
      <c r="S60" s="94"/>
      <c r="T60" s="94"/>
      <c r="U60" s="94"/>
      <c r="V60" s="94"/>
      <c r="W60" s="94"/>
      <c r="X60" s="94"/>
      <c r="Y60" s="92"/>
    </row>
    <row r="61" spans="1:25" ht="13.2">
      <c r="A61" s="93"/>
      <c r="B61" s="94"/>
      <c r="C61" s="94"/>
      <c r="D61" s="94"/>
      <c r="E61" s="94"/>
      <c r="F61" s="94"/>
      <c r="G61" s="94"/>
      <c r="H61" s="94"/>
      <c r="I61" s="94"/>
      <c r="J61" s="94"/>
      <c r="K61" s="94"/>
      <c r="L61" s="94"/>
      <c r="M61" s="94"/>
      <c r="N61" s="94"/>
      <c r="O61" s="94"/>
      <c r="P61" s="94"/>
      <c r="Q61" s="94"/>
      <c r="R61" s="94"/>
      <c r="S61" s="94"/>
      <c r="T61" s="94"/>
      <c r="U61" s="94"/>
      <c r="V61" s="94"/>
      <c r="W61" s="94"/>
      <c r="X61" s="94"/>
      <c r="Y61" s="92"/>
    </row>
    <row r="62" spans="1:25" ht="13.2">
      <c r="A62" s="93"/>
      <c r="B62" s="94"/>
      <c r="C62" s="94"/>
      <c r="D62" s="94"/>
      <c r="E62" s="94"/>
      <c r="F62" s="94"/>
      <c r="G62" s="94"/>
      <c r="H62" s="94"/>
      <c r="I62" s="94"/>
      <c r="J62" s="94"/>
      <c r="K62" s="94"/>
      <c r="L62" s="94"/>
      <c r="M62" s="94"/>
      <c r="N62" s="94"/>
      <c r="O62" s="94"/>
      <c r="P62" s="94"/>
      <c r="Q62" s="94"/>
      <c r="R62" s="94"/>
      <c r="S62" s="94"/>
      <c r="T62" s="94"/>
      <c r="U62" s="94"/>
      <c r="V62" s="94"/>
      <c r="W62" s="94"/>
      <c r="X62" s="94"/>
      <c r="Y62" s="92"/>
    </row>
    <row r="63" spans="1:25" ht="13.2">
      <c r="A63" s="93"/>
      <c r="B63" s="94"/>
      <c r="C63" s="94"/>
      <c r="D63" s="94"/>
      <c r="E63" s="94"/>
      <c r="F63" s="94"/>
      <c r="G63" s="94"/>
      <c r="H63" s="94"/>
      <c r="I63" s="94"/>
      <c r="J63" s="94"/>
      <c r="K63" s="94"/>
      <c r="L63" s="94"/>
      <c r="M63" s="94"/>
      <c r="N63" s="94"/>
      <c r="O63" s="94"/>
      <c r="P63" s="94"/>
      <c r="Q63" s="94"/>
      <c r="R63" s="94"/>
      <c r="S63" s="94"/>
      <c r="T63" s="94"/>
      <c r="U63" s="94"/>
      <c r="V63" s="94"/>
      <c r="W63" s="94"/>
      <c r="X63" s="94"/>
      <c r="Y63" s="92"/>
    </row>
    <row r="64" spans="1:25" ht="13.2">
      <c r="A64" s="93"/>
      <c r="B64" s="466" t="s">
        <v>184</v>
      </c>
      <c r="C64" s="466"/>
      <c r="D64" s="466"/>
      <c r="E64" s="466"/>
      <c r="F64" s="466"/>
      <c r="G64" s="466"/>
      <c r="H64" s="466"/>
      <c r="I64" s="466"/>
      <c r="J64" s="466"/>
      <c r="K64" s="466"/>
      <c r="L64" s="466"/>
      <c r="M64" s="466"/>
      <c r="N64" s="466"/>
      <c r="O64" s="466"/>
      <c r="P64" s="466"/>
      <c r="Q64" s="466"/>
      <c r="R64" s="466"/>
      <c r="S64" s="466"/>
      <c r="T64" s="466"/>
      <c r="U64" s="466"/>
      <c r="V64" s="466"/>
      <c r="W64" s="466"/>
      <c r="X64" s="466"/>
      <c r="Y64" s="92"/>
    </row>
    <row r="65" spans="1:25" ht="13.8" thickBot="1">
      <c r="A65" s="91"/>
      <c r="B65" s="90"/>
      <c r="C65" s="90"/>
      <c r="D65" s="90"/>
      <c r="E65" s="90"/>
      <c r="F65" s="90"/>
      <c r="G65" s="90"/>
      <c r="H65" s="90"/>
      <c r="I65" s="90"/>
      <c r="J65" s="90"/>
      <c r="K65" s="90"/>
      <c r="L65" s="90"/>
      <c r="M65" s="90"/>
      <c r="N65" s="90"/>
      <c r="O65" s="90"/>
      <c r="P65" s="90"/>
      <c r="Q65" s="90"/>
      <c r="R65" s="90"/>
      <c r="S65" s="90"/>
      <c r="T65" s="90"/>
      <c r="U65" s="90"/>
      <c r="V65" s="90"/>
      <c r="W65" s="90"/>
      <c r="X65" s="90"/>
      <c r="Y65" s="89"/>
    </row>
  </sheetData>
  <sheetProtection selectLockedCells="1"/>
  <mergeCells count="69">
    <mergeCell ref="J56:P58"/>
    <mergeCell ref="B16:D16"/>
    <mergeCell ref="P39:X39"/>
    <mergeCell ref="P40:X40"/>
    <mergeCell ref="P41:X41"/>
    <mergeCell ref="D40:L40"/>
    <mergeCell ref="A51:Y51"/>
    <mergeCell ref="B27:X29"/>
    <mergeCell ref="L33:X33"/>
    <mergeCell ref="L34:X34"/>
    <mergeCell ref="B33:H33"/>
    <mergeCell ref="B34:H34"/>
    <mergeCell ref="E17:L17"/>
    <mergeCell ref="A20:Y20"/>
    <mergeCell ref="N16:P16"/>
    <mergeCell ref="Q16:X16"/>
    <mergeCell ref="B45:X47"/>
    <mergeCell ref="D39:L39"/>
    <mergeCell ref="D41:L41"/>
    <mergeCell ref="V5:Y5"/>
    <mergeCell ref="Q17:X17"/>
    <mergeCell ref="Q14:X14"/>
    <mergeCell ref="B23:X24"/>
    <mergeCell ref="O9:X9"/>
    <mergeCell ref="E13:L13"/>
    <mergeCell ref="E14:L14"/>
    <mergeCell ref="N13:P13"/>
    <mergeCell ref="Q13:X13"/>
    <mergeCell ref="B15:D15"/>
    <mergeCell ref="Q15:X15"/>
    <mergeCell ref="B17:D17"/>
    <mergeCell ref="E15:L15"/>
    <mergeCell ref="E16:L16"/>
    <mergeCell ref="N15:P15"/>
    <mergeCell ref="B14:D14"/>
    <mergeCell ref="N17:P17"/>
    <mergeCell ref="N14:P14"/>
    <mergeCell ref="B64:X64"/>
    <mergeCell ref="I32:K32"/>
    <mergeCell ref="I33:K33"/>
    <mergeCell ref="I34:K34"/>
    <mergeCell ref="I35:K35"/>
    <mergeCell ref="I36:K36"/>
    <mergeCell ref="B59:H59"/>
    <mergeCell ref="J59:P59"/>
    <mergeCell ref="R59:X59"/>
    <mergeCell ref="B56:H58"/>
    <mergeCell ref="L36:X36"/>
    <mergeCell ref="B35:H35"/>
    <mergeCell ref="B36:H36"/>
    <mergeCell ref="L35:X35"/>
    <mergeCell ref="L32:X32"/>
    <mergeCell ref="R56:X58"/>
    <mergeCell ref="B13:D13"/>
    <mergeCell ref="B12:L12"/>
    <mergeCell ref="N12:X12"/>
    <mergeCell ref="B9:M9"/>
    <mergeCell ref="R1:Y3"/>
    <mergeCell ref="A1:I3"/>
    <mergeCell ref="M4:Q4"/>
    <mergeCell ref="F5:J5"/>
    <mergeCell ref="A8:Y8"/>
    <mergeCell ref="V4:Y4"/>
    <mergeCell ref="V6:Y6"/>
    <mergeCell ref="F4:J4"/>
    <mergeCell ref="M5:Q5"/>
    <mergeCell ref="F6:J6"/>
    <mergeCell ref="M6:Q6"/>
    <mergeCell ref="J1:Q3"/>
  </mergeCells>
  <dataValidations count="1">
    <dataValidation type="list" allowBlank="1" showInputMessage="1" showErrorMessage="1" sqref="N9 JJ9 TF9 ADB9 AMX9 AWT9 BGP9 BQL9 CAH9 CKD9 CTZ9 DDV9 DNR9 DXN9 EHJ9 ERF9 FBB9 FKX9 FUT9 GEP9 GOL9 GYH9 HID9 HRZ9 IBV9 ILR9 IVN9 JFJ9 JPF9 JZB9 KIX9 KST9 LCP9 LML9 LWH9 MGD9 MPZ9 MZV9 NJR9 NTN9 ODJ9 ONF9 OXB9 PGX9 PQT9 QAP9 QKL9 QUH9 RED9 RNZ9 RXV9 SHR9 SRN9 TBJ9 TLF9 TVB9 UEX9 UOT9 UYP9 VIL9 VSH9 WCD9 WLZ9 WVV9 N65545 JJ65545 TF65545 ADB65545 AMX65545 AWT65545 BGP65545 BQL65545 CAH65545 CKD65545 CTZ65545 DDV65545 DNR65545 DXN65545 EHJ65545 ERF65545 FBB65545 FKX65545 FUT65545 GEP65545 GOL65545 GYH65545 HID65545 HRZ65545 IBV65545 ILR65545 IVN65545 JFJ65545 JPF65545 JZB65545 KIX65545 KST65545 LCP65545 LML65545 LWH65545 MGD65545 MPZ65545 MZV65545 NJR65545 NTN65545 ODJ65545 ONF65545 OXB65545 PGX65545 PQT65545 QAP65545 QKL65545 QUH65545 RED65545 RNZ65545 RXV65545 SHR65545 SRN65545 TBJ65545 TLF65545 TVB65545 UEX65545 UOT65545 UYP65545 VIL65545 VSH65545 WCD65545 WLZ65545 WVV65545 N131081 JJ131081 TF131081 ADB131081 AMX131081 AWT131081 BGP131081 BQL131081 CAH131081 CKD131081 CTZ131081 DDV131081 DNR131081 DXN131081 EHJ131081 ERF131081 FBB131081 FKX131081 FUT131081 GEP131081 GOL131081 GYH131081 HID131081 HRZ131081 IBV131081 ILR131081 IVN131081 JFJ131081 JPF131081 JZB131081 KIX131081 KST131081 LCP131081 LML131081 LWH131081 MGD131081 MPZ131081 MZV131081 NJR131081 NTN131081 ODJ131081 ONF131081 OXB131081 PGX131081 PQT131081 QAP131081 QKL131081 QUH131081 RED131081 RNZ131081 RXV131081 SHR131081 SRN131081 TBJ131081 TLF131081 TVB131081 UEX131081 UOT131081 UYP131081 VIL131081 VSH131081 WCD131081 WLZ131081 WVV131081 N196617 JJ196617 TF196617 ADB196617 AMX196617 AWT196617 BGP196617 BQL196617 CAH196617 CKD196617 CTZ196617 DDV196617 DNR196617 DXN196617 EHJ196617 ERF196617 FBB196617 FKX196617 FUT196617 GEP196617 GOL196617 GYH196617 HID196617 HRZ196617 IBV196617 ILR196617 IVN196617 JFJ196617 JPF196617 JZB196617 KIX196617 KST196617 LCP196617 LML196617 LWH196617 MGD196617 MPZ196617 MZV196617 NJR196617 NTN196617 ODJ196617 ONF196617 OXB196617 PGX196617 PQT196617 QAP196617 QKL196617 QUH196617 RED196617 RNZ196617 RXV196617 SHR196617 SRN196617 TBJ196617 TLF196617 TVB196617 UEX196617 UOT196617 UYP196617 VIL196617 VSH196617 WCD196617 WLZ196617 WVV196617 N262153 JJ262153 TF262153 ADB262153 AMX262153 AWT262153 BGP262153 BQL262153 CAH262153 CKD262153 CTZ262153 DDV262153 DNR262153 DXN262153 EHJ262153 ERF262153 FBB262153 FKX262153 FUT262153 GEP262153 GOL262153 GYH262153 HID262153 HRZ262153 IBV262153 ILR262153 IVN262153 JFJ262153 JPF262153 JZB262153 KIX262153 KST262153 LCP262153 LML262153 LWH262153 MGD262153 MPZ262153 MZV262153 NJR262153 NTN262153 ODJ262153 ONF262153 OXB262153 PGX262153 PQT262153 QAP262153 QKL262153 QUH262153 RED262153 RNZ262153 RXV262153 SHR262153 SRN262153 TBJ262153 TLF262153 TVB262153 UEX262153 UOT262153 UYP262153 VIL262153 VSH262153 WCD262153 WLZ262153 WVV262153 N327689 JJ327689 TF327689 ADB327689 AMX327689 AWT327689 BGP327689 BQL327689 CAH327689 CKD327689 CTZ327689 DDV327689 DNR327689 DXN327689 EHJ327689 ERF327689 FBB327689 FKX327689 FUT327689 GEP327689 GOL327689 GYH327689 HID327689 HRZ327689 IBV327689 ILR327689 IVN327689 JFJ327689 JPF327689 JZB327689 KIX327689 KST327689 LCP327689 LML327689 LWH327689 MGD327689 MPZ327689 MZV327689 NJR327689 NTN327689 ODJ327689 ONF327689 OXB327689 PGX327689 PQT327689 QAP327689 QKL327689 QUH327689 RED327689 RNZ327689 RXV327689 SHR327689 SRN327689 TBJ327689 TLF327689 TVB327689 UEX327689 UOT327689 UYP327689 VIL327689 VSH327689 WCD327689 WLZ327689 WVV327689 N393225 JJ393225 TF393225 ADB393225 AMX393225 AWT393225 BGP393225 BQL393225 CAH393225 CKD393225 CTZ393225 DDV393225 DNR393225 DXN393225 EHJ393225 ERF393225 FBB393225 FKX393225 FUT393225 GEP393225 GOL393225 GYH393225 HID393225 HRZ393225 IBV393225 ILR393225 IVN393225 JFJ393225 JPF393225 JZB393225 KIX393225 KST393225 LCP393225 LML393225 LWH393225 MGD393225 MPZ393225 MZV393225 NJR393225 NTN393225 ODJ393225 ONF393225 OXB393225 PGX393225 PQT393225 QAP393225 QKL393225 QUH393225 RED393225 RNZ393225 RXV393225 SHR393225 SRN393225 TBJ393225 TLF393225 TVB393225 UEX393225 UOT393225 UYP393225 VIL393225 VSH393225 WCD393225 WLZ393225 WVV393225 N458761 JJ458761 TF458761 ADB458761 AMX458761 AWT458761 BGP458761 BQL458761 CAH458761 CKD458761 CTZ458761 DDV458761 DNR458761 DXN458761 EHJ458761 ERF458761 FBB458761 FKX458761 FUT458761 GEP458761 GOL458761 GYH458761 HID458761 HRZ458761 IBV458761 ILR458761 IVN458761 JFJ458761 JPF458761 JZB458761 KIX458761 KST458761 LCP458761 LML458761 LWH458761 MGD458761 MPZ458761 MZV458761 NJR458761 NTN458761 ODJ458761 ONF458761 OXB458761 PGX458761 PQT458761 QAP458761 QKL458761 QUH458761 RED458761 RNZ458761 RXV458761 SHR458761 SRN458761 TBJ458761 TLF458761 TVB458761 UEX458761 UOT458761 UYP458761 VIL458761 VSH458761 WCD458761 WLZ458761 WVV458761 N524297 JJ524297 TF524297 ADB524297 AMX524297 AWT524297 BGP524297 BQL524297 CAH524297 CKD524297 CTZ524297 DDV524297 DNR524297 DXN524297 EHJ524297 ERF524297 FBB524297 FKX524297 FUT524297 GEP524297 GOL524297 GYH524297 HID524297 HRZ524297 IBV524297 ILR524297 IVN524297 JFJ524297 JPF524297 JZB524297 KIX524297 KST524297 LCP524297 LML524297 LWH524297 MGD524297 MPZ524297 MZV524297 NJR524297 NTN524297 ODJ524297 ONF524297 OXB524297 PGX524297 PQT524297 QAP524297 QKL524297 QUH524297 RED524297 RNZ524297 RXV524297 SHR524297 SRN524297 TBJ524297 TLF524297 TVB524297 UEX524297 UOT524297 UYP524297 VIL524297 VSH524297 WCD524297 WLZ524297 WVV524297 N589833 JJ589833 TF589833 ADB589833 AMX589833 AWT589833 BGP589833 BQL589833 CAH589833 CKD589833 CTZ589833 DDV589833 DNR589833 DXN589833 EHJ589833 ERF589833 FBB589833 FKX589833 FUT589833 GEP589833 GOL589833 GYH589833 HID589833 HRZ589833 IBV589833 ILR589833 IVN589833 JFJ589833 JPF589833 JZB589833 KIX589833 KST589833 LCP589833 LML589833 LWH589833 MGD589833 MPZ589833 MZV589833 NJR589833 NTN589833 ODJ589833 ONF589833 OXB589833 PGX589833 PQT589833 QAP589833 QKL589833 QUH589833 RED589833 RNZ589833 RXV589833 SHR589833 SRN589833 TBJ589833 TLF589833 TVB589833 UEX589833 UOT589833 UYP589833 VIL589833 VSH589833 WCD589833 WLZ589833 WVV589833 N655369 JJ655369 TF655369 ADB655369 AMX655369 AWT655369 BGP655369 BQL655369 CAH655369 CKD655369 CTZ655369 DDV655369 DNR655369 DXN655369 EHJ655369 ERF655369 FBB655369 FKX655369 FUT655369 GEP655369 GOL655369 GYH655369 HID655369 HRZ655369 IBV655369 ILR655369 IVN655369 JFJ655369 JPF655369 JZB655369 KIX655369 KST655369 LCP655369 LML655369 LWH655369 MGD655369 MPZ655369 MZV655369 NJR655369 NTN655369 ODJ655369 ONF655369 OXB655369 PGX655369 PQT655369 QAP655369 QKL655369 QUH655369 RED655369 RNZ655369 RXV655369 SHR655369 SRN655369 TBJ655369 TLF655369 TVB655369 UEX655369 UOT655369 UYP655369 VIL655369 VSH655369 WCD655369 WLZ655369 WVV655369 N720905 JJ720905 TF720905 ADB720905 AMX720905 AWT720905 BGP720905 BQL720905 CAH720905 CKD720905 CTZ720905 DDV720905 DNR720905 DXN720905 EHJ720905 ERF720905 FBB720905 FKX720905 FUT720905 GEP720905 GOL720905 GYH720905 HID720905 HRZ720905 IBV720905 ILR720905 IVN720905 JFJ720905 JPF720905 JZB720905 KIX720905 KST720905 LCP720905 LML720905 LWH720905 MGD720905 MPZ720905 MZV720905 NJR720905 NTN720905 ODJ720905 ONF720905 OXB720905 PGX720905 PQT720905 QAP720905 QKL720905 QUH720905 RED720905 RNZ720905 RXV720905 SHR720905 SRN720905 TBJ720905 TLF720905 TVB720905 UEX720905 UOT720905 UYP720905 VIL720905 VSH720905 WCD720905 WLZ720905 WVV720905 N786441 JJ786441 TF786441 ADB786441 AMX786441 AWT786441 BGP786441 BQL786441 CAH786441 CKD786441 CTZ786441 DDV786441 DNR786441 DXN786441 EHJ786441 ERF786441 FBB786441 FKX786441 FUT786441 GEP786441 GOL786441 GYH786441 HID786441 HRZ786441 IBV786441 ILR786441 IVN786441 JFJ786441 JPF786441 JZB786441 KIX786441 KST786441 LCP786441 LML786441 LWH786441 MGD786441 MPZ786441 MZV786441 NJR786441 NTN786441 ODJ786441 ONF786441 OXB786441 PGX786441 PQT786441 QAP786441 QKL786441 QUH786441 RED786441 RNZ786441 RXV786441 SHR786441 SRN786441 TBJ786441 TLF786441 TVB786441 UEX786441 UOT786441 UYP786441 VIL786441 VSH786441 WCD786441 WLZ786441 WVV786441 N851977 JJ851977 TF851977 ADB851977 AMX851977 AWT851977 BGP851977 BQL851977 CAH851977 CKD851977 CTZ851977 DDV851977 DNR851977 DXN851977 EHJ851977 ERF851977 FBB851977 FKX851977 FUT851977 GEP851977 GOL851977 GYH851977 HID851977 HRZ851977 IBV851977 ILR851977 IVN851977 JFJ851977 JPF851977 JZB851977 KIX851977 KST851977 LCP851977 LML851977 LWH851977 MGD851977 MPZ851977 MZV851977 NJR851977 NTN851977 ODJ851977 ONF851977 OXB851977 PGX851977 PQT851977 QAP851977 QKL851977 QUH851977 RED851977 RNZ851977 RXV851977 SHR851977 SRN851977 TBJ851977 TLF851977 TVB851977 UEX851977 UOT851977 UYP851977 VIL851977 VSH851977 WCD851977 WLZ851977 WVV851977 N917513 JJ917513 TF917513 ADB917513 AMX917513 AWT917513 BGP917513 BQL917513 CAH917513 CKD917513 CTZ917513 DDV917513 DNR917513 DXN917513 EHJ917513 ERF917513 FBB917513 FKX917513 FUT917513 GEP917513 GOL917513 GYH917513 HID917513 HRZ917513 IBV917513 ILR917513 IVN917513 JFJ917513 JPF917513 JZB917513 KIX917513 KST917513 LCP917513 LML917513 LWH917513 MGD917513 MPZ917513 MZV917513 NJR917513 NTN917513 ODJ917513 ONF917513 OXB917513 PGX917513 PQT917513 QAP917513 QKL917513 QUH917513 RED917513 RNZ917513 RXV917513 SHR917513 SRN917513 TBJ917513 TLF917513 TVB917513 UEX917513 UOT917513 UYP917513 VIL917513 VSH917513 WCD917513 WLZ917513 WVV917513 N983049 JJ983049 TF983049 ADB983049 AMX983049 AWT983049 BGP983049 BQL983049 CAH983049 CKD983049 CTZ983049 DDV983049 DNR983049 DXN983049 EHJ983049 ERF983049 FBB983049 FKX983049 FUT983049 GEP983049 GOL983049 GYH983049 HID983049 HRZ983049 IBV983049 ILR983049 IVN983049 JFJ983049 JPF983049 JZB983049 KIX983049 KST983049 LCP983049 LML983049 LWH983049 MGD983049 MPZ983049 MZV983049 NJR983049 NTN983049 ODJ983049 ONF983049 OXB983049 PGX983049 PQT983049 QAP983049 QKL983049 QUH983049 RED983049 RNZ983049 RXV983049 SHR983049 SRN983049 TBJ983049 TLF983049 TVB983049 UEX983049 UOT983049 UYP983049 VIL983049 VSH983049 WCD983049 WLZ983049 WVV983049" xr:uid="{00000000-0002-0000-0100-000000000000}">
      <formula1>$AC$9:$AC$15</formula1>
    </dataValidation>
  </dataValidations>
  <printOptions horizontalCentered="1"/>
  <pageMargins left="0.59055118110236227" right="0.39370078740157483" top="0.39370078740157483" bottom="0.39370078740157483" header="0.39370078740157483" footer="0.39370078740157483"/>
  <pageSetup paperSize="9" scale="90" orientation="portrait" r:id="rId1"/>
  <headerFooter alignWithMargins="0">
    <oddFooter>&amp;L&amp;8&amp;F&amp;C&amp;8Edition 1 - 2015.11.1&amp;R&amp;8Print &amp;D</oddFooter>
  </headerFooter>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Arkusz3">
    <pageSetUpPr fitToPage="1"/>
  </sheetPr>
  <dimension ref="A1:V60"/>
  <sheetViews>
    <sheetView showGridLines="0" view="pageBreakPreview" zoomScale="90" zoomScaleNormal="90" zoomScaleSheetLayoutView="75" workbookViewId="0">
      <selection activeCell="AP18" sqref="AP18"/>
    </sheetView>
  </sheetViews>
  <sheetFormatPr baseColWidth="10" defaultColWidth="9.109375" defaultRowHeight="13.2"/>
  <cols>
    <col min="1" max="1" width="2.109375" style="103" customWidth="1"/>
    <col min="2" max="2" width="7.44140625" style="104" customWidth="1"/>
    <col min="3" max="3" width="7.5546875" style="103" customWidth="1"/>
    <col min="4" max="21" width="7.44140625" style="103" customWidth="1"/>
    <col min="22" max="22" width="2.109375" style="103" customWidth="1"/>
    <col min="23" max="16384" width="9.109375" style="103"/>
  </cols>
  <sheetData>
    <row r="1" spans="1:22" ht="37.5" customHeight="1" thickBot="1">
      <c r="B1" s="365"/>
      <c r="C1" s="365"/>
      <c r="D1" s="365"/>
      <c r="E1" s="94"/>
      <c r="F1" s="142"/>
      <c r="G1" s="142"/>
      <c r="H1" s="142"/>
      <c r="I1" s="142" t="s">
        <v>221</v>
      </c>
      <c r="J1" s="142"/>
      <c r="K1" s="94"/>
      <c r="L1" s="142"/>
      <c r="M1" s="142"/>
      <c r="N1" s="94"/>
      <c r="O1" s="94"/>
      <c r="P1" s="417" t="s">
        <v>220</v>
      </c>
      <c r="Q1" s="417"/>
      <c r="R1" s="417"/>
      <c r="S1" s="417"/>
      <c r="T1" s="417"/>
      <c r="U1" s="417"/>
    </row>
    <row r="2" spans="1:22" s="94" customFormat="1">
      <c r="A2" s="141"/>
      <c r="B2" s="532" t="s">
        <v>178</v>
      </c>
      <c r="C2" s="532"/>
      <c r="D2" s="532"/>
      <c r="E2" s="538" t="str">
        <f>'Quick Response'!F4</f>
        <v>NMA Santa Perpetua</v>
      </c>
      <c r="F2" s="538"/>
      <c r="G2" s="538"/>
      <c r="H2" s="532" t="s">
        <v>219</v>
      </c>
      <c r="I2" s="532"/>
      <c r="J2" s="538" t="str">
        <f>'Quick Response'!M4</f>
        <v>AVOCarbon Tunsia</v>
      </c>
      <c r="K2" s="538"/>
      <c r="L2" s="538"/>
      <c r="M2" s="532" t="s">
        <v>176</v>
      </c>
      <c r="N2" s="532"/>
      <c r="O2" s="532"/>
      <c r="P2" s="535">
        <f>'Quick Response'!V4</f>
        <v>45946</v>
      </c>
      <c r="Q2" s="535"/>
      <c r="R2" s="535"/>
      <c r="S2" s="140"/>
      <c r="T2" s="139"/>
      <c r="U2" s="139"/>
      <c r="V2" s="138"/>
    </row>
    <row r="3" spans="1:22" s="94" customFormat="1">
      <c r="A3" s="137"/>
      <c r="B3" s="540" t="s">
        <v>174</v>
      </c>
      <c r="C3" s="540"/>
      <c r="D3" s="540"/>
      <c r="E3" s="541" t="str">
        <f>'Quick Response'!F5</f>
        <v>Alfons Lledó</v>
      </c>
      <c r="F3" s="541"/>
      <c r="G3" s="541"/>
      <c r="H3" s="540" t="s">
        <v>173</v>
      </c>
      <c r="I3" s="540"/>
      <c r="J3" s="541">
        <f>'Quick Response'!M5</f>
        <v>0</v>
      </c>
      <c r="K3" s="541"/>
      <c r="L3" s="541"/>
      <c r="M3" s="540" t="s">
        <v>218</v>
      </c>
      <c r="N3" s="540"/>
      <c r="O3" s="540"/>
      <c r="P3" s="559"/>
      <c r="Q3" s="559"/>
      <c r="R3" s="559"/>
      <c r="S3" s="136"/>
      <c r="T3" s="135"/>
      <c r="U3" s="135"/>
      <c r="V3" s="134"/>
    </row>
    <row r="4" spans="1:22" s="94" customFormat="1" ht="13.8" thickBot="1">
      <c r="A4" s="133"/>
      <c r="B4" s="533" t="s">
        <v>170</v>
      </c>
      <c r="C4" s="533"/>
      <c r="D4" s="533"/>
      <c r="E4" s="539" t="str">
        <f>'Quick Response'!F6</f>
        <v>NMAS/2025/006</v>
      </c>
      <c r="F4" s="539"/>
      <c r="G4" s="539"/>
      <c r="H4" s="533" t="s">
        <v>217</v>
      </c>
      <c r="I4" s="533"/>
      <c r="J4" s="539">
        <f>'Quick Response'!M6</f>
        <v>0</v>
      </c>
      <c r="K4" s="539"/>
      <c r="L4" s="539"/>
      <c r="M4" s="534" t="s">
        <v>216</v>
      </c>
      <c r="N4" s="534"/>
      <c r="O4" s="534"/>
      <c r="P4" s="536"/>
      <c r="Q4" s="536"/>
      <c r="R4" s="536"/>
      <c r="S4" s="132"/>
      <c r="T4" s="537"/>
      <c r="U4" s="537"/>
      <c r="V4" s="131"/>
    </row>
    <row r="5" spans="1:22" ht="16.5" customHeight="1" thickBot="1">
      <c r="A5" s="113"/>
      <c r="B5" s="130"/>
      <c r="C5" s="94"/>
      <c r="D5" s="94"/>
      <c r="E5" s="94"/>
      <c r="F5" s="94"/>
      <c r="G5" s="94"/>
      <c r="H5" s="94"/>
      <c r="I5" s="94"/>
      <c r="J5" s="94"/>
      <c r="K5" s="94"/>
      <c r="L5" s="94"/>
      <c r="M5" s="94"/>
      <c r="N5" s="94"/>
      <c r="O5" s="94"/>
      <c r="P5" s="94"/>
      <c r="Q5" s="94"/>
      <c r="R5" s="94"/>
      <c r="S5" s="94"/>
      <c r="T5" s="94"/>
      <c r="U5" s="94"/>
      <c r="V5" s="110"/>
    </row>
    <row r="6" spans="1:22" s="126" customFormat="1" ht="18" customHeight="1" thickBot="1">
      <c r="A6" s="129"/>
      <c r="B6" s="544" t="s">
        <v>215</v>
      </c>
      <c r="C6" s="546"/>
      <c r="D6" s="128"/>
      <c r="E6" s="128"/>
      <c r="F6" s="128"/>
      <c r="G6" s="544" t="s">
        <v>214</v>
      </c>
      <c r="H6" s="547"/>
      <c r="I6" s="546"/>
      <c r="J6" s="128"/>
      <c r="K6" s="128"/>
      <c r="L6" s="128"/>
      <c r="N6" s="544" t="s">
        <v>213</v>
      </c>
      <c r="O6" s="546"/>
      <c r="P6" s="128"/>
      <c r="Q6" s="128"/>
      <c r="R6" s="128"/>
      <c r="V6" s="127"/>
    </row>
    <row r="7" spans="1:22" ht="15.75" customHeight="1">
      <c r="A7" s="113"/>
      <c r="B7" s="125"/>
      <c r="C7" s="124"/>
      <c r="D7" s="124"/>
      <c r="E7" s="124"/>
      <c r="F7" s="124"/>
      <c r="G7" s="124"/>
      <c r="H7" s="124"/>
      <c r="I7" s="124"/>
      <c r="J7" s="124"/>
      <c r="K7" s="124"/>
      <c r="L7" s="124"/>
      <c r="M7" s="124"/>
      <c r="N7" s="124"/>
      <c r="O7" s="124"/>
      <c r="P7" s="124"/>
      <c r="Q7" s="124"/>
      <c r="R7" s="124"/>
      <c r="S7" s="124"/>
      <c r="T7" s="124"/>
      <c r="U7" s="124"/>
      <c r="V7" s="110"/>
    </row>
    <row r="8" spans="1:22" ht="15.75" customHeight="1">
      <c r="A8" s="113"/>
      <c r="B8" s="117"/>
      <c r="C8" s="118"/>
      <c r="D8" s="116"/>
      <c r="E8" s="116"/>
      <c r="F8" s="116"/>
      <c r="G8" s="116"/>
      <c r="H8" s="116"/>
      <c r="I8" s="116"/>
      <c r="J8" s="116"/>
      <c r="K8" s="116"/>
      <c r="L8" s="116"/>
      <c r="M8" s="116"/>
      <c r="N8" s="116"/>
      <c r="O8" s="116"/>
      <c r="P8" s="116"/>
      <c r="Q8" s="116"/>
      <c r="R8" s="116"/>
      <c r="S8" s="114"/>
      <c r="T8" s="114"/>
      <c r="U8" s="114"/>
      <c r="V8" s="110"/>
    </row>
    <row r="9" spans="1:22" ht="15.75" customHeight="1">
      <c r="A9" s="113"/>
      <c r="B9" s="117"/>
      <c r="C9" s="116"/>
      <c r="D9" s="116"/>
      <c r="E9" s="116"/>
      <c r="F9" s="116"/>
      <c r="G9" s="116"/>
      <c r="H9" s="116"/>
      <c r="I9" s="116"/>
      <c r="J9" s="116"/>
      <c r="K9" s="116"/>
      <c r="L9" s="116"/>
      <c r="M9" s="116"/>
      <c r="N9" s="116"/>
      <c r="O9" s="116"/>
      <c r="P9" s="116"/>
      <c r="Q9" s="116"/>
      <c r="R9" s="116"/>
      <c r="S9" s="116"/>
      <c r="T9" s="116"/>
      <c r="U9" s="116"/>
      <c r="V9" s="110"/>
    </row>
    <row r="10" spans="1:22" ht="15.75" customHeight="1">
      <c r="A10" s="113"/>
      <c r="B10" s="117"/>
      <c r="C10" s="116"/>
      <c r="D10" s="116"/>
      <c r="E10" s="116"/>
      <c r="F10" s="116"/>
      <c r="G10" s="116"/>
      <c r="H10" s="119"/>
      <c r="I10" s="118"/>
      <c r="J10" s="118"/>
      <c r="K10" s="116"/>
      <c r="L10" s="116"/>
      <c r="M10" s="116"/>
      <c r="N10" s="116"/>
      <c r="O10" s="116"/>
      <c r="P10" s="116"/>
      <c r="Q10" s="116"/>
      <c r="R10" s="116"/>
      <c r="S10" s="116"/>
      <c r="T10" s="116"/>
      <c r="U10" s="116"/>
      <c r="V10" s="110"/>
    </row>
    <row r="11" spans="1:22" ht="15.75" customHeight="1">
      <c r="A11" s="113"/>
      <c r="B11" s="117"/>
      <c r="C11" s="116"/>
      <c r="D11" s="116"/>
      <c r="E11" s="116"/>
      <c r="F11" s="116"/>
      <c r="G11" s="116"/>
      <c r="H11" s="116"/>
      <c r="I11" s="116"/>
      <c r="J11" s="116"/>
      <c r="K11" s="116"/>
      <c r="L11" s="116"/>
      <c r="M11" s="116"/>
      <c r="N11" s="116"/>
      <c r="O11" s="116"/>
      <c r="P11" s="116"/>
      <c r="Q11" s="116"/>
      <c r="R11" s="116"/>
      <c r="S11" s="116"/>
      <c r="T11" s="116"/>
      <c r="U11" s="116"/>
      <c r="V11" s="110"/>
    </row>
    <row r="12" spans="1:22" ht="15.75" customHeight="1">
      <c r="A12" s="113"/>
      <c r="B12" s="117"/>
      <c r="C12" s="116"/>
      <c r="D12" s="116"/>
      <c r="E12" s="116"/>
      <c r="F12" s="116"/>
      <c r="G12" s="116"/>
      <c r="H12" s="116"/>
      <c r="I12" s="116"/>
      <c r="J12" s="116"/>
      <c r="K12" s="116"/>
      <c r="L12" s="116"/>
      <c r="M12" s="116"/>
      <c r="N12" s="116"/>
      <c r="O12" s="116"/>
      <c r="P12" s="116"/>
      <c r="Q12" s="116"/>
      <c r="R12" s="116"/>
      <c r="S12" s="116"/>
      <c r="T12" s="116"/>
      <c r="U12" s="116"/>
      <c r="V12" s="110"/>
    </row>
    <row r="13" spans="1:22" ht="15.75" customHeight="1">
      <c r="A13" s="113"/>
      <c r="B13" s="117"/>
      <c r="C13" s="116"/>
      <c r="D13" s="116"/>
      <c r="E13" s="116"/>
      <c r="F13" s="116"/>
      <c r="G13" s="116"/>
      <c r="H13" s="116"/>
      <c r="I13" s="116"/>
      <c r="J13" s="116"/>
      <c r="K13" s="116"/>
      <c r="L13" s="116"/>
      <c r="M13" s="116"/>
      <c r="N13" s="116"/>
      <c r="O13" s="119"/>
      <c r="P13" s="118"/>
      <c r="Q13" s="116"/>
      <c r="R13" s="116"/>
      <c r="S13" s="116"/>
      <c r="T13" s="116"/>
      <c r="U13" s="116"/>
      <c r="V13" s="110"/>
    </row>
    <row r="14" spans="1:22" ht="15.75" customHeight="1">
      <c r="A14" s="113"/>
      <c r="B14" s="117"/>
      <c r="C14" s="116"/>
      <c r="D14" s="116"/>
      <c r="E14" s="116"/>
      <c r="F14" s="116"/>
      <c r="G14" s="116"/>
      <c r="H14" s="116"/>
      <c r="I14" s="116"/>
      <c r="J14" s="116"/>
      <c r="K14" s="116"/>
      <c r="L14" s="116"/>
      <c r="M14" s="116"/>
      <c r="N14" s="116"/>
      <c r="O14" s="116"/>
      <c r="P14" s="116"/>
      <c r="Q14" s="116"/>
      <c r="R14" s="116"/>
      <c r="S14" s="116"/>
      <c r="T14" s="116"/>
      <c r="U14" s="116"/>
      <c r="V14" s="110"/>
    </row>
    <row r="15" spans="1:22" ht="15.75" customHeight="1">
      <c r="A15" s="113"/>
      <c r="B15" s="117"/>
      <c r="C15" s="116"/>
      <c r="D15" s="116"/>
      <c r="E15" s="116"/>
      <c r="F15" s="116"/>
      <c r="G15" s="116"/>
      <c r="H15" s="116"/>
      <c r="I15" s="116"/>
      <c r="J15" s="116"/>
      <c r="K15" s="116"/>
      <c r="L15" s="116"/>
      <c r="M15" s="116"/>
      <c r="N15" s="116"/>
      <c r="O15" s="116"/>
      <c r="P15" s="116"/>
      <c r="Q15" s="116"/>
      <c r="R15" s="116"/>
      <c r="S15" s="116"/>
      <c r="T15" s="116"/>
      <c r="U15" s="116"/>
      <c r="V15" s="110"/>
    </row>
    <row r="16" spans="1:22" ht="15.75" customHeight="1">
      <c r="A16" s="113"/>
      <c r="B16" s="117"/>
      <c r="C16" s="116"/>
      <c r="D16" s="116"/>
      <c r="E16" s="116"/>
      <c r="F16" s="116"/>
      <c r="G16" s="116"/>
      <c r="H16" s="116"/>
      <c r="I16" s="116"/>
      <c r="J16" s="116"/>
      <c r="K16" s="116"/>
      <c r="L16" s="116"/>
      <c r="M16" s="116"/>
      <c r="N16" s="116"/>
      <c r="O16" s="116"/>
      <c r="P16" s="116"/>
      <c r="Q16" s="116"/>
      <c r="R16" s="116"/>
      <c r="S16" s="116"/>
      <c r="T16" s="116"/>
      <c r="U16" s="116"/>
      <c r="V16" s="110"/>
    </row>
    <row r="17" spans="1:22" ht="15.75" customHeight="1">
      <c r="A17" s="113"/>
      <c r="B17" s="117"/>
      <c r="C17" s="123"/>
      <c r="D17" s="118"/>
      <c r="E17" s="119"/>
      <c r="F17" s="116"/>
      <c r="G17" s="116"/>
      <c r="H17" s="116"/>
      <c r="I17" s="116"/>
      <c r="J17" s="116"/>
      <c r="K17" s="116"/>
      <c r="L17" s="116"/>
      <c r="M17" s="116"/>
      <c r="N17" s="116"/>
      <c r="O17" s="116"/>
      <c r="P17" s="116"/>
      <c r="Q17" s="116"/>
      <c r="R17" s="116"/>
      <c r="S17" s="116"/>
      <c r="T17" s="116"/>
      <c r="U17" s="116"/>
      <c r="V17" s="110"/>
    </row>
    <row r="18" spans="1:22" ht="15.75" customHeight="1" thickBot="1">
      <c r="A18" s="113"/>
      <c r="B18" s="117"/>
      <c r="C18" s="116"/>
      <c r="D18" s="116"/>
      <c r="E18" s="116"/>
      <c r="F18" s="116"/>
      <c r="G18" s="116"/>
      <c r="H18" s="116"/>
      <c r="I18" s="116"/>
      <c r="J18" s="116"/>
      <c r="K18" s="116"/>
      <c r="L18" s="116"/>
      <c r="M18" s="116"/>
      <c r="N18" s="116"/>
      <c r="O18" s="116"/>
      <c r="P18" s="116"/>
      <c r="Q18" s="116"/>
      <c r="R18" s="116"/>
      <c r="S18" s="548" t="s">
        <v>212</v>
      </c>
      <c r="T18" s="549"/>
      <c r="U18" s="549"/>
      <c r="V18" s="110"/>
    </row>
    <row r="19" spans="1:22" ht="15.75" customHeight="1">
      <c r="A19" s="113"/>
      <c r="B19" s="117"/>
      <c r="C19" s="116"/>
      <c r="D19" s="116"/>
      <c r="E19" s="116"/>
      <c r="F19" s="116"/>
      <c r="G19" s="116"/>
      <c r="H19" s="116"/>
      <c r="I19" s="116"/>
      <c r="J19" s="116"/>
      <c r="K19" s="116"/>
      <c r="L19" s="116"/>
      <c r="M19" s="116"/>
      <c r="N19" s="116"/>
      <c r="O19" s="116"/>
      <c r="P19" s="116"/>
      <c r="Q19" s="116"/>
      <c r="R19" s="116"/>
      <c r="S19" s="550"/>
      <c r="T19" s="551"/>
      <c r="U19" s="552"/>
      <c r="V19" s="110"/>
    </row>
    <row r="20" spans="1:22" ht="15.75" customHeight="1">
      <c r="A20" s="113"/>
      <c r="B20" s="122"/>
      <c r="C20" s="118"/>
      <c r="D20" s="118"/>
      <c r="E20" s="118"/>
      <c r="F20" s="118"/>
      <c r="G20" s="118"/>
      <c r="H20" s="118"/>
      <c r="I20" s="118"/>
      <c r="J20" s="118"/>
      <c r="K20" s="118"/>
      <c r="L20" s="118"/>
      <c r="M20" s="118"/>
      <c r="N20" s="118"/>
      <c r="O20" s="118"/>
      <c r="P20" s="118"/>
      <c r="Q20" s="118"/>
      <c r="R20" s="118"/>
      <c r="S20" s="553"/>
      <c r="T20" s="554"/>
      <c r="U20" s="555"/>
      <c r="V20" s="110"/>
    </row>
    <row r="21" spans="1:22" ht="15.75" customHeight="1">
      <c r="A21" s="113"/>
      <c r="B21" s="122"/>
      <c r="C21" s="118"/>
      <c r="D21" s="118"/>
      <c r="E21" s="118"/>
      <c r="F21" s="118"/>
      <c r="G21" s="118"/>
      <c r="H21" s="118"/>
      <c r="I21" s="118"/>
      <c r="J21" s="118"/>
      <c r="K21" s="118"/>
      <c r="L21" s="118"/>
      <c r="M21" s="118"/>
      <c r="N21" s="118"/>
      <c r="O21" s="118"/>
      <c r="P21" s="118"/>
      <c r="Q21" s="118"/>
      <c r="R21" s="118"/>
      <c r="S21" s="553"/>
      <c r="T21" s="554"/>
      <c r="U21" s="555"/>
      <c r="V21" s="110"/>
    </row>
    <row r="22" spans="1:22" ht="15.75" customHeight="1">
      <c r="A22" s="113"/>
      <c r="B22" s="122"/>
      <c r="C22" s="118"/>
      <c r="D22" s="118"/>
      <c r="E22" s="118"/>
      <c r="F22" s="118"/>
      <c r="G22" s="118"/>
      <c r="H22" s="118"/>
      <c r="I22" s="118"/>
      <c r="J22" s="118"/>
      <c r="K22" s="118"/>
      <c r="L22" s="118"/>
      <c r="M22" s="118"/>
      <c r="N22" s="118"/>
      <c r="O22" s="118"/>
      <c r="P22" s="118"/>
      <c r="Q22" s="118"/>
      <c r="R22" s="118"/>
      <c r="S22" s="553"/>
      <c r="T22" s="554"/>
      <c r="U22" s="555"/>
      <c r="V22" s="110"/>
    </row>
    <row r="23" spans="1:22" ht="15.75" customHeight="1">
      <c r="A23" s="113"/>
      <c r="B23" s="115"/>
      <c r="C23" s="114"/>
      <c r="D23" s="114"/>
      <c r="E23" s="114"/>
      <c r="F23" s="114"/>
      <c r="G23" s="114"/>
      <c r="H23" s="114"/>
      <c r="I23" s="114"/>
      <c r="J23" s="114"/>
      <c r="K23" s="114"/>
      <c r="L23" s="114"/>
      <c r="M23" s="114"/>
      <c r="N23" s="114"/>
      <c r="O23" s="114"/>
      <c r="P23" s="114"/>
      <c r="Q23" s="114"/>
      <c r="R23" s="121"/>
      <c r="S23" s="553"/>
      <c r="T23" s="554"/>
      <c r="U23" s="555"/>
      <c r="V23" s="110"/>
    </row>
    <row r="24" spans="1:22" ht="15.75" customHeight="1" thickBot="1">
      <c r="A24" s="113"/>
      <c r="B24" s="117"/>
      <c r="C24" s="116"/>
      <c r="D24" s="116"/>
      <c r="E24" s="116"/>
      <c r="F24" s="116"/>
      <c r="G24" s="116"/>
      <c r="H24" s="116"/>
      <c r="I24" s="116"/>
      <c r="J24" s="116"/>
      <c r="K24" s="116"/>
      <c r="L24" s="116"/>
      <c r="M24" s="116"/>
      <c r="N24" s="116"/>
      <c r="O24" s="116"/>
      <c r="P24" s="116"/>
      <c r="Q24" s="116"/>
      <c r="R24" s="120"/>
      <c r="S24" s="556"/>
      <c r="T24" s="557"/>
      <c r="U24" s="558"/>
      <c r="V24" s="110"/>
    </row>
    <row r="25" spans="1:22" ht="15.75" customHeight="1">
      <c r="A25" s="113"/>
      <c r="B25" s="115"/>
      <c r="C25" s="114"/>
      <c r="D25" s="114"/>
      <c r="E25" s="114"/>
      <c r="F25" s="114"/>
      <c r="G25" s="114"/>
      <c r="H25" s="114"/>
      <c r="I25" s="114"/>
      <c r="J25" s="114"/>
      <c r="K25" s="114"/>
      <c r="L25" s="114"/>
      <c r="M25" s="114"/>
      <c r="N25" s="114"/>
      <c r="O25" s="114"/>
      <c r="P25" s="114"/>
      <c r="Q25" s="114"/>
      <c r="R25" s="114"/>
      <c r="S25" s="114"/>
      <c r="T25" s="114"/>
      <c r="U25" s="114"/>
      <c r="V25" s="110"/>
    </row>
    <row r="26" spans="1:22" ht="15.75" customHeight="1">
      <c r="A26" s="113"/>
      <c r="B26" s="117"/>
      <c r="C26" s="116"/>
      <c r="D26" s="116"/>
      <c r="E26" s="119"/>
      <c r="F26" s="116"/>
      <c r="G26" s="116"/>
      <c r="H26" s="116"/>
      <c r="I26" s="116"/>
      <c r="J26" s="119"/>
      <c r="K26" s="116"/>
      <c r="L26" s="116"/>
      <c r="M26" s="116"/>
      <c r="N26" s="116"/>
      <c r="O26" s="116"/>
      <c r="P26" s="116"/>
      <c r="Q26" s="116"/>
      <c r="R26" s="116"/>
      <c r="S26" s="116"/>
      <c r="T26" s="116"/>
      <c r="U26" s="116"/>
      <c r="V26" s="110"/>
    </row>
    <row r="27" spans="1:22" ht="15.75" customHeight="1">
      <c r="A27" s="113"/>
      <c r="B27" s="117"/>
      <c r="C27" s="116"/>
      <c r="D27" s="116"/>
      <c r="E27" s="116"/>
      <c r="F27" s="116"/>
      <c r="G27" s="116"/>
      <c r="H27" s="116"/>
      <c r="I27" s="116"/>
      <c r="J27" s="116"/>
      <c r="K27" s="116"/>
      <c r="L27" s="116"/>
      <c r="M27" s="116"/>
      <c r="N27" s="116"/>
      <c r="O27" s="116"/>
      <c r="P27" s="116"/>
      <c r="Q27" s="116"/>
      <c r="R27" s="116"/>
      <c r="S27" s="116"/>
      <c r="T27" s="116"/>
      <c r="U27" s="116"/>
      <c r="V27" s="110"/>
    </row>
    <row r="28" spans="1:22" ht="15.75" customHeight="1">
      <c r="A28" s="113"/>
      <c r="B28" s="117"/>
      <c r="C28" s="116"/>
      <c r="D28" s="116"/>
      <c r="E28" s="116"/>
      <c r="F28" s="116"/>
      <c r="G28" s="116"/>
      <c r="H28" s="116"/>
      <c r="I28" s="116"/>
      <c r="J28" s="116"/>
      <c r="K28" s="116"/>
      <c r="L28" s="116"/>
      <c r="M28" s="116"/>
      <c r="N28" s="116"/>
      <c r="O28" s="118"/>
      <c r="P28" s="119"/>
      <c r="Q28" s="116"/>
      <c r="R28" s="116"/>
      <c r="S28" s="116"/>
      <c r="T28" s="116"/>
      <c r="U28" s="116"/>
      <c r="V28" s="110"/>
    </row>
    <row r="29" spans="1:22" ht="15.75" customHeight="1">
      <c r="A29" s="113"/>
      <c r="B29" s="117"/>
      <c r="C29" s="116"/>
      <c r="D29" s="116"/>
      <c r="E29" s="116"/>
      <c r="F29" s="116"/>
      <c r="G29" s="116"/>
      <c r="H29" s="116"/>
      <c r="I29" s="116"/>
      <c r="J29" s="116"/>
      <c r="K29" s="116"/>
      <c r="L29" s="116"/>
      <c r="M29" s="116"/>
      <c r="N29" s="116"/>
      <c r="O29" s="116"/>
      <c r="P29" s="116"/>
      <c r="Q29" s="116"/>
      <c r="R29" s="116"/>
      <c r="S29" s="116"/>
      <c r="T29" s="116"/>
      <c r="U29" s="116"/>
      <c r="V29" s="110"/>
    </row>
    <row r="30" spans="1:22" ht="15.75" customHeight="1">
      <c r="A30" s="113"/>
      <c r="B30" s="117"/>
      <c r="C30" s="116"/>
      <c r="D30" s="116"/>
      <c r="E30" s="116"/>
      <c r="F30" s="116"/>
      <c r="G30" s="116"/>
      <c r="H30" s="116"/>
      <c r="I30" s="116"/>
      <c r="J30" s="116"/>
      <c r="K30" s="116"/>
      <c r="L30" s="116"/>
      <c r="M30" s="116"/>
      <c r="N30" s="116"/>
      <c r="O30" s="116"/>
      <c r="P30" s="116"/>
      <c r="Q30" s="116"/>
      <c r="R30" s="116"/>
      <c r="S30" s="116"/>
      <c r="T30" s="116"/>
      <c r="U30" s="116"/>
      <c r="V30" s="110"/>
    </row>
    <row r="31" spans="1:22" ht="15.75" customHeight="1">
      <c r="A31" s="113"/>
      <c r="B31" s="117"/>
      <c r="C31" s="116"/>
      <c r="D31" s="116"/>
      <c r="E31" s="116"/>
      <c r="F31" s="116"/>
      <c r="G31" s="116"/>
      <c r="H31" s="116"/>
      <c r="I31" s="116"/>
      <c r="J31" s="116"/>
      <c r="K31" s="116"/>
      <c r="L31" s="116"/>
      <c r="M31" s="116"/>
      <c r="N31" s="116"/>
      <c r="O31" s="116"/>
      <c r="P31" s="116"/>
      <c r="Q31" s="116"/>
      <c r="R31" s="116"/>
      <c r="S31" s="116"/>
      <c r="T31" s="116"/>
      <c r="U31" s="116"/>
      <c r="V31" s="110"/>
    </row>
    <row r="32" spans="1:22" ht="15.75" customHeight="1">
      <c r="A32" s="113"/>
      <c r="B32" s="117"/>
      <c r="C32" s="116"/>
      <c r="D32" s="116"/>
      <c r="E32" s="116"/>
      <c r="F32" s="116"/>
      <c r="G32" s="116"/>
      <c r="H32" s="116"/>
      <c r="I32" s="116"/>
      <c r="J32" s="116"/>
      <c r="K32" s="116"/>
      <c r="L32" s="116"/>
      <c r="M32" s="116"/>
      <c r="N32" s="116"/>
      <c r="O32" s="116"/>
      <c r="P32" s="116"/>
      <c r="Q32" s="116"/>
      <c r="R32" s="116"/>
      <c r="S32" s="116"/>
      <c r="T32" s="116"/>
      <c r="U32" s="116"/>
      <c r="V32" s="110"/>
    </row>
    <row r="33" spans="1:22" ht="15.75" customHeight="1">
      <c r="A33" s="113"/>
      <c r="B33" s="117"/>
      <c r="C33" s="116"/>
      <c r="D33" s="116"/>
      <c r="E33" s="116"/>
      <c r="F33" s="118"/>
      <c r="G33" s="116"/>
      <c r="H33" s="116"/>
      <c r="I33" s="116"/>
      <c r="J33" s="116"/>
      <c r="K33" s="116"/>
      <c r="L33" s="116"/>
      <c r="M33" s="116"/>
      <c r="N33" s="116"/>
      <c r="O33" s="116"/>
      <c r="P33" s="116"/>
      <c r="Q33" s="116"/>
      <c r="R33" s="116"/>
      <c r="S33" s="116"/>
      <c r="T33" s="116"/>
      <c r="U33" s="116"/>
      <c r="V33" s="110"/>
    </row>
    <row r="34" spans="1:22" ht="15.75" customHeight="1">
      <c r="A34" s="113"/>
      <c r="B34" s="117"/>
      <c r="C34" s="116"/>
      <c r="D34" s="116"/>
      <c r="E34" s="116"/>
      <c r="F34" s="116"/>
      <c r="G34" s="116"/>
      <c r="H34" s="116"/>
      <c r="I34" s="116"/>
      <c r="J34" s="116"/>
      <c r="K34" s="116"/>
      <c r="L34" s="116"/>
      <c r="M34" s="116"/>
      <c r="N34" s="116"/>
      <c r="O34" s="116"/>
      <c r="P34" s="116"/>
      <c r="Q34" s="116"/>
      <c r="R34" s="116"/>
      <c r="S34" s="116"/>
      <c r="T34" s="116"/>
      <c r="U34" s="116"/>
      <c r="V34" s="110"/>
    </row>
    <row r="35" spans="1:22" ht="15.75" customHeight="1">
      <c r="A35" s="113"/>
      <c r="B35" s="115"/>
      <c r="C35" s="114"/>
      <c r="D35" s="114"/>
      <c r="E35" s="114"/>
      <c r="F35" s="114"/>
      <c r="G35" s="114"/>
      <c r="H35" s="114"/>
      <c r="I35" s="114"/>
      <c r="J35" s="114"/>
      <c r="K35" s="114"/>
      <c r="L35" s="114"/>
      <c r="M35" s="114"/>
      <c r="N35" s="114"/>
      <c r="O35" s="114"/>
      <c r="P35" s="114"/>
      <c r="Q35" s="114"/>
      <c r="R35" s="114"/>
      <c r="S35" s="114"/>
      <c r="T35" s="114"/>
      <c r="U35" s="114"/>
      <c r="V35" s="110"/>
    </row>
    <row r="36" spans="1:22" ht="15.75" customHeight="1" thickBot="1">
      <c r="A36" s="113"/>
      <c r="B36" s="105"/>
      <c r="V36" s="110"/>
    </row>
    <row r="37" spans="1:22" ht="18" customHeight="1" thickBot="1">
      <c r="A37" s="113"/>
      <c r="B37" s="103"/>
      <c r="C37" s="542" t="s">
        <v>211</v>
      </c>
      <c r="D37" s="543"/>
      <c r="E37" s="112"/>
      <c r="F37" s="112"/>
      <c r="H37" s="544" t="s">
        <v>210</v>
      </c>
      <c r="I37" s="546"/>
      <c r="J37" s="111"/>
      <c r="K37" s="111"/>
      <c r="L37" s="111"/>
      <c r="N37" s="544" t="s">
        <v>209</v>
      </c>
      <c r="O37" s="545"/>
      <c r="Q37" s="111"/>
      <c r="R37" s="111"/>
      <c r="V37" s="110"/>
    </row>
    <row r="38" spans="1:22" ht="11.25" customHeight="1" thickBot="1">
      <c r="A38" s="109"/>
      <c r="B38" s="108"/>
      <c r="C38" s="107"/>
      <c r="D38" s="107"/>
      <c r="E38" s="107"/>
      <c r="F38" s="107"/>
      <c r="G38" s="107"/>
      <c r="H38" s="107"/>
      <c r="I38" s="107"/>
      <c r="J38" s="107"/>
      <c r="K38" s="107"/>
      <c r="L38" s="107"/>
      <c r="M38" s="107"/>
      <c r="N38" s="107"/>
      <c r="O38" s="107"/>
      <c r="P38" s="107"/>
      <c r="Q38" s="107"/>
      <c r="R38" s="107"/>
      <c r="S38" s="107"/>
      <c r="T38" s="107"/>
      <c r="U38" s="107"/>
      <c r="V38" s="106"/>
    </row>
    <row r="39" spans="1:22" ht="12.75" customHeight="1">
      <c r="B39" s="105"/>
    </row>
    <row r="40" spans="1:22" ht="12.75" customHeight="1">
      <c r="B40" s="105"/>
    </row>
    <row r="41" spans="1:22" ht="12.75" customHeight="1">
      <c r="B41" s="105"/>
    </row>
    <row r="42" spans="1:22" ht="9.75" customHeight="1">
      <c r="B42" s="105"/>
    </row>
    <row r="43" spans="1:22" ht="9.75" customHeight="1">
      <c r="B43" s="105"/>
    </row>
    <row r="44" spans="1:22" ht="9.75" customHeight="1">
      <c r="B44" s="105"/>
    </row>
    <row r="45" spans="1:22" ht="9.75" customHeight="1">
      <c r="B45" s="105"/>
    </row>
    <row r="46" spans="1:22" ht="9.75" customHeight="1">
      <c r="B46" s="105"/>
    </row>
    <row r="47" spans="1:22" ht="9.75" customHeight="1">
      <c r="B47" s="105"/>
    </row>
    <row r="48" spans="1:22" ht="9.75" customHeight="1">
      <c r="B48" s="105"/>
    </row>
    <row r="49" spans="2:2" ht="9.75" customHeight="1">
      <c r="B49" s="105"/>
    </row>
    <row r="50" spans="2:2" ht="9.75" customHeight="1">
      <c r="B50" s="105"/>
    </row>
    <row r="51" spans="2:2" ht="9.75" customHeight="1">
      <c r="B51" s="105"/>
    </row>
    <row r="52" spans="2:2" ht="9.75" customHeight="1">
      <c r="B52" s="105"/>
    </row>
    <row r="53" spans="2:2" ht="9.75" customHeight="1">
      <c r="B53" s="105"/>
    </row>
    <row r="54" spans="2:2" ht="9.75" customHeight="1"/>
    <row r="55" spans="2:2" ht="9.75" customHeight="1"/>
    <row r="56" spans="2:2" ht="9.75" customHeight="1"/>
    <row r="57" spans="2:2" ht="9.75" customHeight="1"/>
    <row r="58" spans="2:2" ht="9.75" customHeight="1"/>
    <row r="59" spans="2:2" ht="9.75" customHeight="1"/>
    <row r="60" spans="2:2" ht="9.75" customHeight="1"/>
  </sheetData>
  <sheetProtection selectLockedCells="1"/>
  <mergeCells count="29">
    <mergeCell ref="S18:U18"/>
    <mergeCell ref="S19:U24"/>
    <mergeCell ref="H3:I3"/>
    <mergeCell ref="J3:L3"/>
    <mergeCell ref="M3:O3"/>
    <mergeCell ref="P3:R3"/>
    <mergeCell ref="C37:D37"/>
    <mergeCell ref="N37:O37"/>
    <mergeCell ref="H37:I37"/>
    <mergeCell ref="B6:C6"/>
    <mergeCell ref="N6:O6"/>
    <mergeCell ref="G6:I6"/>
    <mergeCell ref="B1:D1"/>
    <mergeCell ref="E4:G4"/>
    <mergeCell ref="E2:G2"/>
    <mergeCell ref="B2:D2"/>
    <mergeCell ref="B4:D4"/>
    <mergeCell ref="B3:D3"/>
    <mergeCell ref="E3:G3"/>
    <mergeCell ref="P1:U1"/>
    <mergeCell ref="H2:I2"/>
    <mergeCell ref="H4:I4"/>
    <mergeCell ref="M2:O2"/>
    <mergeCell ref="M4:O4"/>
    <mergeCell ref="P2:R2"/>
    <mergeCell ref="P4:R4"/>
    <mergeCell ref="T4:U4"/>
    <mergeCell ref="J2:L2"/>
    <mergeCell ref="J4:L4"/>
  </mergeCells>
  <printOptions horizontalCentered="1"/>
  <pageMargins left="0.39370078740157483" right="0.39370078740157483" top="0.39370078740157483" bottom="0.39370078740157483" header="0.39370078740157483" footer="0.19685039370078741"/>
  <pageSetup paperSize="9" scale="86" orientation="landscape" horizontalDpi="4294967292" verticalDpi="96" r:id="rId1"/>
  <headerFooter alignWithMargins="0">
    <oddFooter>&amp;L&amp;8&amp;F&amp;C&amp;8Edition 1 -2015.11.1&amp;R&amp;8Printed &amp;D</oddFooter>
  </headerFooter>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Arkusz4"/>
  <dimension ref="A1:P26"/>
  <sheetViews>
    <sheetView view="pageBreakPreview" zoomScale="90" zoomScaleNormal="90" zoomScaleSheetLayoutView="75" workbookViewId="0">
      <selection activeCell="AP18" sqref="AP18"/>
    </sheetView>
  </sheetViews>
  <sheetFormatPr baseColWidth="10" defaultColWidth="9.109375" defaultRowHeight="13.2"/>
  <cols>
    <col min="1" max="1" width="6.44140625" style="143" customWidth="1"/>
    <col min="2" max="3" width="18.6640625" style="94" customWidth="1"/>
    <col min="4" max="6" width="14.33203125" style="94" customWidth="1"/>
    <col min="7" max="8" width="6.88671875" style="94" customWidth="1"/>
    <col min="9" max="9" width="15.44140625" style="94" customWidth="1"/>
    <col min="10" max="10" width="9.6640625" style="94" customWidth="1"/>
    <col min="11" max="11" width="8.109375" style="94" bestFit="1" customWidth="1"/>
    <col min="12" max="12" width="5.5546875" style="94" customWidth="1"/>
    <col min="13" max="13" width="8.5546875" style="94" customWidth="1"/>
    <col min="14" max="16384" width="9.109375" style="94"/>
  </cols>
  <sheetData>
    <row r="1" spans="1:16" ht="37.5" customHeight="1" thickBot="1">
      <c r="B1" s="190"/>
      <c r="C1" s="190"/>
      <c r="D1" s="190"/>
      <c r="E1" s="190" t="s">
        <v>242</v>
      </c>
      <c r="F1" s="190"/>
      <c r="G1" s="190"/>
      <c r="H1" s="190"/>
      <c r="I1" s="190"/>
      <c r="J1" s="417" t="s">
        <v>220</v>
      </c>
      <c r="K1" s="417"/>
      <c r="L1" s="417"/>
      <c r="M1" s="417"/>
      <c r="P1" s="182" t="s">
        <v>241</v>
      </c>
    </row>
    <row r="2" spans="1:16">
      <c r="A2" s="560" t="s">
        <v>178</v>
      </c>
      <c r="B2" s="532"/>
      <c r="C2" s="538" t="str">
        <f>'Quick Response'!F4</f>
        <v>NMA Santa Perpetua</v>
      </c>
      <c r="D2" s="538"/>
      <c r="E2" s="140" t="s">
        <v>177</v>
      </c>
      <c r="F2" s="538" t="str">
        <f>'Quick Response'!M4</f>
        <v>AVOCarbon Tunsia</v>
      </c>
      <c r="G2" s="538"/>
      <c r="H2" s="538"/>
      <c r="I2" s="140" t="s">
        <v>176</v>
      </c>
      <c r="J2" s="535">
        <f>'Quick Response'!V4</f>
        <v>45946</v>
      </c>
      <c r="K2" s="535"/>
      <c r="L2" s="189"/>
      <c r="M2" s="188"/>
      <c r="P2" s="182" t="s">
        <v>240</v>
      </c>
    </row>
    <row r="3" spans="1:16">
      <c r="A3" s="137" t="s">
        <v>174</v>
      </c>
      <c r="B3" s="136"/>
      <c r="C3" s="541" t="str">
        <f>'Quick Response'!F5</f>
        <v>Alfons Lledó</v>
      </c>
      <c r="D3" s="541"/>
      <c r="E3" s="136" t="s">
        <v>173</v>
      </c>
      <c r="F3" s="541">
        <f>'Quick Response'!M5</f>
        <v>0</v>
      </c>
      <c r="G3" s="541"/>
      <c r="H3" s="541"/>
      <c r="I3" s="136" t="s">
        <v>239</v>
      </c>
      <c r="J3" s="559"/>
      <c r="K3" s="559"/>
      <c r="L3" s="187"/>
      <c r="M3" s="186"/>
      <c r="P3" s="182"/>
    </row>
    <row r="4" spans="1:16" ht="12.75" customHeight="1" thickBot="1">
      <c r="A4" s="561" t="s">
        <v>170</v>
      </c>
      <c r="B4" s="533"/>
      <c r="C4" s="539" t="str">
        <f>'Quick Response'!F6</f>
        <v>NMAS/2025/006</v>
      </c>
      <c r="D4" s="539"/>
      <c r="E4" s="132" t="s">
        <v>169</v>
      </c>
      <c r="F4" s="539">
        <f>'Quick Response'!M6</f>
        <v>0</v>
      </c>
      <c r="G4" s="539"/>
      <c r="H4" s="539"/>
      <c r="I4" s="185" t="s">
        <v>238</v>
      </c>
      <c r="J4" s="536"/>
      <c r="K4" s="536"/>
      <c r="L4" s="184"/>
      <c r="M4" s="183"/>
      <c r="P4" s="182" t="s">
        <v>237</v>
      </c>
    </row>
    <row r="6" spans="1:16" ht="16.2" thickBot="1">
      <c r="A6" s="562" t="s">
        <v>236</v>
      </c>
      <c r="B6" s="562"/>
      <c r="C6" s="563" t="str">
        <f>'Quick Response'!F13</f>
        <v>Brusch Card without continuity</v>
      </c>
      <c r="D6" s="563"/>
      <c r="E6" s="563"/>
      <c r="F6" s="563"/>
      <c r="G6" s="563"/>
      <c r="H6" s="563"/>
      <c r="I6" s="563"/>
      <c r="J6" s="563"/>
      <c r="K6" s="563"/>
      <c r="L6" s="563"/>
      <c r="M6" s="563"/>
    </row>
    <row r="7" spans="1:16" ht="30" customHeight="1" thickBot="1">
      <c r="A7" s="178" t="s">
        <v>235</v>
      </c>
      <c r="B7" s="181" t="s">
        <v>234</v>
      </c>
      <c r="C7" s="177" t="s">
        <v>233</v>
      </c>
      <c r="D7" s="177" t="s">
        <v>232</v>
      </c>
      <c r="E7" s="177" t="s">
        <v>231</v>
      </c>
      <c r="F7" s="177" t="s">
        <v>230</v>
      </c>
      <c r="G7" s="180" t="s">
        <v>229</v>
      </c>
      <c r="H7" s="179" t="s">
        <v>228</v>
      </c>
      <c r="I7" s="178" t="s">
        <v>227</v>
      </c>
      <c r="J7" s="177" t="s">
        <v>90</v>
      </c>
      <c r="K7" s="177" t="s">
        <v>104</v>
      </c>
      <c r="L7" s="176" t="s">
        <v>226</v>
      </c>
      <c r="M7" s="175" t="s">
        <v>225</v>
      </c>
    </row>
    <row r="8" spans="1:16" ht="13.8" thickBot="1">
      <c r="A8" s="165" t="s">
        <v>224</v>
      </c>
      <c r="B8" s="164"/>
      <c r="C8" s="164"/>
      <c r="D8" s="164"/>
      <c r="E8" s="164"/>
      <c r="F8" s="164"/>
      <c r="G8" s="163"/>
      <c r="H8" s="163"/>
      <c r="I8" s="163"/>
      <c r="J8" s="164"/>
      <c r="K8" s="164"/>
      <c r="L8" s="163"/>
      <c r="M8" s="162"/>
    </row>
    <row r="9" spans="1:16">
      <c r="A9" s="174">
        <v>1</v>
      </c>
      <c r="B9" s="173"/>
      <c r="C9" s="172"/>
      <c r="D9" s="172"/>
      <c r="E9" s="169"/>
      <c r="F9" s="169"/>
      <c r="G9" s="169"/>
      <c r="H9" s="171"/>
      <c r="I9" s="170"/>
      <c r="J9" s="169"/>
      <c r="K9" s="168"/>
      <c r="L9" s="167"/>
      <c r="M9" s="166"/>
    </row>
    <row r="10" spans="1:16">
      <c r="A10" s="161">
        <v>2</v>
      </c>
      <c r="B10" s="160"/>
      <c r="C10" s="160"/>
      <c r="D10" s="160"/>
      <c r="E10" s="157"/>
      <c r="F10" s="157"/>
      <c r="G10" s="157"/>
      <c r="H10" s="159"/>
      <c r="I10" s="158"/>
      <c r="J10" s="157"/>
      <c r="K10" s="156"/>
      <c r="L10" s="155"/>
      <c r="M10" s="154"/>
    </row>
    <row r="11" spans="1:16">
      <c r="A11" s="161">
        <v>3</v>
      </c>
      <c r="B11" s="160"/>
      <c r="C11" s="160"/>
      <c r="D11" s="160"/>
      <c r="E11" s="157"/>
      <c r="F11" s="157"/>
      <c r="G11" s="157"/>
      <c r="H11" s="159"/>
      <c r="I11" s="158"/>
      <c r="J11" s="157"/>
      <c r="K11" s="156"/>
      <c r="L11" s="155"/>
      <c r="M11" s="154"/>
    </row>
    <row r="12" spans="1:16">
      <c r="A12" s="161">
        <v>4</v>
      </c>
      <c r="B12" s="160"/>
      <c r="C12" s="160"/>
      <c r="D12" s="160"/>
      <c r="E12" s="157"/>
      <c r="F12" s="157"/>
      <c r="G12" s="157"/>
      <c r="H12" s="159"/>
      <c r="I12" s="158"/>
      <c r="J12" s="157"/>
      <c r="K12" s="156"/>
      <c r="L12" s="155"/>
      <c r="M12" s="154"/>
    </row>
    <row r="13" spans="1:16">
      <c r="A13" s="161">
        <v>5</v>
      </c>
      <c r="B13" s="160"/>
      <c r="C13" s="160"/>
      <c r="D13" s="160"/>
      <c r="E13" s="157"/>
      <c r="F13" s="157"/>
      <c r="G13" s="157"/>
      <c r="H13" s="159"/>
      <c r="I13" s="158"/>
      <c r="J13" s="157"/>
      <c r="K13" s="156"/>
      <c r="L13" s="155"/>
      <c r="M13" s="154"/>
    </row>
    <row r="14" spans="1:16">
      <c r="A14" s="161">
        <v>6</v>
      </c>
      <c r="B14" s="160"/>
      <c r="C14" s="160"/>
      <c r="D14" s="160"/>
      <c r="E14" s="157"/>
      <c r="F14" s="157"/>
      <c r="G14" s="157"/>
      <c r="H14" s="159"/>
      <c r="I14" s="158"/>
      <c r="J14" s="157"/>
      <c r="K14" s="156"/>
      <c r="L14" s="155"/>
      <c r="M14" s="154"/>
    </row>
    <row r="15" spans="1:16">
      <c r="A15" s="161">
        <v>7</v>
      </c>
      <c r="B15" s="160"/>
      <c r="C15" s="160"/>
      <c r="D15" s="160"/>
      <c r="E15" s="157"/>
      <c r="F15" s="157"/>
      <c r="G15" s="157"/>
      <c r="H15" s="159"/>
      <c r="I15" s="158"/>
      <c r="J15" s="157"/>
      <c r="K15" s="156"/>
      <c r="L15" s="155"/>
      <c r="M15" s="154"/>
    </row>
    <row r="16" spans="1:16" ht="13.8" thickBot="1">
      <c r="A16" s="161">
        <v>8</v>
      </c>
      <c r="B16" s="160"/>
      <c r="C16" s="160"/>
      <c r="D16" s="160"/>
      <c r="E16" s="157"/>
      <c r="F16" s="157"/>
      <c r="G16" s="157"/>
      <c r="H16" s="159"/>
      <c r="I16" s="158"/>
      <c r="J16" s="157"/>
      <c r="K16" s="156"/>
      <c r="L16" s="155"/>
      <c r="M16" s="154"/>
    </row>
    <row r="17" spans="1:13" ht="13.8" thickBot="1">
      <c r="A17" s="165" t="s">
        <v>223</v>
      </c>
      <c r="B17" s="164"/>
      <c r="C17" s="164"/>
      <c r="D17" s="164"/>
      <c r="E17" s="164"/>
      <c r="F17" s="164"/>
      <c r="G17" s="163"/>
      <c r="H17" s="163"/>
      <c r="I17" s="163"/>
      <c r="J17" s="164"/>
      <c r="K17" s="164"/>
      <c r="L17" s="163"/>
      <c r="M17" s="162"/>
    </row>
    <row r="18" spans="1:13">
      <c r="A18" s="161">
        <v>1</v>
      </c>
      <c r="B18" s="160"/>
      <c r="C18" s="160"/>
      <c r="D18" s="160"/>
      <c r="E18" s="157"/>
      <c r="F18" s="157"/>
      <c r="G18" s="157"/>
      <c r="H18" s="159"/>
      <c r="I18" s="158"/>
      <c r="J18" s="157"/>
      <c r="K18" s="156"/>
      <c r="L18" s="155"/>
      <c r="M18" s="154"/>
    </row>
    <row r="19" spans="1:13">
      <c r="A19" s="161">
        <v>2</v>
      </c>
      <c r="B19" s="160"/>
      <c r="C19" s="160"/>
      <c r="D19" s="160"/>
      <c r="E19" s="157"/>
      <c r="F19" s="157"/>
      <c r="G19" s="157"/>
      <c r="H19" s="159"/>
      <c r="I19" s="158"/>
      <c r="J19" s="157"/>
      <c r="K19" s="156"/>
      <c r="L19" s="155"/>
      <c r="M19" s="154"/>
    </row>
    <row r="20" spans="1:13">
      <c r="A20" s="161">
        <v>3</v>
      </c>
      <c r="B20" s="160"/>
      <c r="C20" s="160"/>
      <c r="D20" s="160"/>
      <c r="E20" s="157"/>
      <c r="F20" s="157"/>
      <c r="G20" s="157"/>
      <c r="H20" s="159"/>
      <c r="I20" s="158"/>
      <c r="J20" s="157"/>
      <c r="K20" s="156"/>
      <c r="L20" s="155"/>
      <c r="M20" s="154"/>
    </row>
    <row r="21" spans="1:13">
      <c r="A21" s="161">
        <v>4</v>
      </c>
      <c r="B21" s="160"/>
      <c r="C21" s="160"/>
      <c r="D21" s="160"/>
      <c r="E21" s="157"/>
      <c r="F21" s="157"/>
      <c r="G21" s="157"/>
      <c r="H21" s="159"/>
      <c r="I21" s="158"/>
      <c r="J21" s="157"/>
      <c r="K21" s="156"/>
      <c r="L21" s="155"/>
      <c r="M21" s="154"/>
    </row>
    <row r="22" spans="1:13">
      <c r="A22" s="161">
        <v>5</v>
      </c>
      <c r="B22" s="160"/>
      <c r="C22" s="160"/>
      <c r="D22" s="160"/>
      <c r="E22" s="157"/>
      <c r="F22" s="157"/>
      <c r="G22" s="157"/>
      <c r="H22" s="159"/>
      <c r="I22" s="158"/>
      <c r="J22" s="157"/>
      <c r="K22" s="156"/>
      <c r="L22" s="155"/>
      <c r="M22" s="154"/>
    </row>
    <row r="23" spans="1:13">
      <c r="A23" s="161">
        <v>6</v>
      </c>
      <c r="B23" s="160"/>
      <c r="C23" s="160"/>
      <c r="D23" s="160"/>
      <c r="E23" s="157"/>
      <c r="F23" s="157"/>
      <c r="G23" s="157"/>
      <c r="H23" s="159"/>
      <c r="I23" s="158"/>
      <c r="J23" s="157"/>
      <c r="K23" s="156"/>
      <c r="L23" s="155"/>
      <c r="M23" s="154"/>
    </row>
    <row r="24" spans="1:13">
      <c r="A24" s="161">
        <v>7</v>
      </c>
      <c r="B24" s="160"/>
      <c r="C24" s="160"/>
      <c r="D24" s="160"/>
      <c r="E24" s="157"/>
      <c r="F24" s="157"/>
      <c r="G24" s="157"/>
      <c r="H24" s="159"/>
      <c r="I24" s="158"/>
      <c r="J24" s="157"/>
      <c r="K24" s="156"/>
      <c r="L24" s="155"/>
      <c r="M24" s="154"/>
    </row>
    <row r="25" spans="1:13" ht="13.8" thickBot="1">
      <c r="A25" s="153">
        <v>8</v>
      </c>
      <c r="B25" s="152"/>
      <c r="C25" s="152"/>
      <c r="D25" s="152"/>
      <c r="E25" s="149"/>
      <c r="F25" s="149"/>
      <c r="G25" s="149"/>
      <c r="H25" s="151"/>
      <c r="I25" s="150"/>
      <c r="J25" s="149"/>
      <c r="K25" s="148"/>
      <c r="L25" s="147"/>
      <c r="M25" s="146"/>
    </row>
    <row r="26" spans="1:13">
      <c r="A26" s="145"/>
      <c r="B26" s="145"/>
      <c r="M26" s="144" t="s">
        <v>222</v>
      </c>
    </row>
  </sheetData>
  <sheetProtection selectLockedCells="1"/>
  <autoFilter ref="A7:M26" xr:uid="{00000000-0009-0000-0000-000003000000}"/>
  <mergeCells count="14">
    <mergeCell ref="J1:M1"/>
    <mergeCell ref="F2:H2"/>
    <mergeCell ref="F4:H4"/>
    <mergeCell ref="J2:K2"/>
    <mergeCell ref="J4:K4"/>
    <mergeCell ref="F3:H3"/>
    <mergeCell ref="J3:K3"/>
    <mergeCell ref="A2:B2"/>
    <mergeCell ref="A4:B4"/>
    <mergeCell ref="A6:B6"/>
    <mergeCell ref="C6:M6"/>
    <mergeCell ref="C2:D2"/>
    <mergeCell ref="C4:D4"/>
    <mergeCell ref="C3:D3"/>
  </mergeCells>
  <dataValidations count="2">
    <dataValidation type="list" allowBlank="1" showInputMessage="1" showErrorMessage="1" sqref="L9:L16 JH9:JH16 TD9:TD16 ACZ9:ACZ16 AMV9:AMV16 AWR9:AWR16 BGN9:BGN16 BQJ9:BQJ16 CAF9:CAF16 CKB9:CKB16 CTX9:CTX16 DDT9:DDT16 DNP9:DNP16 DXL9:DXL16 EHH9:EHH16 ERD9:ERD16 FAZ9:FAZ16 FKV9:FKV16 FUR9:FUR16 GEN9:GEN16 GOJ9:GOJ16 GYF9:GYF16 HIB9:HIB16 HRX9:HRX16 IBT9:IBT16 ILP9:ILP16 IVL9:IVL16 JFH9:JFH16 JPD9:JPD16 JYZ9:JYZ16 KIV9:KIV16 KSR9:KSR16 LCN9:LCN16 LMJ9:LMJ16 LWF9:LWF16 MGB9:MGB16 MPX9:MPX16 MZT9:MZT16 NJP9:NJP16 NTL9:NTL16 ODH9:ODH16 OND9:OND16 OWZ9:OWZ16 PGV9:PGV16 PQR9:PQR16 QAN9:QAN16 QKJ9:QKJ16 QUF9:QUF16 REB9:REB16 RNX9:RNX16 RXT9:RXT16 SHP9:SHP16 SRL9:SRL16 TBH9:TBH16 TLD9:TLD16 TUZ9:TUZ16 UEV9:UEV16 UOR9:UOR16 UYN9:UYN16 VIJ9:VIJ16 VSF9:VSF16 WCB9:WCB16 WLX9:WLX16 WVT9:WVT16 L65545:L65552 JH65545:JH65552 TD65545:TD65552 ACZ65545:ACZ65552 AMV65545:AMV65552 AWR65545:AWR65552 BGN65545:BGN65552 BQJ65545:BQJ65552 CAF65545:CAF65552 CKB65545:CKB65552 CTX65545:CTX65552 DDT65545:DDT65552 DNP65545:DNP65552 DXL65545:DXL65552 EHH65545:EHH65552 ERD65545:ERD65552 FAZ65545:FAZ65552 FKV65545:FKV65552 FUR65545:FUR65552 GEN65545:GEN65552 GOJ65545:GOJ65552 GYF65545:GYF65552 HIB65545:HIB65552 HRX65545:HRX65552 IBT65545:IBT65552 ILP65545:ILP65552 IVL65545:IVL65552 JFH65545:JFH65552 JPD65545:JPD65552 JYZ65545:JYZ65552 KIV65545:KIV65552 KSR65545:KSR65552 LCN65545:LCN65552 LMJ65545:LMJ65552 LWF65545:LWF65552 MGB65545:MGB65552 MPX65545:MPX65552 MZT65545:MZT65552 NJP65545:NJP65552 NTL65545:NTL65552 ODH65545:ODH65552 OND65545:OND65552 OWZ65545:OWZ65552 PGV65545:PGV65552 PQR65545:PQR65552 QAN65545:QAN65552 QKJ65545:QKJ65552 QUF65545:QUF65552 REB65545:REB65552 RNX65545:RNX65552 RXT65545:RXT65552 SHP65545:SHP65552 SRL65545:SRL65552 TBH65545:TBH65552 TLD65545:TLD65552 TUZ65545:TUZ65552 UEV65545:UEV65552 UOR65545:UOR65552 UYN65545:UYN65552 VIJ65545:VIJ65552 VSF65545:VSF65552 WCB65545:WCB65552 WLX65545:WLX65552 WVT65545:WVT65552 L131081:L131088 JH131081:JH131088 TD131081:TD131088 ACZ131081:ACZ131088 AMV131081:AMV131088 AWR131081:AWR131088 BGN131081:BGN131088 BQJ131081:BQJ131088 CAF131081:CAF131088 CKB131081:CKB131088 CTX131081:CTX131088 DDT131081:DDT131088 DNP131081:DNP131088 DXL131081:DXL131088 EHH131081:EHH131088 ERD131081:ERD131088 FAZ131081:FAZ131088 FKV131081:FKV131088 FUR131081:FUR131088 GEN131081:GEN131088 GOJ131081:GOJ131088 GYF131081:GYF131088 HIB131081:HIB131088 HRX131081:HRX131088 IBT131081:IBT131088 ILP131081:ILP131088 IVL131081:IVL131088 JFH131081:JFH131088 JPD131081:JPD131088 JYZ131081:JYZ131088 KIV131081:KIV131088 KSR131081:KSR131088 LCN131081:LCN131088 LMJ131081:LMJ131088 LWF131081:LWF131088 MGB131081:MGB131088 MPX131081:MPX131088 MZT131081:MZT131088 NJP131081:NJP131088 NTL131081:NTL131088 ODH131081:ODH131088 OND131081:OND131088 OWZ131081:OWZ131088 PGV131081:PGV131088 PQR131081:PQR131088 QAN131081:QAN131088 QKJ131081:QKJ131088 QUF131081:QUF131088 REB131081:REB131088 RNX131081:RNX131088 RXT131081:RXT131088 SHP131081:SHP131088 SRL131081:SRL131088 TBH131081:TBH131088 TLD131081:TLD131088 TUZ131081:TUZ131088 UEV131081:UEV131088 UOR131081:UOR131088 UYN131081:UYN131088 VIJ131081:VIJ131088 VSF131081:VSF131088 WCB131081:WCB131088 WLX131081:WLX131088 WVT131081:WVT131088 L196617:L196624 JH196617:JH196624 TD196617:TD196624 ACZ196617:ACZ196624 AMV196617:AMV196624 AWR196617:AWR196624 BGN196617:BGN196624 BQJ196617:BQJ196624 CAF196617:CAF196624 CKB196617:CKB196624 CTX196617:CTX196624 DDT196617:DDT196624 DNP196617:DNP196624 DXL196617:DXL196624 EHH196617:EHH196624 ERD196617:ERD196624 FAZ196617:FAZ196624 FKV196617:FKV196624 FUR196617:FUR196624 GEN196617:GEN196624 GOJ196617:GOJ196624 GYF196617:GYF196624 HIB196617:HIB196624 HRX196617:HRX196624 IBT196617:IBT196624 ILP196617:ILP196624 IVL196617:IVL196624 JFH196617:JFH196624 JPD196617:JPD196624 JYZ196617:JYZ196624 KIV196617:KIV196624 KSR196617:KSR196624 LCN196617:LCN196624 LMJ196617:LMJ196624 LWF196617:LWF196624 MGB196617:MGB196624 MPX196617:MPX196624 MZT196617:MZT196624 NJP196617:NJP196624 NTL196617:NTL196624 ODH196617:ODH196624 OND196617:OND196624 OWZ196617:OWZ196624 PGV196617:PGV196624 PQR196617:PQR196624 QAN196617:QAN196624 QKJ196617:QKJ196624 QUF196617:QUF196624 REB196617:REB196624 RNX196617:RNX196624 RXT196617:RXT196624 SHP196617:SHP196624 SRL196617:SRL196624 TBH196617:TBH196624 TLD196617:TLD196624 TUZ196617:TUZ196624 UEV196617:UEV196624 UOR196617:UOR196624 UYN196617:UYN196624 VIJ196617:VIJ196624 VSF196617:VSF196624 WCB196617:WCB196624 WLX196617:WLX196624 WVT196617:WVT196624 L262153:L262160 JH262153:JH262160 TD262153:TD262160 ACZ262153:ACZ262160 AMV262153:AMV262160 AWR262153:AWR262160 BGN262153:BGN262160 BQJ262153:BQJ262160 CAF262153:CAF262160 CKB262153:CKB262160 CTX262153:CTX262160 DDT262153:DDT262160 DNP262153:DNP262160 DXL262153:DXL262160 EHH262153:EHH262160 ERD262153:ERD262160 FAZ262153:FAZ262160 FKV262153:FKV262160 FUR262153:FUR262160 GEN262153:GEN262160 GOJ262153:GOJ262160 GYF262153:GYF262160 HIB262153:HIB262160 HRX262153:HRX262160 IBT262153:IBT262160 ILP262153:ILP262160 IVL262153:IVL262160 JFH262153:JFH262160 JPD262153:JPD262160 JYZ262153:JYZ262160 KIV262153:KIV262160 KSR262153:KSR262160 LCN262153:LCN262160 LMJ262153:LMJ262160 LWF262153:LWF262160 MGB262153:MGB262160 MPX262153:MPX262160 MZT262153:MZT262160 NJP262153:NJP262160 NTL262153:NTL262160 ODH262153:ODH262160 OND262153:OND262160 OWZ262153:OWZ262160 PGV262153:PGV262160 PQR262153:PQR262160 QAN262153:QAN262160 QKJ262153:QKJ262160 QUF262153:QUF262160 REB262153:REB262160 RNX262153:RNX262160 RXT262153:RXT262160 SHP262153:SHP262160 SRL262153:SRL262160 TBH262153:TBH262160 TLD262153:TLD262160 TUZ262153:TUZ262160 UEV262153:UEV262160 UOR262153:UOR262160 UYN262153:UYN262160 VIJ262153:VIJ262160 VSF262153:VSF262160 WCB262153:WCB262160 WLX262153:WLX262160 WVT262153:WVT262160 L327689:L327696 JH327689:JH327696 TD327689:TD327696 ACZ327689:ACZ327696 AMV327689:AMV327696 AWR327689:AWR327696 BGN327689:BGN327696 BQJ327689:BQJ327696 CAF327689:CAF327696 CKB327689:CKB327696 CTX327689:CTX327696 DDT327689:DDT327696 DNP327689:DNP327696 DXL327689:DXL327696 EHH327689:EHH327696 ERD327689:ERD327696 FAZ327689:FAZ327696 FKV327689:FKV327696 FUR327689:FUR327696 GEN327689:GEN327696 GOJ327689:GOJ327696 GYF327689:GYF327696 HIB327689:HIB327696 HRX327689:HRX327696 IBT327689:IBT327696 ILP327689:ILP327696 IVL327689:IVL327696 JFH327689:JFH327696 JPD327689:JPD327696 JYZ327689:JYZ327696 KIV327689:KIV327696 KSR327689:KSR327696 LCN327689:LCN327696 LMJ327689:LMJ327696 LWF327689:LWF327696 MGB327689:MGB327696 MPX327689:MPX327696 MZT327689:MZT327696 NJP327689:NJP327696 NTL327689:NTL327696 ODH327689:ODH327696 OND327689:OND327696 OWZ327689:OWZ327696 PGV327689:PGV327696 PQR327689:PQR327696 QAN327689:QAN327696 QKJ327689:QKJ327696 QUF327689:QUF327696 REB327689:REB327696 RNX327689:RNX327696 RXT327689:RXT327696 SHP327689:SHP327696 SRL327689:SRL327696 TBH327689:TBH327696 TLD327689:TLD327696 TUZ327689:TUZ327696 UEV327689:UEV327696 UOR327689:UOR327696 UYN327689:UYN327696 VIJ327689:VIJ327696 VSF327689:VSF327696 WCB327689:WCB327696 WLX327689:WLX327696 WVT327689:WVT327696 L393225:L393232 JH393225:JH393232 TD393225:TD393232 ACZ393225:ACZ393232 AMV393225:AMV393232 AWR393225:AWR393232 BGN393225:BGN393232 BQJ393225:BQJ393232 CAF393225:CAF393232 CKB393225:CKB393232 CTX393225:CTX393232 DDT393225:DDT393232 DNP393225:DNP393232 DXL393225:DXL393232 EHH393225:EHH393232 ERD393225:ERD393232 FAZ393225:FAZ393232 FKV393225:FKV393232 FUR393225:FUR393232 GEN393225:GEN393232 GOJ393225:GOJ393232 GYF393225:GYF393232 HIB393225:HIB393232 HRX393225:HRX393232 IBT393225:IBT393232 ILP393225:ILP393232 IVL393225:IVL393232 JFH393225:JFH393232 JPD393225:JPD393232 JYZ393225:JYZ393232 KIV393225:KIV393232 KSR393225:KSR393232 LCN393225:LCN393232 LMJ393225:LMJ393232 LWF393225:LWF393232 MGB393225:MGB393232 MPX393225:MPX393232 MZT393225:MZT393232 NJP393225:NJP393232 NTL393225:NTL393232 ODH393225:ODH393232 OND393225:OND393232 OWZ393225:OWZ393232 PGV393225:PGV393232 PQR393225:PQR393232 QAN393225:QAN393232 QKJ393225:QKJ393232 QUF393225:QUF393232 REB393225:REB393232 RNX393225:RNX393232 RXT393225:RXT393232 SHP393225:SHP393232 SRL393225:SRL393232 TBH393225:TBH393232 TLD393225:TLD393232 TUZ393225:TUZ393232 UEV393225:UEV393232 UOR393225:UOR393232 UYN393225:UYN393232 VIJ393225:VIJ393232 VSF393225:VSF393232 WCB393225:WCB393232 WLX393225:WLX393232 WVT393225:WVT393232 L458761:L458768 JH458761:JH458768 TD458761:TD458768 ACZ458761:ACZ458768 AMV458761:AMV458768 AWR458761:AWR458768 BGN458761:BGN458768 BQJ458761:BQJ458768 CAF458761:CAF458768 CKB458761:CKB458768 CTX458761:CTX458768 DDT458761:DDT458768 DNP458761:DNP458768 DXL458761:DXL458768 EHH458761:EHH458768 ERD458761:ERD458768 FAZ458761:FAZ458768 FKV458761:FKV458768 FUR458761:FUR458768 GEN458761:GEN458768 GOJ458761:GOJ458768 GYF458761:GYF458768 HIB458761:HIB458768 HRX458761:HRX458768 IBT458761:IBT458768 ILP458761:ILP458768 IVL458761:IVL458768 JFH458761:JFH458768 JPD458761:JPD458768 JYZ458761:JYZ458768 KIV458761:KIV458768 KSR458761:KSR458768 LCN458761:LCN458768 LMJ458761:LMJ458768 LWF458761:LWF458768 MGB458761:MGB458768 MPX458761:MPX458768 MZT458761:MZT458768 NJP458761:NJP458768 NTL458761:NTL458768 ODH458761:ODH458768 OND458761:OND458768 OWZ458761:OWZ458768 PGV458761:PGV458768 PQR458761:PQR458768 QAN458761:QAN458768 QKJ458761:QKJ458768 QUF458761:QUF458768 REB458761:REB458768 RNX458761:RNX458768 RXT458761:RXT458768 SHP458761:SHP458768 SRL458761:SRL458768 TBH458761:TBH458768 TLD458761:TLD458768 TUZ458761:TUZ458768 UEV458761:UEV458768 UOR458761:UOR458768 UYN458761:UYN458768 VIJ458761:VIJ458768 VSF458761:VSF458768 WCB458761:WCB458768 WLX458761:WLX458768 WVT458761:WVT458768 L524297:L524304 JH524297:JH524304 TD524297:TD524304 ACZ524297:ACZ524304 AMV524297:AMV524304 AWR524297:AWR524304 BGN524297:BGN524304 BQJ524297:BQJ524304 CAF524297:CAF524304 CKB524297:CKB524304 CTX524297:CTX524304 DDT524297:DDT524304 DNP524297:DNP524304 DXL524297:DXL524304 EHH524297:EHH524304 ERD524297:ERD524304 FAZ524297:FAZ524304 FKV524297:FKV524304 FUR524297:FUR524304 GEN524297:GEN524304 GOJ524297:GOJ524304 GYF524297:GYF524304 HIB524297:HIB524304 HRX524297:HRX524304 IBT524297:IBT524304 ILP524297:ILP524304 IVL524297:IVL524304 JFH524297:JFH524304 JPD524297:JPD524304 JYZ524297:JYZ524304 KIV524297:KIV524304 KSR524297:KSR524304 LCN524297:LCN524304 LMJ524297:LMJ524304 LWF524297:LWF524304 MGB524297:MGB524304 MPX524297:MPX524304 MZT524297:MZT524304 NJP524297:NJP524304 NTL524297:NTL524304 ODH524297:ODH524304 OND524297:OND524304 OWZ524297:OWZ524304 PGV524297:PGV524304 PQR524297:PQR524304 QAN524297:QAN524304 QKJ524297:QKJ524304 QUF524297:QUF524304 REB524297:REB524304 RNX524297:RNX524304 RXT524297:RXT524304 SHP524297:SHP524304 SRL524297:SRL524304 TBH524297:TBH524304 TLD524297:TLD524304 TUZ524297:TUZ524304 UEV524297:UEV524304 UOR524297:UOR524304 UYN524297:UYN524304 VIJ524297:VIJ524304 VSF524297:VSF524304 WCB524297:WCB524304 WLX524297:WLX524304 WVT524297:WVT524304 L589833:L589840 JH589833:JH589840 TD589833:TD589840 ACZ589833:ACZ589840 AMV589833:AMV589840 AWR589833:AWR589840 BGN589833:BGN589840 BQJ589833:BQJ589840 CAF589833:CAF589840 CKB589833:CKB589840 CTX589833:CTX589840 DDT589833:DDT589840 DNP589833:DNP589840 DXL589833:DXL589840 EHH589833:EHH589840 ERD589833:ERD589840 FAZ589833:FAZ589840 FKV589833:FKV589840 FUR589833:FUR589840 GEN589833:GEN589840 GOJ589833:GOJ589840 GYF589833:GYF589840 HIB589833:HIB589840 HRX589833:HRX589840 IBT589833:IBT589840 ILP589833:ILP589840 IVL589833:IVL589840 JFH589833:JFH589840 JPD589833:JPD589840 JYZ589833:JYZ589840 KIV589833:KIV589840 KSR589833:KSR589840 LCN589833:LCN589840 LMJ589833:LMJ589840 LWF589833:LWF589840 MGB589833:MGB589840 MPX589833:MPX589840 MZT589833:MZT589840 NJP589833:NJP589840 NTL589833:NTL589840 ODH589833:ODH589840 OND589833:OND589840 OWZ589833:OWZ589840 PGV589833:PGV589840 PQR589833:PQR589840 QAN589833:QAN589840 QKJ589833:QKJ589840 QUF589833:QUF589840 REB589833:REB589840 RNX589833:RNX589840 RXT589833:RXT589840 SHP589833:SHP589840 SRL589833:SRL589840 TBH589833:TBH589840 TLD589833:TLD589840 TUZ589833:TUZ589840 UEV589833:UEV589840 UOR589833:UOR589840 UYN589833:UYN589840 VIJ589833:VIJ589840 VSF589833:VSF589840 WCB589833:WCB589840 WLX589833:WLX589840 WVT589833:WVT589840 L655369:L655376 JH655369:JH655376 TD655369:TD655376 ACZ655369:ACZ655376 AMV655369:AMV655376 AWR655369:AWR655376 BGN655369:BGN655376 BQJ655369:BQJ655376 CAF655369:CAF655376 CKB655369:CKB655376 CTX655369:CTX655376 DDT655369:DDT655376 DNP655369:DNP655376 DXL655369:DXL655376 EHH655369:EHH655376 ERD655369:ERD655376 FAZ655369:FAZ655376 FKV655369:FKV655376 FUR655369:FUR655376 GEN655369:GEN655376 GOJ655369:GOJ655376 GYF655369:GYF655376 HIB655369:HIB655376 HRX655369:HRX655376 IBT655369:IBT655376 ILP655369:ILP655376 IVL655369:IVL655376 JFH655369:JFH655376 JPD655369:JPD655376 JYZ655369:JYZ655376 KIV655369:KIV655376 KSR655369:KSR655376 LCN655369:LCN655376 LMJ655369:LMJ655376 LWF655369:LWF655376 MGB655369:MGB655376 MPX655369:MPX655376 MZT655369:MZT655376 NJP655369:NJP655376 NTL655369:NTL655376 ODH655369:ODH655376 OND655369:OND655376 OWZ655369:OWZ655376 PGV655369:PGV655376 PQR655369:PQR655376 QAN655369:QAN655376 QKJ655369:QKJ655376 QUF655369:QUF655376 REB655369:REB655376 RNX655369:RNX655376 RXT655369:RXT655376 SHP655369:SHP655376 SRL655369:SRL655376 TBH655369:TBH655376 TLD655369:TLD655376 TUZ655369:TUZ655376 UEV655369:UEV655376 UOR655369:UOR655376 UYN655369:UYN655376 VIJ655369:VIJ655376 VSF655369:VSF655376 WCB655369:WCB655376 WLX655369:WLX655376 WVT655369:WVT655376 L720905:L720912 JH720905:JH720912 TD720905:TD720912 ACZ720905:ACZ720912 AMV720905:AMV720912 AWR720905:AWR720912 BGN720905:BGN720912 BQJ720905:BQJ720912 CAF720905:CAF720912 CKB720905:CKB720912 CTX720905:CTX720912 DDT720905:DDT720912 DNP720905:DNP720912 DXL720905:DXL720912 EHH720905:EHH720912 ERD720905:ERD720912 FAZ720905:FAZ720912 FKV720905:FKV720912 FUR720905:FUR720912 GEN720905:GEN720912 GOJ720905:GOJ720912 GYF720905:GYF720912 HIB720905:HIB720912 HRX720905:HRX720912 IBT720905:IBT720912 ILP720905:ILP720912 IVL720905:IVL720912 JFH720905:JFH720912 JPD720905:JPD720912 JYZ720905:JYZ720912 KIV720905:KIV720912 KSR720905:KSR720912 LCN720905:LCN720912 LMJ720905:LMJ720912 LWF720905:LWF720912 MGB720905:MGB720912 MPX720905:MPX720912 MZT720905:MZT720912 NJP720905:NJP720912 NTL720905:NTL720912 ODH720905:ODH720912 OND720905:OND720912 OWZ720905:OWZ720912 PGV720905:PGV720912 PQR720905:PQR720912 QAN720905:QAN720912 QKJ720905:QKJ720912 QUF720905:QUF720912 REB720905:REB720912 RNX720905:RNX720912 RXT720905:RXT720912 SHP720905:SHP720912 SRL720905:SRL720912 TBH720905:TBH720912 TLD720905:TLD720912 TUZ720905:TUZ720912 UEV720905:UEV720912 UOR720905:UOR720912 UYN720905:UYN720912 VIJ720905:VIJ720912 VSF720905:VSF720912 WCB720905:WCB720912 WLX720905:WLX720912 WVT720905:WVT720912 L786441:L786448 JH786441:JH786448 TD786441:TD786448 ACZ786441:ACZ786448 AMV786441:AMV786448 AWR786441:AWR786448 BGN786441:BGN786448 BQJ786441:BQJ786448 CAF786441:CAF786448 CKB786441:CKB786448 CTX786441:CTX786448 DDT786441:DDT786448 DNP786441:DNP786448 DXL786441:DXL786448 EHH786441:EHH786448 ERD786441:ERD786448 FAZ786441:FAZ786448 FKV786441:FKV786448 FUR786441:FUR786448 GEN786441:GEN786448 GOJ786441:GOJ786448 GYF786441:GYF786448 HIB786441:HIB786448 HRX786441:HRX786448 IBT786441:IBT786448 ILP786441:ILP786448 IVL786441:IVL786448 JFH786441:JFH786448 JPD786441:JPD786448 JYZ786441:JYZ786448 KIV786441:KIV786448 KSR786441:KSR786448 LCN786441:LCN786448 LMJ786441:LMJ786448 LWF786441:LWF786448 MGB786441:MGB786448 MPX786441:MPX786448 MZT786441:MZT786448 NJP786441:NJP786448 NTL786441:NTL786448 ODH786441:ODH786448 OND786441:OND786448 OWZ786441:OWZ786448 PGV786441:PGV786448 PQR786441:PQR786448 QAN786441:QAN786448 QKJ786441:QKJ786448 QUF786441:QUF786448 REB786441:REB786448 RNX786441:RNX786448 RXT786441:RXT786448 SHP786441:SHP786448 SRL786441:SRL786448 TBH786441:TBH786448 TLD786441:TLD786448 TUZ786441:TUZ786448 UEV786441:UEV786448 UOR786441:UOR786448 UYN786441:UYN786448 VIJ786441:VIJ786448 VSF786441:VSF786448 WCB786441:WCB786448 WLX786441:WLX786448 WVT786441:WVT786448 L851977:L851984 JH851977:JH851984 TD851977:TD851984 ACZ851977:ACZ851984 AMV851977:AMV851984 AWR851977:AWR851984 BGN851977:BGN851984 BQJ851977:BQJ851984 CAF851977:CAF851984 CKB851977:CKB851984 CTX851977:CTX851984 DDT851977:DDT851984 DNP851977:DNP851984 DXL851977:DXL851984 EHH851977:EHH851984 ERD851977:ERD851984 FAZ851977:FAZ851984 FKV851977:FKV851984 FUR851977:FUR851984 GEN851977:GEN851984 GOJ851977:GOJ851984 GYF851977:GYF851984 HIB851977:HIB851984 HRX851977:HRX851984 IBT851977:IBT851984 ILP851977:ILP851984 IVL851977:IVL851984 JFH851977:JFH851984 JPD851977:JPD851984 JYZ851977:JYZ851984 KIV851977:KIV851984 KSR851977:KSR851984 LCN851977:LCN851984 LMJ851977:LMJ851984 LWF851977:LWF851984 MGB851977:MGB851984 MPX851977:MPX851984 MZT851977:MZT851984 NJP851977:NJP851984 NTL851977:NTL851984 ODH851977:ODH851984 OND851977:OND851984 OWZ851977:OWZ851984 PGV851977:PGV851984 PQR851977:PQR851984 QAN851977:QAN851984 QKJ851977:QKJ851984 QUF851977:QUF851984 REB851977:REB851984 RNX851977:RNX851984 RXT851977:RXT851984 SHP851977:SHP851984 SRL851977:SRL851984 TBH851977:TBH851984 TLD851977:TLD851984 TUZ851977:TUZ851984 UEV851977:UEV851984 UOR851977:UOR851984 UYN851977:UYN851984 VIJ851977:VIJ851984 VSF851977:VSF851984 WCB851977:WCB851984 WLX851977:WLX851984 WVT851977:WVT851984 L917513:L917520 JH917513:JH917520 TD917513:TD917520 ACZ917513:ACZ917520 AMV917513:AMV917520 AWR917513:AWR917520 BGN917513:BGN917520 BQJ917513:BQJ917520 CAF917513:CAF917520 CKB917513:CKB917520 CTX917513:CTX917520 DDT917513:DDT917520 DNP917513:DNP917520 DXL917513:DXL917520 EHH917513:EHH917520 ERD917513:ERD917520 FAZ917513:FAZ917520 FKV917513:FKV917520 FUR917513:FUR917520 GEN917513:GEN917520 GOJ917513:GOJ917520 GYF917513:GYF917520 HIB917513:HIB917520 HRX917513:HRX917520 IBT917513:IBT917520 ILP917513:ILP917520 IVL917513:IVL917520 JFH917513:JFH917520 JPD917513:JPD917520 JYZ917513:JYZ917520 KIV917513:KIV917520 KSR917513:KSR917520 LCN917513:LCN917520 LMJ917513:LMJ917520 LWF917513:LWF917520 MGB917513:MGB917520 MPX917513:MPX917520 MZT917513:MZT917520 NJP917513:NJP917520 NTL917513:NTL917520 ODH917513:ODH917520 OND917513:OND917520 OWZ917513:OWZ917520 PGV917513:PGV917520 PQR917513:PQR917520 QAN917513:QAN917520 QKJ917513:QKJ917520 QUF917513:QUF917520 REB917513:REB917520 RNX917513:RNX917520 RXT917513:RXT917520 SHP917513:SHP917520 SRL917513:SRL917520 TBH917513:TBH917520 TLD917513:TLD917520 TUZ917513:TUZ917520 UEV917513:UEV917520 UOR917513:UOR917520 UYN917513:UYN917520 VIJ917513:VIJ917520 VSF917513:VSF917520 WCB917513:WCB917520 WLX917513:WLX917520 WVT917513:WVT917520 L983049:L983056 JH983049:JH983056 TD983049:TD983056 ACZ983049:ACZ983056 AMV983049:AMV983056 AWR983049:AWR983056 BGN983049:BGN983056 BQJ983049:BQJ983056 CAF983049:CAF983056 CKB983049:CKB983056 CTX983049:CTX983056 DDT983049:DDT983056 DNP983049:DNP983056 DXL983049:DXL983056 EHH983049:EHH983056 ERD983049:ERD983056 FAZ983049:FAZ983056 FKV983049:FKV983056 FUR983049:FUR983056 GEN983049:GEN983056 GOJ983049:GOJ983056 GYF983049:GYF983056 HIB983049:HIB983056 HRX983049:HRX983056 IBT983049:IBT983056 ILP983049:ILP983056 IVL983049:IVL983056 JFH983049:JFH983056 JPD983049:JPD983056 JYZ983049:JYZ983056 KIV983049:KIV983056 KSR983049:KSR983056 LCN983049:LCN983056 LMJ983049:LMJ983056 LWF983049:LWF983056 MGB983049:MGB983056 MPX983049:MPX983056 MZT983049:MZT983056 NJP983049:NJP983056 NTL983049:NTL983056 ODH983049:ODH983056 OND983049:OND983056 OWZ983049:OWZ983056 PGV983049:PGV983056 PQR983049:PQR983056 QAN983049:QAN983056 QKJ983049:QKJ983056 QUF983049:QUF983056 REB983049:REB983056 RNX983049:RNX983056 RXT983049:RXT983056 SHP983049:SHP983056 SRL983049:SRL983056 TBH983049:TBH983056 TLD983049:TLD983056 TUZ983049:TUZ983056 UEV983049:UEV983056 UOR983049:UOR983056 UYN983049:UYN983056 VIJ983049:VIJ983056 VSF983049:VSF983056 WCB983049:WCB983056 WLX983049:WLX983056 WVT983049:WVT983056 L18:L25 JH18:JH25 TD18:TD25 ACZ18:ACZ25 AMV18:AMV25 AWR18:AWR25 BGN18:BGN25 BQJ18:BQJ25 CAF18:CAF25 CKB18:CKB25 CTX18:CTX25 DDT18:DDT25 DNP18:DNP25 DXL18:DXL25 EHH18:EHH25 ERD18:ERD25 FAZ18:FAZ25 FKV18:FKV25 FUR18:FUR25 GEN18:GEN25 GOJ18:GOJ25 GYF18:GYF25 HIB18:HIB25 HRX18:HRX25 IBT18:IBT25 ILP18:ILP25 IVL18:IVL25 JFH18:JFH25 JPD18:JPD25 JYZ18:JYZ25 KIV18:KIV25 KSR18:KSR25 LCN18:LCN25 LMJ18:LMJ25 LWF18:LWF25 MGB18:MGB25 MPX18:MPX25 MZT18:MZT25 NJP18:NJP25 NTL18:NTL25 ODH18:ODH25 OND18:OND25 OWZ18:OWZ25 PGV18:PGV25 PQR18:PQR25 QAN18:QAN25 QKJ18:QKJ25 QUF18:QUF25 REB18:REB25 RNX18:RNX25 RXT18:RXT25 SHP18:SHP25 SRL18:SRL25 TBH18:TBH25 TLD18:TLD25 TUZ18:TUZ25 UEV18:UEV25 UOR18:UOR25 UYN18:UYN25 VIJ18:VIJ25 VSF18:VSF25 WCB18:WCB25 WLX18:WLX25 WVT18:WVT25 L65554:L65561 JH65554:JH65561 TD65554:TD65561 ACZ65554:ACZ65561 AMV65554:AMV65561 AWR65554:AWR65561 BGN65554:BGN65561 BQJ65554:BQJ65561 CAF65554:CAF65561 CKB65554:CKB65561 CTX65554:CTX65561 DDT65554:DDT65561 DNP65554:DNP65561 DXL65554:DXL65561 EHH65554:EHH65561 ERD65554:ERD65561 FAZ65554:FAZ65561 FKV65554:FKV65561 FUR65554:FUR65561 GEN65554:GEN65561 GOJ65554:GOJ65561 GYF65554:GYF65561 HIB65554:HIB65561 HRX65554:HRX65561 IBT65554:IBT65561 ILP65554:ILP65561 IVL65554:IVL65561 JFH65554:JFH65561 JPD65554:JPD65561 JYZ65554:JYZ65561 KIV65554:KIV65561 KSR65554:KSR65561 LCN65554:LCN65561 LMJ65554:LMJ65561 LWF65554:LWF65561 MGB65554:MGB65561 MPX65554:MPX65561 MZT65554:MZT65561 NJP65554:NJP65561 NTL65554:NTL65561 ODH65554:ODH65561 OND65554:OND65561 OWZ65554:OWZ65561 PGV65554:PGV65561 PQR65554:PQR65561 QAN65554:QAN65561 QKJ65554:QKJ65561 QUF65554:QUF65561 REB65554:REB65561 RNX65554:RNX65561 RXT65554:RXT65561 SHP65554:SHP65561 SRL65554:SRL65561 TBH65554:TBH65561 TLD65554:TLD65561 TUZ65554:TUZ65561 UEV65554:UEV65561 UOR65554:UOR65561 UYN65554:UYN65561 VIJ65554:VIJ65561 VSF65554:VSF65561 WCB65554:WCB65561 WLX65554:WLX65561 WVT65554:WVT65561 L131090:L131097 JH131090:JH131097 TD131090:TD131097 ACZ131090:ACZ131097 AMV131090:AMV131097 AWR131090:AWR131097 BGN131090:BGN131097 BQJ131090:BQJ131097 CAF131090:CAF131097 CKB131090:CKB131097 CTX131090:CTX131097 DDT131090:DDT131097 DNP131090:DNP131097 DXL131090:DXL131097 EHH131090:EHH131097 ERD131090:ERD131097 FAZ131090:FAZ131097 FKV131090:FKV131097 FUR131090:FUR131097 GEN131090:GEN131097 GOJ131090:GOJ131097 GYF131090:GYF131097 HIB131090:HIB131097 HRX131090:HRX131097 IBT131090:IBT131097 ILP131090:ILP131097 IVL131090:IVL131097 JFH131090:JFH131097 JPD131090:JPD131097 JYZ131090:JYZ131097 KIV131090:KIV131097 KSR131090:KSR131097 LCN131090:LCN131097 LMJ131090:LMJ131097 LWF131090:LWF131097 MGB131090:MGB131097 MPX131090:MPX131097 MZT131090:MZT131097 NJP131090:NJP131097 NTL131090:NTL131097 ODH131090:ODH131097 OND131090:OND131097 OWZ131090:OWZ131097 PGV131090:PGV131097 PQR131090:PQR131097 QAN131090:QAN131097 QKJ131090:QKJ131097 QUF131090:QUF131097 REB131090:REB131097 RNX131090:RNX131097 RXT131090:RXT131097 SHP131090:SHP131097 SRL131090:SRL131097 TBH131090:TBH131097 TLD131090:TLD131097 TUZ131090:TUZ131097 UEV131090:UEV131097 UOR131090:UOR131097 UYN131090:UYN131097 VIJ131090:VIJ131097 VSF131090:VSF131097 WCB131090:WCB131097 WLX131090:WLX131097 WVT131090:WVT131097 L196626:L196633 JH196626:JH196633 TD196626:TD196633 ACZ196626:ACZ196633 AMV196626:AMV196633 AWR196626:AWR196633 BGN196626:BGN196633 BQJ196626:BQJ196633 CAF196626:CAF196633 CKB196626:CKB196633 CTX196626:CTX196633 DDT196626:DDT196633 DNP196626:DNP196633 DXL196626:DXL196633 EHH196626:EHH196633 ERD196626:ERD196633 FAZ196626:FAZ196633 FKV196626:FKV196633 FUR196626:FUR196633 GEN196626:GEN196633 GOJ196626:GOJ196633 GYF196626:GYF196633 HIB196626:HIB196633 HRX196626:HRX196633 IBT196626:IBT196633 ILP196626:ILP196633 IVL196626:IVL196633 JFH196626:JFH196633 JPD196626:JPD196633 JYZ196626:JYZ196633 KIV196626:KIV196633 KSR196626:KSR196633 LCN196626:LCN196633 LMJ196626:LMJ196633 LWF196626:LWF196633 MGB196626:MGB196633 MPX196626:MPX196633 MZT196626:MZT196633 NJP196626:NJP196633 NTL196626:NTL196633 ODH196626:ODH196633 OND196626:OND196633 OWZ196626:OWZ196633 PGV196626:PGV196633 PQR196626:PQR196633 QAN196626:QAN196633 QKJ196626:QKJ196633 QUF196626:QUF196633 REB196626:REB196633 RNX196626:RNX196633 RXT196626:RXT196633 SHP196626:SHP196633 SRL196626:SRL196633 TBH196626:TBH196633 TLD196626:TLD196633 TUZ196626:TUZ196633 UEV196626:UEV196633 UOR196626:UOR196633 UYN196626:UYN196633 VIJ196626:VIJ196633 VSF196626:VSF196633 WCB196626:WCB196633 WLX196626:WLX196633 WVT196626:WVT196633 L262162:L262169 JH262162:JH262169 TD262162:TD262169 ACZ262162:ACZ262169 AMV262162:AMV262169 AWR262162:AWR262169 BGN262162:BGN262169 BQJ262162:BQJ262169 CAF262162:CAF262169 CKB262162:CKB262169 CTX262162:CTX262169 DDT262162:DDT262169 DNP262162:DNP262169 DXL262162:DXL262169 EHH262162:EHH262169 ERD262162:ERD262169 FAZ262162:FAZ262169 FKV262162:FKV262169 FUR262162:FUR262169 GEN262162:GEN262169 GOJ262162:GOJ262169 GYF262162:GYF262169 HIB262162:HIB262169 HRX262162:HRX262169 IBT262162:IBT262169 ILP262162:ILP262169 IVL262162:IVL262169 JFH262162:JFH262169 JPD262162:JPD262169 JYZ262162:JYZ262169 KIV262162:KIV262169 KSR262162:KSR262169 LCN262162:LCN262169 LMJ262162:LMJ262169 LWF262162:LWF262169 MGB262162:MGB262169 MPX262162:MPX262169 MZT262162:MZT262169 NJP262162:NJP262169 NTL262162:NTL262169 ODH262162:ODH262169 OND262162:OND262169 OWZ262162:OWZ262169 PGV262162:PGV262169 PQR262162:PQR262169 QAN262162:QAN262169 QKJ262162:QKJ262169 QUF262162:QUF262169 REB262162:REB262169 RNX262162:RNX262169 RXT262162:RXT262169 SHP262162:SHP262169 SRL262162:SRL262169 TBH262162:TBH262169 TLD262162:TLD262169 TUZ262162:TUZ262169 UEV262162:UEV262169 UOR262162:UOR262169 UYN262162:UYN262169 VIJ262162:VIJ262169 VSF262162:VSF262169 WCB262162:WCB262169 WLX262162:WLX262169 WVT262162:WVT262169 L327698:L327705 JH327698:JH327705 TD327698:TD327705 ACZ327698:ACZ327705 AMV327698:AMV327705 AWR327698:AWR327705 BGN327698:BGN327705 BQJ327698:BQJ327705 CAF327698:CAF327705 CKB327698:CKB327705 CTX327698:CTX327705 DDT327698:DDT327705 DNP327698:DNP327705 DXL327698:DXL327705 EHH327698:EHH327705 ERD327698:ERD327705 FAZ327698:FAZ327705 FKV327698:FKV327705 FUR327698:FUR327705 GEN327698:GEN327705 GOJ327698:GOJ327705 GYF327698:GYF327705 HIB327698:HIB327705 HRX327698:HRX327705 IBT327698:IBT327705 ILP327698:ILP327705 IVL327698:IVL327705 JFH327698:JFH327705 JPD327698:JPD327705 JYZ327698:JYZ327705 KIV327698:KIV327705 KSR327698:KSR327705 LCN327698:LCN327705 LMJ327698:LMJ327705 LWF327698:LWF327705 MGB327698:MGB327705 MPX327698:MPX327705 MZT327698:MZT327705 NJP327698:NJP327705 NTL327698:NTL327705 ODH327698:ODH327705 OND327698:OND327705 OWZ327698:OWZ327705 PGV327698:PGV327705 PQR327698:PQR327705 QAN327698:QAN327705 QKJ327698:QKJ327705 QUF327698:QUF327705 REB327698:REB327705 RNX327698:RNX327705 RXT327698:RXT327705 SHP327698:SHP327705 SRL327698:SRL327705 TBH327698:TBH327705 TLD327698:TLD327705 TUZ327698:TUZ327705 UEV327698:UEV327705 UOR327698:UOR327705 UYN327698:UYN327705 VIJ327698:VIJ327705 VSF327698:VSF327705 WCB327698:WCB327705 WLX327698:WLX327705 WVT327698:WVT327705 L393234:L393241 JH393234:JH393241 TD393234:TD393241 ACZ393234:ACZ393241 AMV393234:AMV393241 AWR393234:AWR393241 BGN393234:BGN393241 BQJ393234:BQJ393241 CAF393234:CAF393241 CKB393234:CKB393241 CTX393234:CTX393241 DDT393234:DDT393241 DNP393234:DNP393241 DXL393234:DXL393241 EHH393234:EHH393241 ERD393234:ERD393241 FAZ393234:FAZ393241 FKV393234:FKV393241 FUR393234:FUR393241 GEN393234:GEN393241 GOJ393234:GOJ393241 GYF393234:GYF393241 HIB393234:HIB393241 HRX393234:HRX393241 IBT393234:IBT393241 ILP393234:ILP393241 IVL393234:IVL393241 JFH393234:JFH393241 JPD393234:JPD393241 JYZ393234:JYZ393241 KIV393234:KIV393241 KSR393234:KSR393241 LCN393234:LCN393241 LMJ393234:LMJ393241 LWF393234:LWF393241 MGB393234:MGB393241 MPX393234:MPX393241 MZT393234:MZT393241 NJP393234:NJP393241 NTL393234:NTL393241 ODH393234:ODH393241 OND393234:OND393241 OWZ393234:OWZ393241 PGV393234:PGV393241 PQR393234:PQR393241 QAN393234:QAN393241 QKJ393234:QKJ393241 QUF393234:QUF393241 REB393234:REB393241 RNX393234:RNX393241 RXT393234:RXT393241 SHP393234:SHP393241 SRL393234:SRL393241 TBH393234:TBH393241 TLD393234:TLD393241 TUZ393234:TUZ393241 UEV393234:UEV393241 UOR393234:UOR393241 UYN393234:UYN393241 VIJ393234:VIJ393241 VSF393234:VSF393241 WCB393234:WCB393241 WLX393234:WLX393241 WVT393234:WVT393241 L458770:L458777 JH458770:JH458777 TD458770:TD458777 ACZ458770:ACZ458777 AMV458770:AMV458777 AWR458770:AWR458777 BGN458770:BGN458777 BQJ458770:BQJ458777 CAF458770:CAF458777 CKB458770:CKB458777 CTX458770:CTX458777 DDT458770:DDT458777 DNP458770:DNP458777 DXL458770:DXL458777 EHH458770:EHH458777 ERD458770:ERD458777 FAZ458770:FAZ458777 FKV458770:FKV458777 FUR458770:FUR458777 GEN458770:GEN458777 GOJ458770:GOJ458777 GYF458770:GYF458777 HIB458770:HIB458777 HRX458770:HRX458777 IBT458770:IBT458777 ILP458770:ILP458777 IVL458770:IVL458777 JFH458770:JFH458777 JPD458770:JPD458777 JYZ458770:JYZ458777 KIV458770:KIV458777 KSR458770:KSR458777 LCN458770:LCN458777 LMJ458770:LMJ458777 LWF458770:LWF458777 MGB458770:MGB458777 MPX458770:MPX458777 MZT458770:MZT458777 NJP458770:NJP458777 NTL458770:NTL458777 ODH458770:ODH458777 OND458770:OND458777 OWZ458770:OWZ458777 PGV458770:PGV458777 PQR458770:PQR458777 QAN458770:QAN458777 QKJ458770:QKJ458777 QUF458770:QUF458777 REB458770:REB458777 RNX458770:RNX458777 RXT458770:RXT458777 SHP458770:SHP458777 SRL458770:SRL458777 TBH458770:TBH458777 TLD458770:TLD458777 TUZ458770:TUZ458777 UEV458770:UEV458777 UOR458770:UOR458777 UYN458770:UYN458777 VIJ458770:VIJ458777 VSF458770:VSF458777 WCB458770:WCB458777 WLX458770:WLX458777 WVT458770:WVT458777 L524306:L524313 JH524306:JH524313 TD524306:TD524313 ACZ524306:ACZ524313 AMV524306:AMV524313 AWR524306:AWR524313 BGN524306:BGN524313 BQJ524306:BQJ524313 CAF524306:CAF524313 CKB524306:CKB524313 CTX524306:CTX524313 DDT524306:DDT524313 DNP524306:DNP524313 DXL524306:DXL524313 EHH524306:EHH524313 ERD524306:ERD524313 FAZ524306:FAZ524313 FKV524306:FKV524313 FUR524306:FUR524313 GEN524306:GEN524313 GOJ524306:GOJ524313 GYF524306:GYF524313 HIB524306:HIB524313 HRX524306:HRX524313 IBT524306:IBT524313 ILP524306:ILP524313 IVL524306:IVL524313 JFH524306:JFH524313 JPD524306:JPD524313 JYZ524306:JYZ524313 KIV524306:KIV524313 KSR524306:KSR524313 LCN524306:LCN524313 LMJ524306:LMJ524313 LWF524306:LWF524313 MGB524306:MGB524313 MPX524306:MPX524313 MZT524306:MZT524313 NJP524306:NJP524313 NTL524306:NTL524313 ODH524306:ODH524313 OND524306:OND524313 OWZ524306:OWZ524313 PGV524306:PGV524313 PQR524306:PQR524313 QAN524306:QAN524313 QKJ524306:QKJ524313 QUF524306:QUF524313 REB524306:REB524313 RNX524306:RNX524313 RXT524306:RXT524313 SHP524306:SHP524313 SRL524306:SRL524313 TBH524306:TBH524313 TLD524306:TLD524313 TUZ524306:TUZ524313 UEV524306:UEV524313 UOR524306:UOR524313 UYN524306:UYN524313 VIJ524306:VIJ524313 VSF524306:VSF524313 WCB524306:WCB524313 WLX524306:WLX524313 WVT524306:WVT524313 L589842:L589849 JH589842:JH589849 TD589842:TD589849 ACZ589842:ACZ589849 AMV589842:AMV589849 AWR589842:AWR589849 BGN589842:BGN589849 BQJ589842:BQJ589849 CAF589842:CAF589849 CKB589842:CKB589849 CTX589842:CTX589849 DDT589842:DDT589849 DNP589842:DNP589849 DXL589842:DXL589849 EHH589842:EHH589849 ERD589842:ERD589849 FAZ589842:FAZ589849 FKV589842:FKV589849 FUR589842:FUR589849 GEN589842:GEN589849 GOJ589842:GOJ589849 GYF589842:GYF589849 HIB589842:HIB589849 HRX589842:HRX589849 IBT589842:IBT589849 ILP589842:ILP589849 IVL589842:IVL589849 JFH589842:JFH589849 JPD589842:JPD589849 JYZ589842:JYZ589849 KIV589842:KIV589849 KSR589842:KSR589849 LCN589842:LCN589849 LMJ589842:LMJ589849 LWF589842:LWF589849 MGB589842:MGB589849 MPX589842:MPX589849 MZT589842:MZT589849 NJP589842:NJP589849 NTL589842:NTL589849 ODH589842:ODH589849 OND589842:OND589849 OWZ589842:OWZ589849 PGV589842:PGV589849 PQR589842:PQR589849 QAN589842:QAN589849 QKJ589842:QKJ589849 QUF589842:QUF589849 REB589842:REB589849 RNX589842:RNX589849 RXT589842:RXT589849 SHP589842:SHP589849 SRL589842:SRL589849 TBH589842:TBH589849 TLD589842:TLD589849 TUZ589842:TUZ589849 UEV589842:UEV589849 UOR589842:UOR589849 UYN589842:UYN589849 VIJ589842:VIJ589849 VSF589842:VSF589849 WCB589842:WCB589849 WLX589842:WLX589849 WVT589842:WVT589849 L655378:L655385 JH655378:JH655385 TD655378:TD655385 ACZ655378:ACZ655385 AMV655378:AMV655385 AWR655378:AWR655385 BGN655378:BGN655385 BQJ655378:BQJ655385 CAF655378:CAF655385 CKB655378:CKB655385 CTX655378:CTX655385 DDT655378:DDT655385 DNP655378:DNP655385 DXL655378:DXL655385 EHH655378:EHH655385 ERD655378:ERD655385 FAZ655378:FAZ655385 FKV655378:FKV655385 FUR655378:FUR655385 GEN655378:GEN655385 GOJ655378:GOJ655385 GYF655378:GYF655385 HIB655378:HIB655385 HRX655378:HRX655385 IBT655378:IBT655385 ILP655378:ILP655385 IVL655378:IVL655385 JFH655378:JFH655385 JPD655378:JPD655385 JYZ655378:JYZ655385 KIV655378:KIV655385 KSR655378:KSR655385 LCN655378:LCN655385 LMJ655378:LMJ655385 LWF655378:LWF655385 MGB655378:MGB655385 MPX655378:MPX655385 MZT655378:MZT655385 NJP655378:NJP655385 NTL655378:NTL655385 ODH655378:ODH655385 OND655378:OND655385 OWZ655378:OWZ655385 PGV655378:PGV655385 PQR655378:PQR655385 QAN655378:QAN655385 QKJ655378:QKJ655385 QUF655378:QUF655385 REB655378:REB655385 RNX655378:RNX655385 RXT655378:RXT655385 SHP655378:SHP655385 SRL655378:SRL655385 TBH655378:TBH655385 TLD655378:TLD655385 TUZ655378:TUZ655385 UEV655378:UEV655385 UOR655378:UOR655385 UYN655378:UYN655385 VIJ655378:VIJ655385 VSF655378:VSF655385 WCB655378:WCB655385 WLX655378:WLX655385 WVT655378:WVT655385 L720914:L720921 JH720914:JH720921 TD720914:TD720921 ACZ720914:ACZ720921 AMV720914:AMV720921 AWR720914:AWR720921 BGN720914:BGN720921 BQJ720914:BQJ720921 CAF720914:CAF720921 CKB720914:CKB720921 CTX720914:CTX720921 DDT720914:DDT720921 DNP720914:DNP720921 DXL720914:DXL720921 EHH720914:EHH720921 ERD720914:ERD720921 FAZ720914:FAZ720921 FKV720914:FKV720921 FUR720914:FUR720921 GEN720914:GEN720921 GOJ720914:GOJ720921 GYF720914:GYF720921 HIB720914:HIB720921 HRX720914:HRX720921 IBT720914:IBT720921 ILP720914:ILP720921 IVL720914:IVL720921 JFH720914:JFH720921 JPD720914:JPD720921 JYZ720914:JYZ720921 KIV720914:KIV720921 KSR720914:KSR720921 LCN720914:LCN720921 LMJ720914:LMJ720921 LWF720914:LWF720921 MGB720914:MGB720921 MPX720914:MPX720921 MZT720914:MZT720921 NJP720914:NJP720921 NTL720914:NTL720921 ODH720914:ODH720921 OND720914:OND720921 OWZ720914:OWZ720921 PGV720914:PGV720921 PQR720914:PQR720921 QAN720914:QAN720921 QKJ720914:QKJ720921 QUF720914:QUF720921 REB720914:REB720921 RNX720914:RNX720921 RXT720914:RXT720921 SHP720914:SHP720921 SRL720914:SRL720921 TBH720914:TBH720921 TLD720914:TLD720921 TUZ720914:TUZ720921 UEV720914:UEV720921 UOR720914:UOR720921 UYN720914:UYN720921 VIJ720914:VIJ720921 VSF720914:VSF720921 WCB720914:WCB720921 WLX720914:WLX720921 WVT720914:WVT720921 L786450:L786457 JH786450:JH786457 TD786450:TD786457 ACZ786450:ACZ786457 AMV786450:AMV786457 AWR786450:AWR786457 BGN786450:BGN786457 BQJ786450:BQJ786457 CAF786450:CAF786457 CKB786450:CKB786457 CTX786450:CTX786457 DDT786450:DDT786457 DNP786450:DNP786457 DXL786450:DXL786457 EHH786450:EHH786457 ERD786450:ERD786457 FAZ786450:FAZ786457 FKV786450:FKV786457 FUR786450:FUR786457 GEN786450:GEN786457 GOJ786450:GOJ786457 GYF786450:GYF786457 HIB786450:HIB786457 HRX786450:HRX786457 IBT786450:IBT786457 ILP786450:ILP786457 IVL786450:IVL786457 JFH786450:JFH786457 JPD786450:JPD786457 JYZ786450:JYZ786457 KIV786450:KIV786457 KSR786450:KSR786457 LCN786450:LCN786457 LMJ786450:LMJ786457 LWF786450:LWF786457 MGB786450:MGB786457 MPX786450:MPX786457 MZT786450:MZT786457 NJP786450:NJP786457 NTL786450:NTL786457 ODH786450:ODH786457 OND786450:OND786457 OWZ786450:OWZ786457 PGV786450:PGV786457 PQR786450:PQR786457 QAN786450:QAN786457 QKJ786450:QKJ786457 QUF786450:QUF786457 REB786450:REB786457 RNX786450:RNX786457 RXT786450:RXT786457 SHP786450:SHP786457 SRL786450:SRL786457 TBH786450:TBH786457 TLD786450:TLD786457 TUZ786450:TUZ786457 UEV786450:UEV786457 UOR786450:UOR786457 UYN786450:UYN786457 VIJ786450:VIJ786457 VSF786450:VSF786457 WCB786450:WCB786457 WLX786450:WLX786457 WVT786450:WVT786457 L851986:L851993 JH851986:JH851993 TD851986:TD851993 ACZ851986:ACZ851993 AMV851986:AMV851993 AWR851986:AWR851993 BGN851986:BGN851993 BQJ851986:BQJ851993 CAF851986:CAF851993 CKB851986:CKB851993 CTX851986:CTX851993 DDT851986:DDT851993 DNP851986:DNP851993 DXL851986:DXL851993 EHH851986:EHH851993 ERD851986:ERD851993 FAZ851986:FAZ851993 FKV851986:FKV851993 FUR851986:FUR851993 GEN851986:GEN851993 GOJ851986:GOJ851993 GYF851986:GYF851993 HIB851986:HIB851993 HRX851986:HRX851993 IBT851986:IBT851993 ILP851986:ILP851993 IVL851986:IVL851993 JFH851986:JFH851993 JPD851986:JPD851993 JYZ851986:JYZ851993 KIV851986:KIV851993 KSR851986:KSR851993 LCN851986:LCN851993 LMJ851986:LMJ851993 LWF851986:LWF851993 MGB851986:MGB851993 MPX851986:MPX851993 MZT851986:MZT851993 NJP851986:NJP851993 NTL851986:NTL851993 ODH851986:ODH851993 OND851986:OND851993 OWZ851986:OWZ851993 PGV851986:PGV851993 PQR851986:PQR851993 QAN851986:QAN851993 QKJ851986:QKJ851993 QUF851986:QUF851993 REB851986:REB851993 RNX851986:RNX851993 RXT851986:RXT851993 SHP851986:SHP851993 SRL851986:SRL851993 TBH851986:TBH851993 TLD851986:TLD851993 TUZ851986:TUZ851993 UEV851986:UEV851993 UOR851986:UOR851993 UYN851986:UYN851993 VIJ851986:VIJ851993 VSF851986:VSF851993 WCB851986:WCB851993 WLX851986:WLX851993 WVT851986:WVT851993 L917522:L917529 JH917522:JH917529 TD917522:TD917529 ACZ917522:ACZ917529 AMV917522:AMV917529 AWR917522:AWR917529 BGN917522:BGN917529 BQJ917522:BQJ917529 CAF917522:CAF917529 CKB917522:CKB917529 CTX917522:CTX917529 DDT917522:DDT917529 DNP917522:DNP917529 DXL917522:DXL917529 EHH917522:EHH917529 ERD917522:ERD917529 FAZ917522:FAZ917529 FKV917522:FKV917529 FUR917522:FUR917529 GEN917522:GEN917529 GOJ917522:GOJ917529 GYF917522:GYF917529 HIB917522:HIB917529 HRX917522:HRX917529 IBT917522:IBT917529 ILP917522:ILP917529 IVL917522:IVL917529 JFH917522:JFH917529 JPD917522:JPD917529 JYZ917522:JYZ917529 KIV917522:KIV917529 KSR917522:KSR917529 LCN917522:LCN917529 LMJ917522:LMJ917529 LWF917522:LWF917529 MGB917522:MGB917529 MPX917522:MPX917529 MZT917522:MZT917529 NJP917522:NJP917529 NTL917522:NTL917529 ODH917522:ODH917529 OND917522:OND917529 OWZ917522:OWZ917529 PGV917522:PGV917529 PQR917522:PQR917529 QAN917522:QAN917529 QKJ917522:QKJ917529 QUF917522:QUF917529 REB917522:REB917529 RNX917522:RNX917529 RXT917522:RXT917529 SHP917522:SHP917529 SRL917522:SRL917529 TBH917522:TBH917529 TLD917522:TLD917529 TUZ917522:TUZ917529 UEV917522:UEV917529 UOR917522:UOR917529 UYN917522:UYN917529 VIJ917522:VIJ917529 VSF917522:VSF917529 WCB917522:WCB917529 WLX917522:WLX917529 WVT917522:WVT917529 L983058:L983065 JH983058:JH983065 TD983058:TD983065 ACZ983058:ACZ983065 AMV983058:AMV983065 AWR983058:AWR983065 BGN983058:BGN983065 BQJ983058:BQJ983065 CAF983058:CAF983065 CKB983058:CKB983065 CTX983058:CTX983065 DDT983058:DDT983065 DNP983058:DNP983065 DXL983058:DXL983065 EHH983058:EHH983065 ERD983058:ERD983065 FAZ983058:FAZ983065 FKV983058:FKV983065 FUR983058:FUR983065 GEN983058:GEN983065 GOJ983058:GOJ983065 GYF983058:GYF983065 HIB983058:HIB983065 HRX983058:HRX983065 IBT983058:IBT983065 ILP983058:ILP983065 IVL983058:IVL983065 JFH983058:JFH983065 JPD983058:JPD983065 JYZ983058:JYZ983065 KIV983058:KIV983065 KSR983058:KSR983065 LCN983058:LCN983065 LMJ983058:LMJ983065 LWF983058:LWF983065 MGB983058:MGB983065 MPX983058:MPX983065 MZT983058:MZT983065 NJP983058:NJP983065 NTL983058:NTL983065 ODH983058:ODH983065 OND983058:OND983065 OWZ983058:OWZ983065 PGV983058:PGV983065 PQR983058:PQR983065 QAN983058:QAN983065 QKJ983058:QKJ983065 QUF983058:QUF983065 REB983058:REB983065 RNX983058:RNX983065 RXT983058:RXT983065 SHP983058:SHP983065 SRL983058:SRL983065 TBH983058:TBH983065 TLD983058:TLD983065 TUZ983058:TUZ983065 UEV983058:UEV983065 UOR983058:UOR983065 UYN983058:UYN983065 VIJ983058:VIJ983065 VSF983058:VSF983065 WCB983058:WCB983065 WLX983058:WLX983065 WVT983058:WVT983065" xr:uid="{00000000-0002-0000-0300-000000000000}">
      <formula1>$P$1:$P$2</formula1>
    </dataValidation>
    <dataValidation type="list" allowBlank="1" showInputMessage="1" showErrorMessage="1" sqref="M18:M25 JI18:JI25 TE18:TE25 ADA18:ADA25 AMW18:AMW25 AWS18:AWS25 BGO18:BGO25 BQK18:BQK25 CAG18:CAG25 CKC18:CKC25 CTY18:CTY25 DDU18:DDU25 DNQ18:DNQ25 DXM18:DXM25 EHI18:EHI25 ERE18:ERE25 FBA18:FBA25 FKW18:FKW25 FUS18:FUS25 GEO18:GEO25 GOK18:GOK25 GYG18:GYG25 HIC18:HIC25 HRY18:HRY25 IBU18:IBU25 ILQ18:ILQ25 IVM18:IVM25 JFI18:JFI25 JPE18:JPE25 JZA18:JZA25 KIW18:KIW25 KSS18:KSS25 LCO18:LCO25 LMK18:LMK25 LWG18:LWG25 MGC18:MGC25 MPY18:MPY25 MZU18:MZU25 NJQ18:NJQ25 NTM18:NTM25 ODI18:ODI25 ONE18:ONE25 OXA18:OXA25 PGW18:PGW25 PQS18:PQS25 QAO18:QAO25 QKK18:QKK25 QUG18:QUG25 REC18:REC25 RNY18:RNY25 RXU18:RXU25 SHQ18:SHQ25 SRM18:SRM25 TBI18:TBI25 TLE18:TLE25 TVA18:TVA25 UEW18:UEW25 UOS18:UOS25 UYO18:UYO25 VIK18:VIK25 VSG18:VSG25 WCC18:WCC25 WLY18:WLY25 WVU18:WVU25 M65554:M65561 JI65554:JI65561 TE65554:TE65561 ADA65554:ADA65561 AMW65554:AMW65561 AWS65554:AWS65561 BGO65554:BGO65561 BQK65554:BQK65561 CAG65554:CAG65561 CKC65554:CKC65561 CTY65554:CTY65561 DDU65554:DDU65561 DNQ65554:DNQ65561 DXM65554:DXM65561 EHI65554:EHI65561 ERE65554:ERE65561 FBA65554:FBA65561 FKW65554:FKW65561 FUS65554:FUS65561 GEO65554:GEO65561 GOK65554:GOK65561 GYG65554:GYG65561 HIC65554:HIC65561 HRY65554:HRY65561 IBU65554:IBU65561 ILQ65554:ILQ65561 IVM65554:IVM65561 JFI65554:JFI65561 JPE65554:JPE65561 JZA65554:JZA65561 KIW65554:KIW65561 KSS65554:KSS65561 LCO65554:LCO65561 LMK65554:LMK65561 LWG65554:LWG65561 MGC65554:MGC65561 MPY65554:MPY65561 MZU65554:MZU65561 NJQ65554:NJQ65561 NTM65554:NTM65561 ODI65554:ODI65561 ONE65554:ONE65561 OXA65554:OXA65561 PGW65554:PGW65561 PQS65554:PQS65561 QAO65554:QAO65561 QKK65554:QKK65561 QUG65554:QUG65561 REC65554:REC65561 RNY65554:RNY65561 RXU65554:RXU65561 SHQ65554:SHQ65561 SRM65554:SRM65561 TBI65554:TBI65561 TLE65554:TLE65561 TVA65554:TVA65561 UEW65554:UEW65561 UOS65554:UOS65561 UYO65554:UYO65561 VIK65554:VIK65561 VSG65554:VSG65561 WCC65554:WCC65561 WLY65554:WLY65561 WVU65554:WVU65561 M131090:M131097 JI131090:JI131097 TE131090:TE131097 ADA131090:ADA131097 AMW131090:AMW131097 AWS131090:AWS131097 BGO131090:BGO131097 BQK131090:BQK131097 CAG131090:CAG131097 CKC131090:CKC131097 CTY131090:CTY131097 DDU131090:DDU131097 DNQ131090:DNQ131097 DXM131090:DXM131097 EHI131090:EHI131097 ERE131090:ERE131097 FBA131090:FBA131097 FKW131090:FKW131097 FUS131090:FUS131097 GEO131090:GEO131097 GOK131090:GOK131097 GYG131090:GYG131097 HIC131090:HIC131097 HRY131090:HRY131097 IBU131090:IBU131097 ILQ131090:ILQ131097 IVM131090:IVM131097 JFI131090:JFI131097 JPE131090:JPE131097 JZA131090:JZA131097 KIW131090:KIW131097 KSS131090:KSS131097 LCO131090:LCO131097 LMK131090:LMK131097 LWG131090:LWG131097 MGC131090:MGC131097 MPY131090:MPY131097 MZU131090:MZU131097 NJQ131090:NJQ131097 NTM131090:NTM131097 ODI131090:ODI131097 ONE131090:ONE131097 OXA131090:OXA131097 PGW131090:PGW131097 PQS131090:PQS131097 QAO131090:QAO131097 QKK131090:QKK131097 QUG131090:QUG131097 REC131090:REC131097 RNY131090:RNY131097 RXU131090:RXU131097 SHQ131090:SHQ131097 SRM131090:SRM131097 TBI131090:TBI131097 TLE131090:TLE131097 TVA131090:TVA131097 UEW131090:UEW131097 UOS131090:UOS131097 UYO131090:UYO131097 VIK131090:VIK131097 VSG131090:VSG131097 WCC131090:WCC131097 WLY131090:WLY131097 WVU131090:WVU131097 M196626:M196633 JI196626:JI196633 TE196626:TE196633 ADA196626:ADA196633 AMW196626:AMW196633 AWS196626:AWS196633 BGO196626:BGO196633 BQK196626:BQK196633 CAG196626:CAG196633 CKC196626:CKC196633 CTY196626:CTY196633 DDU196626:DDU196633 DNQ196626:DNQ196633 DXM196626:DXM196633 EHI196626:EHI196633 ERE196626:ERE196633 FBA196626:FBA196633 FKW196626:FKW196633 FUS196626:FUS196633 GEO196626:GEO196633 GOK196626:GOK196633 GYG196626:GYG196633 HIC196626:HIC196633 HRY196626:HRY196633 IBU196626:IBU196633 ILQ196626:ILQ196633 IVM196626:IVM196633 JFI196626:JFI196633 JPE196626:JPE196633 JZA196626:JZA196633 KIW196626:KIW196633 KSS196626:KSS196633 LCO196626:LCO196633 LMK196626:LMK196633 LWG196626:LWG196633 MGC196626:MGC196633 MPY196626:MPY196633 MZU196626:MZU196633 NJQ196626:NJQ196633 NTM196626:NTM196633 ODI196626:ODI196633 ONE196626:ONE196633 OXA196626:OXA196633 PGW196626:PGW196633 PQS196626:PQS196633 QAO196626:QAO196633 QKK196626:QKK196633 QUG196626:QUG196633 REC196626:REC196633 RNY196626:RNY196633 RXU196626:RXU196633 SHQ196626:SHQ196633 SRM196626:SRM196633 TBI196626:TBI196633 TLE196626:TLE196633 TVA196626:TVA196633 UEW196626:UEW196633 UOS196626:UOS196633 UYO196626:UYO196633 VIK196626:VIK196633 VSG196626:VSG196633 WCC196626:WCC196633 WLY196626:WLY196633 WVU196626:WVU196633 M262162:M262169 JI262162:JI262169 TE262162:TE262169 ADA262162:ADA262169 AMW262162:AMW262169 AWS262162:AWS262169 BGO262162:BGO262169 BQK262162:BQK262169 CAG262162:CAG262169 CKC262162:CKC262169 CTY262162:CTY262169 DDU262162:DDU262169 DNQ262162:DNQ262169 DXM262162:DXM262169 EHI262162:EHI262169 ERE262162:ERE262169 FBA262162:FBA262169 FKW262162:FKW262169 FUS262162:FUS262169 GEO262162:GEO262169 GOK262162:GOK262169 GYG262162:GYG262169 HIC262162:HIC262169 HRY262162:HRY262169 IBU262162:IBU262169 ILQ262162:ILQ262169 IVM262162:IVM262169 JFI262162:JFI262169 JPE262162:JPE262169 JZA262162:JZA262169 KIW262162:KIW262169 KSS262162:KSS262169 LCO262162:LCO262169 LMK262162:LMK262169 LWG262162:LWG262169 MGC262162:MGC262169 MPY262162:MPY262169 MZU262162:MZU262169 NJQ262162:NJQ262169 NTM262162:NTM262169 ODI262162:ODI262169 ONE262162:ONE262169 OXA262162:OXA262169 PGW262162:PGW262169 PQS262162:PQS262169 QAO262162:QAO262169 QKK262162:QKK262169 QUG262162:QUG262169 REC262162:REC262169 RNY262162:RNY262169 RXU262162:RXU262169 SHQ262162:SHQ262169 SRM262162:SRM262169 TBI262162:TBI262169 TLE262162:TLE262169 TVA262162:TVA262169 UEW262162:UEW262169 UOS262162:UOS262169 UYO262162:UYO262169 VIK262162:VIK262169 VSG262162:VSG262169 WCC262162:WCC262169 WLY262162:WLY262169 WVU262162:WVU262169 M327698:M327705 JI327698:JI327705 TE327698:TE327705 ADA327698:ADA327705 AMW327698:AMW327705 AWS327698:AWS327705 BGO327698:BGO327705 BQK327698:BQK327705 CAG327698:CAG327705 CKC327698:CKC327705 CTY327698:CTY327705 DDU327698:DDU327705 DNQ327698:DNQ327705 DXM327698:DXM327705 EHI327698:EHI327705 ERE327698:ERE327705 FBA327698:FBA327705 FKW327698:FKW327705 FUS327698:FUS327705 GEO327698:GEO327705 GOK327698:GOK327705 GYG327698:GYG327705 HIC327698:HIC327705 HRY327698:HRY327705 IBU327698:IBU327705 ILQ327698:ILQ327705 IVM327698:IVM327705 JFI327698:JFI327705 JPE327698:JPE327705 JZA327698:JZA327705 KIW327698:KIW327705 KSS327698:KSS327705 LCO327698:LCO327705 LMK327698:LMK327705 LWG327698:LWG327705 MGC327698:MGC327705 MPY327698:MPY327705 MZU327698:MZU327705 NJQ327698:NJQ327705 NTM327698:NTM327705 ODI327698:ODI327705 ONE327698:ONE327705 OXA327698:OXA327705 PGW327698:PGW327705 PQS327698:PQS327705 QAO327698:QAO327705 QKK327698:QKK327705 QUG327698:QUG327705 REC327698:REC327705 RNY327698:RNY327705 RXU327698:RXU327705 SHQ327698:SHQ327705 SRM327698:SRM327705 TBI327698:TBI327705 TLE327698:TLE327705 TVA327698:TVA327705 UEW327698:UEW327705 UOS327698:UOS327705 UYO327698:UYO327705 VIK327698:VIK327705 VSG327698:VSG327705 WCC327698:WCC327705 WLY327698:WLY327705 WVU327698:WVU327705 M393234:M393241 JI393234:JI393241 TE393234:TE393241 ADA393234:ADA393241 AMW393234:AMW393241 AWS393234:AWS393241 BGO393234:BGO393241 BQK393234:BQK393241 CAG393234:CAG393241 CKC393234:CKC393241 CTY393234:CTY393241 DDU393234:DDU393241 DNQ393234:DNQ393241 DXM393234:DXM393241 EHI393234:EHI393241 ERE393234:ERE393241 FBA393234:FBA393241 FKW393234:FKW393241 FUS393234:FUS393241 GEO393234:GEO393241 GOK393234:GOK393241 GYG393234:GYG393241 HIC393234:HIC393241 HRY393234:HRY393241 IBU393234:IBU393241 ILQ393234:ILQ393241 IVM393234:IVM393241 JFI393234:JFI393241 JPE393234:JPE393241 JZA393234:JZA393241 KIW393234:KIW393241 KSS393234:KSS393241 LCO393234:LCO393241 LMK393234:LMK393241 LWG393234:LWG393241 MGC393234:MGC393241 MPY393234:MPY393241 MZU393234:MZU393241 NJQ393234:NJQ393241 NTM393234:NTM393241 ODI393234:ODI393241 ONE393234:ONE393241 OXA393234:OXA393241 PGW393234:PGW393241 PQS393234:PQS393241 QAO393234:QAO393241 QKK393234:QKK393241 QUG393234:QUG393241 REC393234:REC393241 RNY393234:RNY393241 RXU393234:RXU393241 SHQ393234:SHQ393241 SRM393234:SRM393241 TBI393234:TBI393241 TLE393234:TLE393241 TVA393234:TVA393241 UEW393234:UEW393241 UOS393234:UOS393241 UYO393234:UYO393241 VIK393234:VIK393241 VSG393234:VSG393241 WCC393234:WCC393241 WLY393234:WLY393241 WVU393234:WVU393241 M458770:M458777 JI458770:JI458777 TE458770:TE458777 ADA458770:ADA458777 AMW458770:AMW458777 AWS458770:AWS458777 BGO458770:BGO458777 BQK458770:BQK458777 CAG458770:CAG458777 CKC458770:CKC458777 CTY458770:CTY458777 DDU458770:DDU458777 DNQ458770:DNQ458777 DXM458770:DXM458777 EHI458770:EHI458777 ERE458770:ERE458777 FBA458770:FBA458777 FKW458770:FKW458777 FUS458770:FUS458777 GEO458770:GEO458777 GOK458770:GOK458777 GYG458770:GYG458777 HIC458770:HIC458777 HRY458770:HRY458777 IBU458770:IBU458777 ILQ458770:ILQ458777 IVM458770:IVM458777 JFI458770:JFI458777 JPE458770:JPE458777 JZA458770:JZA458777 KIW458770:KIW458777 KSS458770:KSS458777 LCO458770:LCO458777 LMK458770:LMK458777 LWG458770:LWG458777 MGC458770:MGC458777 MPY458770:MPY458777 MZU458770:MZU458777 NJQ458770:NJQ458777 NTM458770:NTM458777 ODI458770:ODI458777 ONE458770:ONE458777 OXA458770:OXA458777 PGW458770:PGW458777 PQS458770:PQS458777 QAO458770:QAO458777 QKK458770:QKK458777 QUG458770:QUG458777 REC458770:REC458777 RNY458770:RNY458777 RXU458770:RXU458777 SHQ458770:SHQ458777 SRM458770:SRM458777 TBI458770:TBI458777 TLE458770:TLE458777 TVA458770:TVA458777 UEW458770:UEW458777 UOS458770:UOS458777 UYO458770:UYO458777 VIK458770:VIK458777 VSG458770:VSG458777 WCC458770:WCC458777 WLY458770:WLY458777 WVU458770:WVU458777 M524306:M524313 JI524306:JI524313 TE524306:TE524313 ADA524306:ADA524313 AMW524306:AMW524313 AWS524306:AWS524313 BGO524306:BGO524313 BQK524306:BQK524313 CAG524306:CAG524313 CKC524306:CKC524313 CTY524306:CTY524313 DDU524306:DDU524313 DNQ524306:DNQ524313 DXM524306:DXM524313 EHI524306:EHI524313 ERE524306:ERE524313 FBA524306:FBA524313 FKW524306:FKW524313 FUS524306:FUS524313 GEO524306:GEO524313 GOK524306:GOK524313 GYG524306:GYG524313 HIC524306:HIC524313 HRY524306:HRY524313 IBU524306:IBU524313 ILQ524306:ILQ524313 IVM524306:IVM524313 JFI524306:JFI524313 JPE524306:JPE524313 JZA524306:JZA524313 KIW524306:KIW524313 KSS524306:KSS524313 LCO524306:LCO524313 LMK524306:LMK524313 LWG524306:LWG524313 MGC524306:MGC524313 MPY524306:MPY524313 MZU524306:MZU524313 NJQ524306:NJQ524313 NTM524306:NTM524313 ODI524306:ODI524313 ONE524306:ONE524313 OXA524306:OXA524313 PGW524306:PGW524313 PQS524306:PQS524313 QAO524306:QAO524313 QKK524306:QKK524313 QUG524306:QUG524313 REC524306:REC524313 RNY524306:RNY524313 RXU524306:RXU524313 SHQ524306:SHQ524313 SRM524306:SRM524313 TBI524306:TBI524313 TLE524306:TLE524313 TVA524306:TVA524313 UEW524306:UEW524313 UOS524306:UOS524313 UYO524306:UYO524313 VIK524306:VIK524313 VSG524306:VSG524313 WCC524306:WCC524313 WLY524306:WLY524313 WVU524306:WVU524313 M589842:M589849 JI589842:JI589849 TE589842:TE589849 ADA589842:ADA589849 AMW589842:AMW589849 AWS589842:AWS589849 BGO589842:BGO589849 BQK589842:BQK589849 CAG589842:CAG589849 CKC589842:CKC589849 CTY589842:CTY589849 DDU589842:DDU589849 DNQ589842:DNQ589849 DXM589842:DXM589849 EHI589842:EHI589849 ERE589842:ERE589849 FBA589842:FBA589849 FKW589842:FKW589849 FUS589842:FUS589849 GEO589842:GEO589849 GOK589842:GOK589849 GYG589842:GYG589849 HIC589842:HIC589849 HRY589842:HRY589849 IBU589842:IBU589849 ILQ589842:ILQ589849 IVM589842:IVM589849 JFI589842:JFI589849 JPE589842:JPE589849 JZA589842:JZA589849 KIW589842:KIW589849 KSS589842:KSS589849 LCO589842:LCO589849 LMK589842:LMK589849 LWG589842:LWG589849 MGC589842:MGC589849 MPY589842:MPY589849 MZU589842:MZU589849 NJQ589842:NJQ589849 NTM589842:NTM589849 ODI589842:ODI589849 ONE589842:ONE589849 OXA589842:OXA589849 PGW589842:PGW589849 PQS589842:PQS589849 QAO589842:QAO589849 QKK589842:QKK589849 QUG589842:QUG589849 REC589842:REC589849 RNY589842:RNY589849 RXU589842:RXU589849 SHQ589842:SHQ589849 SRM589842:SRM589849 TBI589842:TBI589849 TLE589842:TLE589849 TVA589842:TVA589849 UEW589842:UEW589849 UOS589842:UOS589849 UYO589842:UYO589849 VIK589842:VIK589849 VSG589842:VSG589849 WCC589842:WCC589849 WLY589842:WLY589849 WVU589842:WVU589849 M655378:M655385 JI655378:JI655385 TE655378:TE655385 ADA655378:ADA655385 AMW655378:AMW655385 AWS655378:AWS655385 BGO655378:BGO655385 BQK655378:BQK655385 CAG655378:CAG655385 CKC655378:CKC655385 CTY655378:CTY655385 DDU655378:DDU655385 DNQ655378:DNQ655385 DXM655378:DXM655385 EHI655378:EHI655385 ERE655378:ERE655385 FBA655378:FBA655385 FKW655378:FKW655385 FUS655378:FUS655385 GEO655378:GEO655385 GOK655378:GOK655385 GYG655378:GYG655385 HIC655378:HIC655385 HRY655378:HRY655385 IBU655378:IBU655385 ILQ655378:ILQ655385 IVM655378:IVM655385 JFI655378:JFI655385 JPE655378:JPE655385 JZA655378:JZA655385 KIW655378:KIW655385 KSS655378:KSS655385 LCO655378:LCO655385 LMK655378:LMK655385 LWG655378:LWG655385 MGC655378:MGC655385 MPY655378:MPY655385 MZU655378:MZU655385 NJQ655378:NJQ655385 NTM655378:NTM655385 ODI655378:ODI655385 ONE655378:ONE655385 OXA655378:OXA655385 PGW655378:PGW655385 PQS655378:PQS655385 QAO655378:QAO655385 QKK655378:QKK655385 QUG655378:QUG655385 REC655378:REC655385 RNY655378:RNY655385 RXU655378:RXU655385 SHQ655378:SHQ655385 SRM655378:SRM655385 TBI655378:TBI655385 TLE655378:TLE655385 TVA655378:TVA655385 UEW655378:UEW655385 UOS655378:UOS655385 UYO655378:UYO655385 VIK655378:VIK655385 VSG655378:VSG655385 WCC655378:WCC655385 WLY655378:WLY655385 WVU655378:WVU655385 M720914:M720921 JI720914:JI720921 TE720914:TE720921 ADA720914:ADA720921 AMW720914:AMW720921 AWS720914:AWS720921 BGO720914:BGO720921 BQK720914:BQK720921 CAG720914:CAG720921 CKC720914:CKC720921 CTY720914:CTY720921 DDU720914:DDU720921 DNQ720914:DNQ720921 DXM720914:DXM720921 EHI720914:EHI720921 ERE720914:ERE720921 FBA720914:FBA720921 FKW720914:FKW720921 FUS720914:FUS720921 GEO720914:GEO720921 GOK720914:GOK720921 GYG720914:GYG720921 HIC720914:HIC720921 HRY720914:HRY720921 IBU720914:IBU720921 ILQ720914:ILQ720921 IVM720914:IVM720921 JFI720914:JFI720921 JPE720914:JPE720921 JZA720914:JZA720921 KIW720914:KIW720921 KSS720914:KSS720921 LCO720914:LCO720921 LMK720914:LMK720921 LWG720914:LWG720921 MGC720914:MGC720921 MPY720914:MPY720921 MZU720914:MZU720921 NJQ720914:NJQ720921 NTM720914:NTM720921 ODI720914:ODI720921 ONE720914:ONE720921 OXA720914:OXA720921 PGW720914:PGW720921 PQS720914:PQS720921 QAO720914:QAO720921 QKK720914:QKK720921 QUG720914:QUG720921 REC720914:REC720921 RNY720914:RNY720921 RXU720914:RXU720921 SHQ720914:SHQ720921 SRM720914:SRM720921 TBI720914:TBI720921 TLE720914:TLE720921 TVA720914:TVA720921 UEW720914:UEW720921 UOS720914:UOS720921 UYO720914:UYO720921 VIK720914:VIK720921 VSG720914:VSG720921 WCC720914:WCC720921 WLY720914:WLY720921 WVU720914:WVU720921 M786450:M786457 JI786450:JI786457 TE786450:TE786457 ADA786450:ADA786457 AMW786450:AMW786457 AWS786450:AWS786457 BGO786450:BGO786457 BQK786450:BQK786457 CAG786450:CAG786457 CKC786450:CKC786457 CTY786450:CTY786457 DDU786450:DDU786457 DNQ786450:DNQ786457 DXM786450:DXM786457 EHI786450:EHI786457 ERE786450:ERE786457 FBA786450:FBA786457 FKW786450:FKW786457 FUS786450:FUS786457 GEO786450:GEO786457 GOK786450:GOK786457 GYG786450:GYG786457 HIC786450:HIC786457 HRY786450:HRY786457 IBU786450:IBU786457 ILQ786450:ILQ786457 IVM786450:IVM786457 JFI786450:JFI786457 JPE786450:JPE786457 JZA786450:JZA786457 KIW786450:KIW786457 KSS786450:KSS786457 LCO786450:LCO786457 LMK786450:LMK786457 LWG786450:LWG786457 MGC786450:MGC786457 MPY786450:MPY786457 MZU786450:MZU786457 NJQ786450:NJQ786457 NTM786450:NTM786457 ODI786450:ODI786457 ONE786450:ONE786457 OXA786450:OXA786457 PGW786450:PGW786457 PQS786450:PQS786457 QAO786450:QAO786457 QKK786450:QKK786457 QUG786450:QUG786457 REC786450:REC786457 RNY786450:RNY786457 RXU786450:RXU786457 SHQ786450:SHQ786457 SRM786450:SRM786457 TBI786450:TBI786457 TLE786450:TLE786457 TVA786450:TVA786457 UEW786450:UEW786457 UOS786450:UOS786457 UYO786450:UYO786457 VIK786450:VIK786457 VSG786450:VSG786457 WCC786450:WCC786457 WLY786450:WLY786457 WVU786450:WVU786457 M851986:M851993 JI851986:JI851993 TE851986:TE851993 ADA851986:ADA851993 AMW851986:AMW851993 AWS851986:AWS851993 BGO851986:BGO851993 BQK851986:BQK851993 CAG851986:CAG851993 CKC851986:CKC851993 CTY851986:CTY851993 DDU851986:DDU851993 DNQ851986:DNQ851993 DXM851986:DXM851993 EHI851986:EHI851993 ERE851986:ERE851993 FBA851986:FBA851993 FKW851986:FKW851993 FUS851986:FUS851993 GEO851986:GEO851993 GOK851986:GOK851993 GYG851986:GYG851993 HIC851986:HIC851993 HRY851986:HRY851993 IBU851986:IBU851993 ILQ851986:ILQ851993 IVM851986:IVM851993 JFI851986:JFI851993 JPE851986:JPE851993 JZA851986:JZA851993 KIW851986:KIW851993 KSS851986:KSS851993 LCO851986:LCO851993 LMK851986:LMK851993 LWG851986:LWG851993 MGC851986:MGC851993 MPY851986:MPY851993 MZU851986:MZU851993 NJQ851986:NJQ851993 NTM851986:NTM851993 ODI851986:ODI851993 ONE851986:ONE851993 OXA851986:OXA851993 PGW851986:PGW851993 PQS851986:PQS851993 QAO851986:QAO851993 QKK851986:QKK851993 QUG851986:QUG851993 REC851986:REC851993 RNY851986:RNY851993 RXU851986:RXU851993 SHQ851986:SHQ851993 SRM851986:SRM851993 TBI851986:TBI851993 TLE851986:TLE851993 TVA851986:TVA851993 UEW851986:UEW851993 UOS851986:UOS851993 UYO851986:UYO851993 VIK851986:VIK851993 VSG851986:VSG851993 WCC851986:WCC851993 WLY851986:WLY851993 WVU851986:WVU851993 M917522:M917529 JI917522:JI917529 TE917522:TE917529 ADA917522:ADA917529 AMW917522:AMW917529 AWS917522:AWS917529 BGO917522:BGO917529 BQK917522:BQK917529 CAG917522:CAG917529 CKC917522:CKC917529 CTY917522:CTY917529 DDU917522:DDU917529 DNQ917522:DNQ917529 DXM917522:DXM917529 EHI917522:EHI917529 ERE917522:ERE917529 FBA917522:FBA917529 FKW917522:FKW917529 FUS917522:FUS917529 GEO917522:GEO917529 GOK917522:GOK917529 GYG917522:GYG917529 HIC917522:HIC917529 HRY917522:HRY917529 IBU917522:IBU917529 ILQ917522:ILQ917529 IVM917522:IVM917529 JFI917522:JFI917529 JPE917522:JPE917529 JZA917522:JZA917529 KIW917522:KIW917529 KSS917522:KSS917529 LCO917522:LCO917529 LMK917522:LMK917529 LWG917522:LWG917529 MGC917522:MGC917529 MPY917522:MPY917529 MZU917522:MZU917529 NJQ917522:NJQ917529 NTM917522:NTM917529 ODI917522:ODI917529 ONE917522:ONE917529 OXA917522:OXA917529 PGW917522:PGW917529 PQS917522:PQS917529 QAO917522:QAO917529 QKK917522:QKK917529 QUG917522:QUG917529 REC917522:REC917529 RNY917522:RNY917529 RXU917522:RXU917529 SHQ917522:SHQ917529 SRM917522:SRM917529 TBI917522:TBI917529 TLE917522:TLE917529 TVA917522:TVA917529 UEW917522:UEW917529 UOS917522:UOS917529 UYO917522:UYO917529 VIK917522:VIK917529 VSG917522:VSG917529 WCC917522:WCC917529 WLY917522:WLY917529 WVU917522:WVU917529 M983058:M983065 JI983058:JI983065 TE983058:TE983065 ADA983058:ADA983065 AMW983058:AMW983065 AWS983058:AWS983065 BGO983058:BGO983065 BQK983058:BQK983065 CAG983058:CAG983065 CKC983058:CKC983065 CTY983058:CTY983065 DDU983058:DDU983065 DNQ983058:DNQ983065 DXM983058:DXM983065 EHI983058:EHI983065 ERE983058:ERE983065 FBA983058:FBA983065 FKW983058:FKW983065 FUS983058:FUS983065 GEO983058:GEO983065 GOK983058:GOK983065 GYG983058:GYG983065 HIC983058:HIC983065 HRY983058:HRY983065 IBU983058:IBU983065 ILQ983058:ILQ983065 IVM983058:IVM983065 JFI983058:JFI983065 JPE983058:JPE983065 JZA983058:JZA983065 KIW983058:KIW983065 KSS983058:KSS983065 LCO983058:LCO983065 LMK983058:LMK983065 LWG983058:LWG983065 MGC983058:MGC983065 MPY983058:MPY983065 MZU983058:MZU983065 NJQ983058:NJQ983065 NTM983058:NTM983065 ODI983058:ODI983065 ONE983058:ONE983065 OXA983058:OXA983065 PGW983058:PGW983065 PQS983058:PQS983065 QAO983058:QAO983065 QKK983058:QKK983065 QUG983058:QUG983065 REC983058:REC983065 RNY983058:RNY983065 RXU983058:RXU983065 SHQ983058:SHQ983065 SRM983058:SRM983065 TBI983058:TBI983065 TLE983058:TLE983065 TVA983058:TVA983065 UEW983058:UEW983065 UOS983058:UOS983065 UYO983058:UYO983065 VIK983058:VIK983065 VSG983058:VSG983065 WCC983058:WCC983065 WLY983058:WLY983065 WVU983058:WVU983065 M9:M16 JI9:JI16 TE9:TE16 ADA9:ADA16 AMW9:AMW16 AWS9:AWS16 BGO9:BGO16 BQK9:BQK16 CAG9:CAG16 CKC9:CKC16 CTY9:CTY16 DDU9:DDU16 DNQ9:DNQ16 DXM9:DXM16 EHI9:EHI16 ERE9:ERE16 FBA9:FBA16 FKW9:FKW16 FUS9:FUS16 GEO9:GEO16 GOK9:GOK16 GYG9:GYG16 HIC9:HIC16 HRY9:HRY16 IBU9:IBU16 ILQ9:ILQ16 IVM9:IVM16 JFI9:JFI16 JPE9:JPE16 JZA9:JZA16 KIW9:KIW16 KSS9:KSS16 LCO9:LCO16 LMK9:LMK16 LWG9:LWG16 MGC9:MGC16 MPY9:MPY16 MZU9:MZU16 NJQ9:NJQ16 NTM9:NTM16 ODI9:ODI16 ONE9:ONE16 OXA9:OXA16 PGW9:PGW16 PQS9:PQS16 QAO9:QAO16 QKK9:QKK16 QUG9:QUG16 REC9:REC16 RNY9:RNY16 RXU9:RXU16 SHQ9:SHQ16 SRM9:SRM16 TBI9:TBI16 TLE9:TLE16 TVA9:TVA16 UEW9:UEW16 UOS9:UOS16 UYO9:UYO16 VIK9:VIK16 VSG9:VSG16 WCC9:WCC16 WLY9:WLY16 WVU9:WVU16 M65545:M65552 JI65545:JI65552 TE65545:TE65552 ADA65545:ADA65552 AMW65545:AMW65552 AWS65545:AWS65552 BGO65545:BGO65552 BQK65545:BQK65552 CAG65545:CAG65552 CKC65545:CKC65552 CTY65545:CTY65552 DDU65545:DDU65552 DNQ65545:DNQ65552 DXM65545:DXM65552 EHI65545:EHI65552 ERE65545:ERE65552 FBA65545:FBA65552 FKW65545:FKW65552 FUS65545:FUS65552 GEO65545:GEO65552 GOK65545:GOK65552 GYG65545:GYG65552 HIC65545:HIC65552 HRY65545:HRY65552 IBU65545:IBU65552 ILQ65545:ILQ65552 IVM65545:IVM65552 JFI65545:JFI65552 JPE65545:JPE65552 JZA65545:JZA65552 KIW65545:KIW65552 KSS65545:KSS65552 LCO65545:LCO65552 LMK65545:LMK65552 LWG65545:LWG65552 MGC65545:MGC65552 MPY65545:MPY65552 MZU65545:MZU65552 NJQ65545:NJQ65552 NTM65545:NTM65552 ODI65545:ODI65552 ONE65545:ONE65552 OXA65545:OXA65552 PGW65545:PGW65552 PQS65545:PQS65552 QAO65545:QAO65552 QKK65545:QKK65552 QUG65545:QUG65552 REC65545:REC65552 RNY65545:RNY65552 RXU65545:RXU65552 SHQ65545:SHQ65552 SRM65545:SRM65552 TBI65545:TBI65552 TLE65545:TLE65552 TVA65545:TVA65552 UEW65545:UEW65552 UOS65545:UOS65552 UYO65545:UYO65552 VIK65545:VIK65552 VSG65545:VSG65552 WCC65545:WCC65552 WLY65545:WLY65552 WVU65545:WVU65552 M131081:M131088 JI131081:JI131088 TE131081:TE131088 ADA131081:ADA131088 AMW131081:AMW131088 AWS131081:AWS131088 BGO131081:BGO131088 BQK131081:BQK131088 CAG131081:CAG131088 CKC131081:CKC131088 CTY131081:CTY131088 DDU131081:DDU131088 DNQ131081:DNQ131088 DXM131081:DXM131088 EHI131081:EHI131088 ERE131081:ERE131088 FBA131081:FBA131088 FKW131081:FKW131088 FUS131081:FUS131088 GEO131081:GEO131088 GOK131081:GOK131088 GYG131081:GYG131088 HIC131081:HIC131088 HRY131081:HRY131088 IBU131081:IBU131088 ILQ131081:ILQ131088 IVM131081:IVM131088 JFI131081:JFI131088 JPE131081:JPE131088 JZA131081:JZA131088 KIW131081:KIW131088 KSS131081:KSS131088 LCO131081:LCO131088 LMK131081:LMK131088 LWG131081:LWG131088 MGC131081:MGC131088 MPY131081:MPY131088 MZU131081:MZU131088 NJQ131081:NJQ131088 NTM131081:NTM131088 ODI131081:ODI131088 ONE131081:ONE131088 OXA131081:OXA131088 PGW131081:PGW131088 PQS131081:PQS131088 QAO131081:QAO131088 QKK131081:QKK131088 QUG131081:QUG131088 REC131081:REC131088 RNY131081:RNY131088 RXU131081:RXU131088 SHQ131081:SHQ131088 SRM131081:SRM131088 TBI131081:TBI131088 TLE131081:TLE131088 TVA131081:TVA131088 UEW131081:UEW131088 UOS131081:UOS131088 UYO131081:UYO131088 VIK131081:VIK131088 VSG131081:VSG131088 WCC131081:WCC131088 WLY131081:WLY131088 WVU131081:WVU131088 M196617:M196624 JI196617:JI196624 TE196617:TE196624 ADA196617:ADA196624 AMW196617:AMW196624 AWS196617:AWS196624 BGO196617:BGO196624 BQK196617:BQK196624 CAG196617:CAG196624 CKC196617:CKC196624 CTY196617:CTY196624 DDU196617:DDU196624 DNQ196617:DNQ196624 DXM196617:DXM196624 EHI196617:EHI196624 ERE196617:ERE196624 FBA196617:FBA196624 FKW196617:FKW196624 FUS196617:FUS196624 GEO196617:GEO196624 GOK196617:GOK196624 GYG196617:GYG196624 HIC196617:HIC196624 HRY196617:HRY196624 IBU196617:IBU196624 ILQ196617:ILQ196624 IVM196617:IVM196624 JFI196617:JFI196624 JPE196617:JPE196624 JZA196617:JZA196624 KIW196617:KIW196624 KSS196617:KSS196624 LCO196617:LCO196624 LMK196617:LMK196624 LWG196617:LWG196624 MGC196617:MGC196624 MPY196617:MPY196624 MZU196617:MZU196624 NJQ196617:NJQ196624 NTM196617:NTM196624 ODI196617:ODI196624 ONE196617:ONE196624 OXA196617:OXA196624 PGW196617:PGW196624 PQS196617:PQS196624 QAO196617:QAO196624 QKK196617:QKK196624 QUG196617:QUG196624 REC196617:REC196624 RNY196617:RNY196624 RXU196617:RXU196624 SHQ196617:SHQ196624 SRM196617:SRM196624 TBI196617:TBI196624 TLE196617:TLE196624 TVA196617:TVA196624 UEW196617:UEW196624 UOS196617:UOS196624 UYO196617:UYO196624 VIK196617:VIK196624 VSG196617:VSG196624 WCC196617:WCC196624 WLY196617:WLY196624 WVU196617:WVU196624 M262153:M262160 JI262153:JI262160 TE262153:TE262160 ADA262153:ADA262160 AMW262153:AMW262160 AWS262153:AWS262160 BGO262153:BGO262160 BQK262153:BQK262160 CAG262153:CAG262160 CKC262153:CKC262160 CTY262153:CTY262160 DDU262153:DDU262160 DNQ262153:DNQ262160 DXM262153:DXM262160 EHI262153:EHI262160 ERE262153:ERE262160 FBA262153:FBA262160 FKW262153:FKW262160 FUS262153:FUS262160 GEO262153:GEO262160 GOK262153:GOK262160 GYG262153:GYG262160 HIC262153:HIC262160 HRY262153:HRY262160 IBU262153:IBU262160 ILQ262153:ILQ262160 IVM262153:IVM262160 JFI262153:JFI262160 JPE262153:JPE262160 JZA262153:JZA262160 KIW262153:KIW262160 KSS262153:KSS262160 LCO262153:LCO262160 LMK262153:LMK262160 LWG262153:LWG262160 MGC262153:MGC262160 MPY262153:MPY262160 MZU262153:MZU262160 NJQ262153:NJQ262160 NTM262153:NTM262160 ODI262153:ODI262160 ONE262153:ONE262160 OXA262153:OXA262160 PGW262153:PGW262160 PQS262153:PQS262160 QAO262153:QAO262160 QKK262153:QKK262160 QUG262153:QUG262160 REC262153:REC262160 RNY262153:RNY262160 RXU262153:RXU262160 SHQ262153:SHQ262160 SRM262153:SRM262160 TBI262153:TBI262160 TLE262153:TLE262160 TVA262153:TVA262160 UEW262153:UEW262160 UOS262153:UOS262160 UYO262153:UYO262160 VIK262153:VIK262160 VSG262153:VSG262160 WCC262153:WCC262160 WLY262153:WLY262160 WVU262153:WVU262160 M327689:M327696 JI327689:JI327696 TE327689:TE327696 ADA327689:ADA327696 AMW327689:AMW327696 AWS327689:AWS327696 BGO327689:BGO327696 BQK327689:BQK327696 CAG327689:CAG327696 CKC327689:CKC327696 CTY327689:CTY327696 DDU327689:DDU327696 DNQ327689:DNQ327696 DXM327689:DXM327696 EHI327689:EHI327696 ERE327689:ERE327696 FBA327689:FBA327696 FKW327689:FKW327696 FUS327689:FUS327696 GEO327689:GEO327696 GOK327689:GOK327696 GYG327689:GYG327696 HIC327689:HIC327696 HRY327689:HRY327696 IBU327689:IBU327696 ILQ327689:ILQ327696 IVM327689:IVM327696 JFI327689:JFI327696 JPE327689:JPE327696 JZA327689:JZA327696 KIW327689:KIW327696 KSS327689:KSS327696 LCO327689:LCO327696 LMK327689:LMK327696 LWG327689:LWG327696 MGC327689:MGC327696 MPY327689:MPY327696 MZU327689:MZU327696 NJQ327689:NJQ327696 NTM327689:NTM327696 ODI327689:ODI327696 ONE327689:ONE327696 OXA327689:OXA327696 PGW327689:PGW327696 PQS327689:PQS327696 QAO327689:QAO327696 QKK327689:QKK327696 QUG327689:QUG327696 REC327689:REC327696 RNY327689:RNY327696 RXU327689:RXU327696 SHQ327689:SHQ327696 SRM327689:SRM327696 TBI327689:TBI327696 TLE327689:TLE327696 TVA327689:TVA327696 UEW327689:UEW327696 UOS327689:UOS327696 UYO327689:UYO327696 VIK327689:VIK327696 VSG327689:VSG327696 WCC327689:WCC327696 WLY327689:WLY327696 WVU327689:WVU327696 M393225:M393232 JI393225:JI393232 TE393225:TE393232 ADA393225:ADA393232 AMW393225:AMW393232 AWS393225:AWS393232 BGO393225:BGO393232 BQK393225:BQK393232 CAG393225:CAG393232 CKC393225:CKC393232 CTY393225:CTY393232 DDU393225:DDU393232 DNQ393225:DNQ393232 DXM393225:DXM393232 EHI393225:EHI393232 ERE393225:ERE393232 FBA393225:FBA393232 FKW393225:FKW393232 FUS393225:FUS393232 GEO393225:GEO393232 GOK393225:GOK393232 GYG393225:GYG393232 HIC393225:HIC393232 HRY393225:HRY393232 IBU393225:IBU393232 ILQ393225:ILQ393232 IVM393225:IVM393232 JFI393225:JFI393232 JPE393225:JPE393232 JZA393225:JZA393232 KIW393225:KIW393232 KSS393225:KSS393232 LCO393225:LCO393232 LMK393225:LMK393232 LWG393225:LWG393232 MGC393225:MGC393232 MPY393225:MPY393232 MZU393225:MZU393232 NJQ393225:NJQ393232 NTM393225:NTM393232 ODI393225:ODI393232 ONE393225:ONE393232 OXA393225:OXA393232 PGW393225:PGW393232 PQS393225:PQS393232 QAO393225:QAO393232 QKK393225:QKK393232 QUG393225:QUG393232 REC393225:REC393232 RNY393225:RNY393232 RXU393225:RXU393232 SHQ393225:SHQ393232 SRM393225:SRM393232 TBI393225:TBI393232 TLE393225:TLE393232 TVA393225:TVA393232 UEW393225:UEW393232 UOS393225:UOS393232 UYO393225:UYO393232 VIK393225:VIK393232 VSG393225:VSG393232 WCC393225:WCC393232 WLY393225:WLY393232 WVU393225:WVU393232 M458761:M458768 JI458761:JI458768 TE458761:TE458768 ADA458761:ADA458768 AMW458761:AMW458768 AWS458761:AWS458768 BGO458761:BGO458768 BQK458761:BQK458768 CAG458761:CAG458768 CKC458761:CKC458768 CTY458761:CTY458768 DDU458761:DDU458768 DNQ458761:DNQ458768 DXM458761:DXM458768 EHI458761:EHI458768 ERE458761:ERE458768 FBA458761:FBA458768 FKW458761:FKW458768 FUS458761:FUS458768 GEO458761:GEO458768 GOK458761:GOK458768 GYG458761:GYG458768 HIC458761:HIC458768 HRY458761:HRY458768 IBU458761:IBU458768 ILQ458761:ILQ458768 IVM458761:IVM458768 JFI458761:JFI458768 JPE458761:JPE458768 JZA458761:JZA458768 KIW458761:KIW458768 KSS458761:KSS458768 LCO458761:LCO458768 LMK458761:LMK458768 LWG458761:LWG458768 MGC458761:MGC458768 MPY458761:MPY458768 MZU458761:MZU458768 NJQ458761:NJQ458768 NTM458761:NTM458768 ODI458761:ODI458768 ONE458761:ONE458768 OXA458761:OXA458768 PGW458761:PGW458768 PQS458761:PQS458768 QAO458761:QAO458768 QKK458761:QKK458768 QUG458761:QUG458768 REC458761:REC458768 RNY458761:RNY458768 RXU458761:RXU458768 SHQ458761:SHQ458768 SRM458761:SRM458768 TBI458761:TBI458768 TLE458761:TLE458768 TVA458761:TVA458768 UEW458761:UEW458768 UOS458761:UOS458768 UYO458761:UYO458768 VIK458761:VIK458768 VSG458761:VSG458768 WCC458761:WCC458768 WLY458761:WLY458768 WVU458761:WVU458768 M524297:M524304 JI524297:JI524304 TE524297:TE524304 ADA524297:ADA524304 AMW524297:AMW524304 AWS524297:AWS524304 BGO524297:BGO524304 BQK524297:BQK524304 CAG524297:CAG524304 CKC524297:CKC524304 CTY524297:CTY524304 DDU524297:DDU524304 DNQ524297:DNQ524304 DXM524297:DXM524304 EHI524297:EHI524304 ERE524297:ERE524304 FBA524297:FBA524304 FKW524297:FKW524304 FUS524297:FUS524304 GEO524297:GEO524304 GOK524297:GOK524304 GYG524297:GYG524304 HIC524297:HIC524304 HRY524297:HRY524304 IBU524297:IBU524304 ILQ524297:ILQ524304 IVM524297:IVM524304 JFI524297:JFI524304 JPE524297:JPE524304 JZA524297:JZA524304 KIW524297:KIW524304 KSS524297:KSS524304 LCO524297:LCO524304 LMK524297:LMK524304 LWG524297:LWG524304 MGC524297:MGC524304 MPY524297:MPY524304 MZU524297:MZU524304 NJQ524297:NJQ524304 NTM524297:NTM524304 ODI524297:ODI524304 ONE524297:ONE524304 OXA524297:OXA524304 PGW524297:PGW524304 PQS524297:PQS524304 QAO524297:QAO524304 QKK524297:QKK524304 QUG524297:QUG524304 REC524297:REC524304 RNY524297:RNY524304 RXU524297:RXU524304 SHQ524297:SHQ524304 SRM524297:SRM524304 TBI524297:TBI524304 TLE524297:TLE524304 TVA524297:TVA524304 UEW524297:UEW524304 UOS524297:UOS524304 UYO524297:UYO524304 VIK524297:VIK524304 VSG524297:VSG524304 WCC524297:WCC524304 WLY524297:WLY524304 WVU524297:WVU524304 M589833:M589840 JI589833:JI589840 TE589833:TE589840 ADA589833:ADA589840 AMW589833:AMW589840 AWS589833:AWS589840 BGO589833:BGO589840 BQK589833:BQK589840 CAG589833:CAG589840 CKC589833:CKC589840 CTY589833:CTY589840 DDU589833:DDU589840 DNQ589833:DNQ589840 DXM589833:DXM589840 EHI589833:EHI589840 ERE589833:ERE589840 FBA589833:FBA589840 FKW589833:FKW589840 FUS589833:FUS589840 GEO589833:GEO589840 GOK589833:GOK589840 GYG589833:GYG589840 HIC589833:HIC589840 HRY589833:HRY589840 IBU589833:IBU589840 ILQ589833:ILQ589840 IVM589833:IVM589840 JFI589833:JFI589840 JPE589833:JPE589840 JZA589833:JZA589840 KIW589833:KIW589840 KSS589833:KSS589840 LCO589833:LCO589840 LMK589833:LMK589840 LWG589833:LWG589840 MGC589833:MGC589840 MPY589833:MPY589840 MZU589833:MZU589840 NJQ589833:NJQ589840 NTM589833:NTM589840 ODI589833:ODI589840 ONE589833:ONE589840 OXA589833:OXA589840 PGW589833:PGW589840 PQS589833:PQS589840 QAO589833:QAO589840 QKK589833:QKK589840 QUG589833:QUG589840 REC589833:REC589840 RNY589833:RNY589840 RXU589833:RXU589840 SHQ589833:SHQ589840 SRM589833:SRM589840 TBI589833:TBI589840 TLE589833:TLE589840 TVA589833:TVA589840 UEW589833:UEW589840 UOS589833:UOS589840 UYO589833:UYO589840 VIK589833:VIK589840 VSG589833:VSG589840 WCC589833:WCC589840 WLY589833:WLY589840 WVU589833:WVU589840 M655369:M655376 JI655369:JI655376 TE655369:TE655376 ADA655369:ADA655376 AMW655369:AMW655376 AWS655369:AWS655376 BGO655369:BGO655376 BQK655369:BQK655376 CAG655369:CAG655376 CKC655369:CKC655376 CTY655369:CTY655376 DDU655369:DDU655376 DNQ655369:DNQ655376 DXM655369:DXM655376 EHI655369:EHI655376 ERE655369:ERE655376 FBA655369:FBA655376 FKW655369:FKW655376 FUS655369:FUS655376 GEO655369:GEO655376 GOK655369:GOK655376 GYG655369:GYG655376 HIC655369:HIC655376 HRY655369:HRY655376 IBU655369:IBU655376 ILQ655369:ILQ655376 IVM655369:IVM655376 JFI655369:JFI655376 JPE655369:JPE655376 JZA655369:JZA655376 KIW655369:KIW655376 KSS655369:KSS655376 LCO655369:LCO655376 LMK655369:LMK655376 LWG655369:LWG655376 MGC655369:MGC655376 MPY655369:MPY655376 MZU655369:MZU655376 NJQ655369:NJQ655376 NTM655369:NTM655376 ODI655369:ODI655376 ONE655369:ONE655376 OXA655369:OXA655376 PGW655369:PGW655376 PQS655369:PQS655376 QAO655369:QAO655376 QKK655369:QKK655376 QUG655369:QUG655376 REC655369:REC655376 RNY655369:RNY655376 RXU655369:RXU655376 SHQ655369:SHQ655376 SRM655369:SRM655376 TBI655369:TBI655376 TLE655369:TLE655376 TVA655369:TVA655376 UEW655369:UEW655376 UOS655369:UOS655376 UYO655369:UYO655376 VIK655369:VIK655376 VSG655369:VSG655376 WCC655369:WCC655376 WLY655369:WLY655376 WVU655369:WVU655376 M720905:M720912 JI720905:JI720912 TE720905:TE720912 ADA720905:ADA720912 AMW720905:AMW720912 AWS720905:AWS720912 BGO720905:BGO720912 BQK720905:BQK720912 CAG720905:CAG720912 CKC720905:CKC720912 CTY720905:CTY720912 DDU720905:DDU720912 DNQ720905:DNQ720912 DXM720905:DXM720912 EHI720905:EHI720912 ERE720905:ERE720912 FBA720905:FBA720912 FKW720905:FKW720912 FUS720905:FUS720912 GEO720905:GEO720912 GOK720905:GOK720912 GYG720905:GYG720912 HIC720905:HIC720912 HRY720905:HRY720912 IBU720905:IBU720912 ILQ720905:ILQ720912 IVM720905:IVM720912 JFI720905:JFI720912 JPE720905:JPE720912 JZA720905:JZA720912 KIW720905:KIW720912 KSS720905:KSS720912 LCO720905:LCO720912 LMK720905:LMK720912 LWG720905:LWG720912 MGC720905:MGC720912 MPY720905:MPY720912 MZU720905:MZU720912 NJQ720905:NJQ720912 NTM720905:NTM720912 ODI720905:ODI720912 ONE720905:ONE720912 OXA720905:OXA720912 PGW720905:PGW720912 PQS720905:PQS720912 QAO720905:QAO720912 QKK720905:QKK720912 QUG720905:QUG720912 REC720905:REC720912 RNY720905:RNY720912 RXU720905:RXU720912 SHQ720905:SHQ720912 SRM720905:SRM720912 TBI720905:TBI720912 TLE720905:TLE720912 TVA720905:TVA720912 UEW720905:UEW720912 UOS720905:UOS720912 UYO720905:UYO720912 VIK720905:VIK720912 VSG720905:VSG720912 WCC720905:WCC720912 WLY720905:WLY720912 WVU720905:WVU720912 M786441:M786448 JI786441:JI786448 TE786441:TE786448 ADA786441:ADA786448 AMW786441:AMW786448 AWS786441:AWS786448 BGO786441:BGO786448 BQK786441:BQK786448 CAG786441:CAG786448 CKC786441:CKC786448 CTY786441:CTY786448 DDU786441:DDU786448 DNQ786441:DNQ786448 DXM786441:DXM786448 EHI786441:EHI786448 ERE786441:ERE786448 FBA786441:FBA786448 FKW786441:FKW786448 FUS786441:FUS786448 GEO786441:GEO786448 GOK786441:GOK786448 GYG786441:GYG786448 HIC786441:HIC786448 HRY786441:HRY786448 IBU786441:IBU786448 ILQ786441:ILQ786448 IVM786441:IVM786448 JFI786441:JFI786448 JPE786441:JPE786448 JZA786441:JZA786448 KIW786441:KIW786448 KSS786441:KSS786448 LCO786441:LCO786448 LMK786441:LMK786448 LWG786441:LWG786448 MGC786441:MGC786448 MPY786441:MPY786448 MZU786441:MZU786448 NJQ786441:NJQ786448 NTM786441:NTM786448 ODI786441:ODI786448 ONE786441:ONE786448 OXA786441:OXA786448 PGW786441:PGW786448 PQS786441:PQS786448 QAO786441:QAO786448 QKK786441:QKK786448 QUG786441:QUG786448 REC786441:REC786448 RNY786441:RNY786448 RXU786441:RXU786448 SHQ786441:SHQ786448 SRM786441:SRM786448 TBI786441:TBI786448 TLE786441:TLE786448 TVA786441:TVA786448 UEW786441:UEW786448 UOS786441:UOS786448 UYO786441:UYO786448 VIK786441:VIK786448 VSG786441:VSG786448 WCC786441:WCC786448 WLY786441:WLY786448 WVU786441:WVU786448 M851977:M851984 JI851977:JI851984 TE851977:TE851984 ADA851977:ADA851984 AMW851977:AMW851984 AWS851977:AWS851984 BGO851977:BGO851984 BQK851977:BQK851984 CAG851977:CAG851984 CKC851977:CKC851984 CTY851977:CTY851984 DDU851977:DDU851984 DNQ851977:DNQ851984 DXM851977:DXM851984 EHI851977:EHI851984 ERE851977:ERE851984 FBA851977:FBA851984 FKW851977:FKW851984 FUS851977:FUS851984 GEO851977:GEO851984 GOK851977:GOK851984 GYG851977:GYG851984 HIC851977:HIC851984 HRY851977:HRY851984 IBU851977:IBU851984 ILQ851977:ILQ851984 IVM851977:IVM851984 JFI851977:JFI851984 JPE851977:JPE851984 JZA851977:JZA851984 KIW851977:KIW851984 KSS851977:KSS851984 LCO851977:LCO851984 LMK851977:LMK851984 LWG851977:LWG851984 MGC851977:MGC851984 MPY851977:MPY851984 MZU851977:MZU851984 NJQ851977:NJQ851984 NTM851977:NTM851984 ODI851977:ODI851984 ONE851977:ONE851984 OXA851977:OXA851984 PGW851977:PGW851984 PQS851977:PQS851984 QAO851977:QAO851984 QKK851977:QKK851984 QUG851977:QUG851984 REC851977:REC851984 RNY851977:RNY851984 RXU851977:RXU851984 SHQ851977:SHQ851984 SRM851977:SRM851984 TBI851977:TBI851984 TLE851977:TLE851984 TVA851977:TVA851984 UEW851977:UEW851984 UOS851977:UOS851984 UYO851977:UYO851984 VIK851977:VIK851984 VSG851977:VSG851984 WCC851977:WCC851984 WLY851977:WLY851984 WVU851977:WVU851984 M917513:M917520 JI917513:JI917520 TE917513:TE917520 ADA917513:ADA917520 AMW917513:AMW917520 AWS917513:AWS917520 BGO917513:BGO917520 BQK917513:BQK917520 CAG917513:CAG917520 CKC917513:CKC917520 CTY917513:CTY917520 DDU917513:DDU917520 DNQ917513:DNQ917520 DXM917513:DXM917520 EHI917513:EHI917520 ERE917513:ERE917520 FBA917513:FBA917520 FKW917513:FKW917520 FUS917513:FUS917520 GEO917513:GEO917520 GOK917513:GOK917520 GYG917513:GYG917520 HIC917513:HIC917520 HRY917513:HRY917520 IBU917513:IBU917520 ILQ917513:ILQ917520 IVM917513:IVM917520 JFI917513:JFI917520 JPE917513:JPE917520 JZA917513:JZA917520 KIW917513:KIW917520 KSS917513:KSS917520 LCO917513:LCO917520 LMK917513:LMK917520 LWG917513:LWG917520 MGC917513:MGC917520 MPY917513:MPY917520 MZU917513:MZU917520 NJQ917513:NJQ917520 NTM917513:NTM917520 ODI917513:ODI917520 ONE917513:ONE917520 OXA917513:OXA917520 PGW917513:PGW917520 PQS917513:PQS917520 QAO917513:QAO917520 QKK917513:QKK917520 QUG917513:QUG917520 REC917513:REC917520 RNY917513:RNY917520 RXU917513:RXU917520 SHQ917513:SHQ917520 SRM917513:SRM917520 TBI917513:TBI917520 TLE917513:TLE917520 TVA917513:TVA917520 UEW917513:UEW917520 UOS917513:UOS917520 UYO917513:UYO917520 VIK917513:VIK917520 VSG917513:VSG917520 WCC917513:WCC917520 WLY917513:WLY917520 WVU917513:WVU917520 M983049:M983056 JI983049:JI983056 TE983049:TE983056 ADA983049:ADA983056 AMW983049:AMW983056 AWS983049:AWS983056 BGO983049:BGO983056 BQK983049:BQK983056 CAG983049:CAG983056 CKC983049:CKC983056 CTY983049:CTY983056 DDU983049:DDU983056 DNQ983049:DNQ983056 DXM983049:DXM983056 EHI983049:EHI983056 ERE983049:ERE983056 FBA983049:FBA983056 FKW983049:FKW983056 FUS983049:FUS983056 GEO983049:GEO983056 GOK983049:GOK983056 GYG983049:GYG983056 HIC983049:HIC983056 HRY983049:HRY983056 IBU983049:IBU983056 ILQ983049:ILQ983056 IVM983049:IVM983056 JFI983049:JFI983056 JPE983049:JPE983056 JZA983049:JZA983056 KIW983049:KIW983056 KSS983049:KSS983056 LCO983049:LCO983056 LMK983049:LMK983056 LWG983049:LWG983056 MGC983049:MGC983056 MPY983049:MPY983056 MZU983049:MZU983056 NJQ983049:NJQ983056 NTM983049:NTM983056 ODI983049:ODI983056 ONE983049:ONE983056 OXA983049:OXA983056 PGW983049:PGW983056 PQS983049:PQS983056 QAO983049:QAO983056 QKK983049:QKK983056 QUG983049:QUG983056 REC983049:REC983056 RNY983049:RNY983056 RXU983049:RXU983056 SHQ983049:SHQ983056 SRM983049:SRM983056 TBI983049:TBI983056 TLE983049:TLE983056 TVA983049:TVA983056 UEW983049:UEW983056 UOS983049:UOS983056 UYO983049:UYO983056 VIK983049:VIK983056 VSG983049:VSG983056 WCC983049:WCC983056 WLY983049:WLY983056 WVU983049:WVU983056 G9:H16 JC9:JD16 SY9:SZ16 ACU9:ACV16 AMQ9:AMR16 AWM9:AWN16 BGI9:BGJ16 BQE9:BQF16 CAA9:CAB16 CJW9:CJX16 CTS9:CTT16 DDO9:DDP16 DNK9:DNL16 DXG9:DXH16 EHC9:EHD16 EQY9:EQZ16 FAU9:FAV16 FKQ9:FKR16 FUM9:FUN16 GEI9:GEJ16 GOE9:GOF16 GYA9:GYB16 HHW9:HHX16 HRS9:HRT16 IBO9:IBP16 ILK9:ILL16 IVG9:IVH16 JFC9:JFD16 JOY9:JOZ16 JYU9:JYV16 KIQ9:KIR16 KSM9:KSN16 LCI9:LCJ16 LME9:LMF16 LWA9:LWB16 MFW9:MFX16 MPS9:MPT16 MZO9:MZP16 NJK9:NJL16 NTG9:NTH16 ODC9:ODD16 OMY9:OMZ16 OWU9:OWV16 PGQ9:PGR16 PQM9:PQN16 QAI9:QAJ16 QKE9:QKF16 QUA9:QUB16 RDW9:RDX16 RNS9:RNT16 RXO9:RXP16 SHK9:SHL16 SRG9:SRH16 TBC9:TBD16 TKY9:TKZ16 TUU9:TUV16 UEQ9:UER16 UOM9:UON16 UYI9:UYJ16 VIE9:VIF16 VSA9:VSB16 WBW9:WBX16 WLS9:WLT16 WVO9:WVP16 G65545:H65552 JC65545:JD65552 SY65545:SZ65552 ACU65545:ACV65552 AMQ65545:AMR65552 AWM65545:AWN65552 BGI65545:BGJ65552 BQE65545:BQF65552 CAA65545:CAB65552 CJW65545:CJX65552 CTS65545:CTT65552 DDO65545:DDP65552 DNK65545:DNL65552 DXG65545:DXH65552 EHC65545:EHD65552 EQY65545:EQZ65552 FAU65545:FAV65552 FKQ65545:FKR65552 FUM65545:FUN65552 GEI65545:GEJ65552 GOE65545:GOF65552 GYA65545:GYB65552 HHW65545:HHX65552 HRS65545:HRT65552 IBO65545:IBP65552 ILK65545:ILL65552 IVG65545:IVH65552 JFC65545:JFD65552 JOY65545:JOZ65552 JYU65545:JYV65552 KIQ65545:KIR65552 KSM65545:KSN65552 LCI65545:LCJ65552 LME65545:LMF65552 LWA65545:LWB65552 MFW65545:MFX65552 MPS65545:MPT65552 MZO65545:MZP65552 NJK65545:NJL65552 NTG65545:NTH65552 ODC65545:ODD65552 OMY65545:OMZ65552 OWU65545:OWV65552 PGQ65545:PGR65552 PQM65545:PQN65552 QAI65545:QAJ65552 QKE65545:QKF65552 QUA65545:QUB65552 RDW65545:RDX65552 RNS65545:RNT65552 RXO65545:RXP65552 SHK65545:SHL65552 SRG65545:SRH65552 TBC65545:TBD65552 TKY65545:TKZ65552 TUU65545:TUV65552 UEQ65545:UER65552 UOM65545:UON65552 UYI65545:UYJ65552 VIE65545:VIF65552 VSA65545:VSB65552 WBW65545:WBX65552 WLS65545:WLT65552 WVO65545:WVP65552 G131081:H131088 JC131081:JD131088 SY131081:SZ131088 ACU131081:ACV131088 AMQ131081:AMR131088 AWM131081:AWN131088 BGI131081:BGJ131088 BQE131081:BQF131088 CAA131081:CAB131088 CJW131081:CJX131088 CTS131081:CTT131088 DDO131081:DDP131088 DNK131081:DNL131088 DXG131081:DXH131088 EHC131081:EHD131088 EQY131081:EQZ131088 FAU131081:FAV131088 FKQ131081:FKR131088 FUM131081:FUN131088 GEI131081:GEJ131088 GOE131081:GOF131088 GYA131081:GYB131088 HHW131081:HHX131088 HRS131081:HRT131088 IBO131081:IBP131088 ILK131081:ILL131088 IVG131081:IVH131088 JFC131081:JFD131088 JOY131081:JOZ131088 JYU131081:JYV131088 KIQ131081:KIR131088 KSM131081:KSN131088 LCI131081:LCJ131088 LME131081:LMF131088 LWA131081:LWB131088 MFW131081:MFX131088 MPS131081:MPT131088 MZO131081:MZP131088 NJK131081:NJL131088 NTG131081:NTH131088 ODC131081:ODD131088 OMY131081:OMZ131088 OWU131081:OWV131088 PGQ131081:PGR131088 PQM131081:PQN131088 QAI131081:QAJ131088 QKE131081:QKF131088 QUA131081:QUB131088 RDW131081:RDX131088 RNS131081:RNT131088 RXO131081:RXP131088 SHK131081:SHL131088 SRG131081:SRH131088 TBC131081:TBD131088 TKY131081:TKZ131088 TUU131081:TUV131088 UEQ131081:UER131088 UOM131081:UON131088 UYI131081:UYJ131088 VIE131081:VIF131088 VSA131081:VSB131088 WBW131081:WBX131088 WLS131081:WLT131088 WVO131081:WVP131088 G196617:H196624 JC196617:JD196624 SY196617:SZ196624 ACU196617:ACV196624 AMQ196617:AMR196624 AWM196617:AWN196624 BGI196617:BGJ196624 BQE196617:BQF196624 CAA196617:CAB196624 CJW196617:CJX196624 CTS196617:CTT196624 DDO196617:DDP196624 DNK196617:DNL196624 DXG196617:DXH196624 EHC196617:EHD196624 EQY196617:EQZ196624 FAU196617:FAV196624 FKQ196617:FKR196624 FUM196617:FUN196624 GEI196617:GEJ196624 GOE196617:GOF196624 GYA196617:GYB196624 HHW196617:HHX196624 HRS196617:HRT196624 IBO196617:IBP196624 ILK196617:ILL196624 IVG196617:IVH196624 JFC196617:JFD196624 JOY196617:JOZ196624 JYU196617:JYV196624 KIQ196617:KIR196624 KSM196617:KSN196624 LCI196617:LCJ196624 LME196617:LMF196624 LWA196617:LWB196624 MFW196617:MFX196624 MPS196617:MPT196624 MZO196617:MZP196624 NJK196617:NJL196624 NTG196617:NTH196624 ODC196617:ODD196624 OMY196617:OMZ196624 OWU196617:OWV196624 PGQ196617:PGR196624 PQM196617:PQN196624 QAI196617:QAJ196624 QKE196617:QKF196624 QUA196617:QUB196624 RDW196617:RDX196624 RNS196617:RNT196624 RXO196617:RXP196624 SHK196617:SHL196624 SRG196617:SRH196624 TBC196617:TBD196624 TKY196617:TKZ196624 TUU196617:TUV196624 UEQ196617:UER196624 UOM196617:UON196624 UYI196617:UYJ196624 VIE196617:VIF196624 VSA196617:VSB196624 WBW196617:WBX196624 WLS196617:WLT196624 WVO196617:WVP196624 G262153:H262160 JC262153:JD262160 SY262153:SZ262160 ACU262153:ACV262160 AMQ262153:AMR262160 AWM262153:AWN262160 BGI262153:BGJ262160 BQE262153:BQF262160 CAA262153:CAB262160 CJW262153:CJX262160 CTS262153:CTT262160 DDO262153:DDP262160 DNK262153:DNL262160 DXG262153:DXH262160 EHC262153:EHD262160 EQY262153:EQZ262160 FAU262153:FAV262160 FKQ262153:FKR262160 FUM262153:FUN262160 GEI262153:GEJ262160 GOE262153:GOF262160 GYA262153:GYB262160 HHW262153:HHX262160 HRS262153:HRT262160 IBO262153:IBP262160 ILK262153:ILL262160 IVG262153:IVH262160 JFC262153:JFD262160 JOY262153:JOZ262160 JYU262153:JYV262160 KIQ262153:KIR262160 KSM262153:KSN262160 LCI262153:LCJ262160 LME262153:LMF262160 LWA262153:LWB262160 MFW262153:MFX262160 MPS262153:MPT262160 MZO262153:MZP262160 NJK262153:NJL262160 NTG262153:NTH262160 ODC262153:ODD262160 OMY262153:OMZ262160 OWU262153:OWV262160 PGQ262153:PGR262160 PQM262153:PQN262160 QAI262153:QAJ262160 QKE262153:QKF262160 QUA262153:QUB262160 RDW262153:RDX262160 RNS262153:RNT262160 RXO262153:RXP262160 SHK262153:SHL262160 SRG262153:SRH262160 TBC262153:TBD262160 TKY262153:TKZ262160 TUU262153:TUV262160 UEQ262153:UER262160 UOM262153:UON262160 UYI262153:UYJ262160 VIE262153:VIF262160 VSA262153:VSB262160 WBW262153:WBX262160 WLS262153:WLT262160 WVO262153:WVP262160 G327689:H327696 JC327689:JD327696 SY327689:SZ327696 ACU327689:ACV327696 AMQ327689:AMR327696 AWM327689:AWN327696 BGI327689:BGJ327696 BQE327689:BQF327696 CAA327689:CAB327696 CJW327689:CJX327696 CTS327689:CTT327696 DDO327689:DDP327696 DNK327689:DNL327696 DXG327689:DXH327696 EHC327689:EHD327696 EQY327689:EQZ327696 FAU327689:FAV327696 FKQ327689:FKR327696 FUM327689:FUN327696 GEI327689:GEJ327696 GOE327689:GOF327696 GYA327689:GYB327696 HHW327689:HHX327696 HRS327689:HRT327696 IBO327689:IBP327696 ILK327689:ILL327696 IVG327689:IVH327696 JFC327689:JFD327696 JOY327689:JOZ327696 JYU327689:JYV327696 KIQ327689:KIR327696 KSM327689:KSN327696 LCI327689:LCJ327696 LME327689:LMF327696 LWA327689:LWB327696 MFW327689:MFX327696 MPS327689:MPT327696 MZO327689:MZP327696 NJK327689:NJL327696 NTG327689:NTH327696 ODC327689:ODD327696 OMY327689:OMZ327696 OWU327689:OWV327696 PGQ327689:PGR327696 PQM327689:PQN327696 QAI327689:QAJ327696 QKE327689:QKF327696 QUA327689:QUB327696 RDW327689:RDX327696 RNS327689:RNT327696 RXO327689:RXP327696 SHK327689:SHL327696 SRG327689:SRH327696 TBC327689:TBD327696 TKY327689:TKZ327696 TUU327689:TUV327696 UEQ327689:UER327696 UOM327689:UON327696 UYI327689:UYJ327696 VIE327689:VIF327696 VSA327689:VSB327696 WBW327689:WBX327696 WLS327689:WLT327696 WVO327689:WVP327696 G393225:H393232 JC393225:JD393232 SY393225:SZ393232 ACU393225:ACV393232 AMQ393225:AMR393232 AWM393225:AWN393232 BGI393225:BGJ393232 BQE393225:BQF393232 CAA393225:CAB393232 CJW393225:CJX393232 CTS393225:CTT393232 DDO393225:DDP393232 DNK393225:DNL393232 DXG393225:DXH393232 EHC393225:EHD393232 EQY393225:EQZ393232 FAU393225:FAV393232 FKQ393225:FKR393232 FUM393225:FUN393232 GEI393225:GEJ393232 GOE393225:GOF393232 GYA393225:GYB393232 HHW393225:HHX393232 HRS393225:HRT393232 IBO393225:IBP393232 ILK393225:ILL393232 IVG393225:IVH393232 JFC393225:JFD393232 JOY393225:JOZ393232 JYU393225:JYV393232 KIQ393225:KIR393232 KSM393225:KSN393232 LCI393225:LCJ393232 LME393225:LMF393232 LWA393225:LWB393232 MFW393225:MFX393232 MPS393225:MPT393232 MZO393225:MZP393232 NJK393225:NJL393232 NTG393225:NTH393232 ODC393225:ODD393232 OMY393225:OMZ393232 OWU393225:OWV393232 PGQ393225:PGR393232 PQM393225:PQN393232 QAI393225:QAJ393232 QKE393225:QKF393232 QUA393225:QUB393232 RDW393225:RDX393232 RNS393225:RNT393232 RXO393225:RXP393232 SHK393225:SHL393232 SRG393225:SRH393232 TBC393225:TBD393232 TKY393225:TKZ393232 TUU393225:TUV393232 UEQ393225:UER393232 UOM393225:UON393232 UYI393225:UYJ393232 VIE393225:VIF393232 VSA393225:VSB393232 WBW393225:WBX393232 WLS393225:WLT393232 WVO393225:WVP393232 G458761:H458768 JC458761:JD458768 SY458761:SZ458768 ACU458761:ACV458768 AMQ458761:AMR458768 AWM458761:AWN458768 BGI458761:BGJ458768 BQE458761:BQF458768 CAA458761:CAB458768 CJW458761:CJX458768 CTS458761:CTT458768 DDO458761:DDP458768 DNK458761:DNL458768 DXG458761:DXH458768 EHC458761:EHD458768 EQY458761:EQZ458768 FAU458761:FAV458768 FKQ458761:FKR458768 FUM458761:FUN458768 GEI458761:GEJ458768 GOE458761:GOF458768 GYA458761:GYB458768 HHW458761:HHX458768 HRS458761:HRT458768 IBO458761:IBP458768 ILK458761:ILL458768 IVG458761:IVH458768 JFC458761:JFD458768 JOY458761:JOZ458768 JYU458761:JYV458768 KIQ458761:KIR458768 KSM458761:KSN458768 LCI458761:LCJ458768 LME458761:LMF458768 LWA458761:LWB458768 MFW458761:MFX458768 MPS458761:MPT458768 MZO458761:MZP458768 NJK458761:NJL458768 NTG458761:NTH458768 ODC458761:ODD458768 OMY458761:OMZ458768 OWU458761:OWV458768 PGQ458761:PGR458768 PQM458761:PQN458768 QAI458761:QAJ458768 QKE458761:QKF458768 QUA458761:QUB458768 RDW458761:RDX458768 RNS458761:RNT458768 RXO458761:RXP458768 SHK458761:SHL458768 SRG458761:SRH458768 TBC458761:TBD458768 TKY458761:TKZ458768 TUU458761:TUV458768 UEQ458761:UER458768 UOM458761:UON458768 UYI458761:UYJ458768 VIE458761:VIF458768 VSA458761:VSB458768 WBW458761:WBX458768 WLS458761:WLT458768 WVO458761:WVP458768 G524297:H524304 JC524297:JD524304 SY524297:SZ524304 ACU524297:ACV524304 AMQ524297:AMR524304 AWM524297:AWN524304 BGI524297:BGJ524304 BQE524297:BQF524304 CAA524297:CAB524304 CJW524297:CJX524304 CTS524297:CTT524304 DDO524297:DDP524304 DNK524297:DNL524304 DXG524297:DXH524304 EHC524297:EHD524304 EQY524297:EQZ524304 FAU524297:FAV524304 FKQ524297:FKR524304 FUM524297:FUN524304 GEI524297:GEJ524304 GOE524297:GOF524304 GYA524297:GYB524304 HHW524297:HHX524304 HRS524297:HRT524304 IBO524297:IBP524304 ILK524297:ILL524304 IVG524297:IVH524304 JFC524297:JFD524304 JOY524297:JOZ524304 JYU524297:JYV524304 KIQ524297:KIR524304 KSM524297:KSN524304 LCI524297:LCJ524304 LME524297:LMF524304 LWA524297:LWB524304 MFW524297:MFX524304 MPS524297:MPT524304 MZO524297:MZP524304 NJK524297:NJL524304 NTG524297:NTH524304 ODC524297:ODD524304 OMY524297:OMZ524304 OWU524297:OWV524304 PGQ524297:PGR524304 PQM524297:PQN524304 QAI524297:QAJ524304 QKE524297:QKF524304 QUA524297:QUB524304 RDW524297:RDX524304 RNS524297:RNT524304 RXO524297:RXP524304 SHK524297:SHL524304 SRG524297:SRH524304 TBC524297:TBD524304 TKY524297:TKZ524304 TUU524297:TUV524304 UEQ524297:UER524304 UOM524297:UON524304 UYI524297:UYJ524304 VIE524297:VIF524304 VSA524297:VSB524304 WBW524297:WBX524304 WLS524297:WLT524304 WVO524297:WVP524304 G589833:H589840 JC589833:JD589840 SY589833:SZ589840 ACU589833:ACV589840 AMQ589833:AMR589840 AWM589833:AWN589840 BGI589833:BGJ589840 BQE589833:BQF589840 CAA589833:CAB589840 CJW589833:CJX589840 CTS589833:CTT589840 DDO589833:DDP589840 DNK589833:DNL589840 DXG589833:DXH589840 EHC589833:EHD589840 EQY589833:EQZ589840 FAU589833:FAV589840 FKQ589833:FKR589840 FUM589833:FUN589840 GEI589833:GEJ589840 GOE589833:GOF589840 GYA589833:GYB589840 HHW589833:HHX589840 HRS589833:HRT589840 IBO589833:IBP589840 ILK589833:ILL589840 IVG589833:IVH589840 JFC589833:JFD589840 JOY589833:JOZ589840 JYU589833:JYV589840 KIQ589833:KIR589840 KSM589833:KSN589840 LCI589833:LCJ589840 LME589833:LMF589840 LWA589833:LWB589840 MFW589833:MFX589840 MPS589833:MPT589840 MZO589833:MZP589840 NJK589833:NJL589840 NTG589833:NTH589840 ODC589833:ODD589840 OMY589833:OMZ589840 OWU589833:OWV589840 PGQ589833:PGR589840 PQM589833:PQN589840 QAI589833:QAJ589840 QKE589833:QKF589840 QUA589833:QUB589840 RDW589833:RDX589840 RNS589833:RNT589840 RXO589833:RXP589840 SHK589833:SHL589840 SRG589833:SRH589840 TBC589833:TBD589840 TKY589833:TKZ589840 TUU589833:TUV589840 UEQ589833:UER589840 UOM589833:UON589840 UYI589833:UYJ589840 VIE589833:VIF589840 VSA589833:VSB589840 WBW589833:WBX589840 WLS589833:WLT589840 WVO589833:WVP589840 G655369:H655376 JC655369:JD655376 SY655369:SZ655376 ACU655369:ACV655376 AMQ655369:AMR655376 AWM655369:AWN655376 BGI655369:BGJ655376 BQE655369:BQF655376 CAA655369:CAB655376 CJW655369:CJX655376 CTS655369:CTT655376 DDO655369:DDP655376 DNK655369:DNL655376 DXG655369:DXH655376 EHC655369:EHD655376 EQY655369:EQZ655376 FAU655369:FAV655376 FKQ655369:FKR655376 FUM655369:FUN655376 GEI655369:GEJ655376 GOE655369:GOF655376 GYA655369:GYB655376 HHW655369:HHX655376 HRS655369:HRT655376 IBO655369:IBP655376 ILK655369:ILL655376 IVG655369:IVH655376 JFC655369:JFD655376 JOY655369:JOZ655376 JYU655369:JYV655376 KIQ655369:KIR655376 KSM655369:KSN655376 LCI655369:LCJ655376 LME655369:LMF655376 LWA655369:LWB655376 MFW655369:MFX655376 MPS655369:MPT655376 MZO655369:MZP655376 NJK655369:NJL655376 NTG655369:NTH655376 ODC655369:ODD655376 OMY655369:OMZ655376 OWU655369:OWV655376 PGQ655369:PGR655376 PQM655369:PQN655376 QAI655369:QAJ655376 QKE655369:QKF655376 QUA655369:QUB655376 RDW655369:RDX655376 RNS655369:RNT655376 RXO655369:RXP655376 SHK655369:SHL655376 SRG655369:SRH655376 TBC655369:TBD655376 TKY655369:TKZ655376 TUU655369:TUV655376 UEQ655369:UER655376 UOM655369:UON655376 UYI655369:UYJ655376 VIE655369:VIF655376 VSA655369:VSB655376 WBW655369:WBX655376 WLS655369:WLT655376 WVO655369:WVP655376 G720905:H720912 JC720905:JD720912 SY720905:SZ720912 ACU720905:ACV720912 AMQ720905:AMR720912 AWM720905:AWN720912 BGI720905:BGJ720912 BQE720905:BQF720912 CAA720905:CAB720912 CJW720905:CJX720912 CTS720905:CTT720912 DDO720905:DDP720912 DNK720905:DNL720912 DXG720905:DXH720912 EHC720905:EHD720912 EQY720905:EQZ720912 FAU720905:FAV720912 FKQ720905:FKR720912 FUM720905:FUN720912 GEI720905:GEJ720912 GOE720905:GOF720912 GYA720905:GYB720912 HHW720905:HHX720912 HRS720905:HRT720912 IBO720905:IBP720912 ILK720905:ILL720912 IVG720905:IVH720912 JFC720905:JFD720912 JOY720905:JOZ720912 JYU720905:JYV720912 KIQ720905:KIR720912 KSM720905:KSN720912 LCI720905:LCJ720912 LME720905:LMF720912 LWA720905:LWB720912 MFW720905:MFX720912 MPS720905:MPT720912 MZO720905:MZP720912 NJK720905:NJL720912 NTG720905:NTH720912 ODC720905:ODD720912 OMY720905:OMZ720912 OWU720905:OWV720912 PGQ720905:PGR720912 PQM720905:PQN720912 QAI720905:QAJ720912 QKE720905:QKF720912 QUA720905:QUB720912 RDW720905:RDX720912 RNS720905:RNT720912 RXO720905:RXP720912 SHK720905:SHL720912 SRG720905:SRH720912 TBC720905:TBD720912 TKY720905:TKZ720912 TUU720905:TUV720912 UEQ720905:UER720912 UOM720905:UON720912 UYI720905:UYJ720912 VIE720905:VIF720912 VSA720905:VSB720912 WBW720905:WBX720912 WLS720905:WLT720912 WVO720905:WVP720912 G786441:H786448 JC786441:JD786448 SY786441:SZ786448 ACU786441:ACV786448 AMQ786441:AMR786448 AWM786441:AWN786448 BGI786441:BGJ786448 BQE786441:BQF786448 CAA786441:CAB786448 CJW786441:CJX786448 CTS786441:CTT786448 DDO786441:DDP786448 DNK786441:DNL786448 DXG786441:DXH786448 EHC786441:EHD786448 EQY786441:EQZ786448 FAU786441:FAV786448 FKQ786441:FKR786448 FUM786441:FUN786448 GEI786441:GEJ786448 GOE786441:GOF786448 GYA786441:GYB786448 HHW786441:HHX786448 HRS786441:HRT786448 IBO786441:IBP786448 ILK786441:ILL786448 IVG786441:IVH786448 JFC786441:JFD786448 JOY786441:JOZ786448 JYU786441:JYV786448 KIQ786441:KIR786448 KSM786441:KSN786448 LCI786441:LCJ786448 LME786441:LMF786448 LWA786441:LWB786448 MFW786441:MFX786448 MPS786441:MPT786448 MZO786441:MZP786448 NJK786441:NJL786448 NTG786441:NTH786448 ODC786441:ODD786448 OMY786441:OMZ786448 OWU786441:OWV786448 PGQ786441:PGR786448 PQM786441:PQN786448 QAI786441:QAJ786448 QKE786441:QKF786448 QUA786441:QUB786448 RDW786441:RDX786448 RNS786441:RNT786448 RXO786441:RXP786448 SHK786441:SHL786448 SRG786441:SRH786448 TBC786441:TBD786448 TKY786441:TKZ786448 TUU786441:TUV786448 UEQ786441:UER786448 UOM786441:UON786448 UYI786441:UYJ786448 VIE786441:VIF786448 VSA786441:VSB786448 WBW786441:WBX786448 WLS786441:WLT786448 WVO786441:WVP786448 G851977:H851984 JC851977:JD851984 SY851977:SZ851984 ACU851977:ACV851984 AMQ851977:AMR851984 AWM851977:AWN851984 BGI851977:BGJ851984 BQE851977:BQF851984 CAA851977:CAB851984 CJW851977:CJX851984 CTS851977:CTT851984 DDO851977:DDP851984 DNK851977:DNL851984 DXG851977:DXH851984 EHC851977:EHD851984 EQY851977:EQZ851984 FAU851977:FAV851984 FKQ851977:FKR851984 FUM851977:FUN851984 GEI851977:GEJ851984 GOE851977:GOF851984 GYA851977:GYB851984 HHW851977:HHX851984 HRS851977:HRT851984 IBO851977:IBP851984 ILK851977:ILL851984 IVG851977:IVH851984 JFC851977:JFD851984 JOY851977:JOZ851984 JYU851977:JYV851984 KIQ851977:KIR851984 KSM851977:KSN851984 LCI851977:LCJ851984 LME851977:LMF851984 LWA851977:LWB851984 MFW851977:MFX851984 MPS851977:MPT851984 MZO851977:MZP851984 NJK851977:NJL851984 NTG851977:NTH851984 ODC851977:ODD851984 OMY851977:OMZ851984 OWU851977:OWV851984 PGQ851977:PGR851984 PQM851977:PQN851984 QAI851977:QAJ851984 QKE851977:QKF851984 QUA851977:QUB851984 RDW851977:RDX851984 RNS851977:RNT851984 RXO851977:RXP851984 SHK851977:SHL851984 SRG851977:SRH851984 TBC851977:TBD851984 TKY851977:TKZ851984 TUU851977:TUV851984 UEQ851977:UER851984 UOM851977:UON851984 UYI851977:UYJ851984 VIE851977:VIF851984 VSA851977:VSB851984 WBW851977:WBX851984 WLS851977:WLT851984 WVO851977:WVP851984 G917513:H917520 JC917513:JD917520 SY917513:SZ917520 ACU917513:ACV917520 AMQ917513:AMR917520 AWM917513:AWN917520 BGI917513:BGJ917520 BQE917513:BQF917520 CAA917513:CAB917520 CJW917513:CJX917520 CTS917513:CTT917520 DDO917513:DDP917520 DNK917513:DNL917520 DXG917513:DXH917520 EHC917513:EHD917520 EQY917513:EQZ917520 FAU917513:FAV917520 FKQ917513:FKR917520 FUM917513:FUN917520 GEI917513:GEJ917520 GOE917513:GOF917520 GYA917513:GYB917520 HHW917513:HHX917520 HRS917513:HRT917520 IBO917513:IBP917520 ILK917513:ILL917520 IVG917513:IVH917520 JFC917513:JFD917520 JOY917513:JOZ917520 JYU917513:JYV917520 KIQ917513:KIR917520 KSM917513:KSN917520 LCI917513:LCJ917520 LME917513:LMF917520 LWA917513:LWB917520 MFW917513:MFX917520 MPS917513:MPT917520 MZO917513:MZP917520 NJK917513:NJL917520 NTG917513:NTH917520 ODC917513:ODD917520 OMY917513:OMZ917520 OWU917513:OWV917520 PGQ917513:PGR917520 PQM917513:PQN917520 QAI917513:QAJ917520 QKE917513:QKF917520 QUA917513:QUB917520 RDW917513:RDX917520 RNS917513:RNT917520 RXO917513:RXP917520 SHK917513:SHL917520 SRG917513:SRH917520 TBC917513:TBD917520 TKY917513:TKZ917520 TUU917513:TUV917520 UEQ917513:UER917520 UOM917513:UON917520 UYI917513:UYJ917520 VIE917513:VIF917520 VSA917513:VSB917520 WBW917513:WBX917520 WLS917513:WLT917520 WVO917513:WVP917520 G983049:H983056 JC983049:JD983056 SY983049:SZ983056 ACU983049:ACV983056 AMQ983049:AMR983056 AWM983049:AWN983056 BGI983049:BGJ983056 BQE983049:BQF983056 CAA983049:CAB983056 CJW983049:CJX983056 CTS983049:CTT983056 DDO983049:DDP983056 DNK983049:DNL983056 DXG983049:DXH983056 EHC983049:EHD983056 EQY983049:EQZ983056 FAU983049:FAV983056 FKQ983049:FKR983056 FUM983049:FUN983056 GEI983049:GEJ983056 GOE983049:GOF983056 GYA983049:GYB983056 HHW983049:HHX983056 HRS983049:HRT983056 IBO983049:IBP983056 ILK983049:ILL983056 IVG983049:IVH983056 JFC983049:JFD983056 JOY983049:JOZ983056 JYU983049:JYV983056 KIQ983049:KIR983056 KSM983049:KSN983056 LCI983049:LCJ983056 LME983049:LMF983056 LWA983049:LWB983056 MFW983049:MFX983056 MPS983049:MPT983056 MZO983049:MZP983056 NJK983049:NJL983056 NTG983049:NTH983056 ODC983049:ODD983056 OMY983049:OMZ983056 OWU983049:OWV983056 PGQ983049:PGR983056 PQM983049:PQN983056 QAI983049:QAJ983056 QKE983049:QKF983056 QUA983049:QUB983056 RDW983049:RDX983056 RNS983049:RNT983056 RXO983049:RXP983056 SHK983049:SHL983056 SRG983049:SRH983056 TBC983049:TBD983056 TKY983049:TKZ983056 TUU983049:TUV983056 UEQ983049:UER983056 UOM983049:UON983056 UYI983049:UYJ983056 VIE983049:VIF983056 VSA983049:VSB983056 WBW983049:WBX983056 WLS983049:WLT983056 WVO983049:WVP983056 G18:H25 JC18:JD25 SY18:SZ25 ACU18:ACV25 AMQ18:AMR25 AWM18:AWN25 BGI18:BGJ25 BQE18:BQF25 CAA18:CAB25 CJW18:CJX25 CTS18:CTT25 DDO18:DDP25 DNK18:DNL25 DXG18:DXH25 EHC18:EHD25 EQY18:EQZ25 FAU18:FAV25 FKQ18:FKR25 FUM18:FUN25 GEI18:GEJ25 GOE18:GOF25 GYA18:GYB25 HHW18:HHX25 HRS18:HRT25 IBO18:IBP25 ILK18:ILL25 IVG18:IVH25 JFC18:JFD25 JOY18:JOZ25 JYU18:JYV25 KIQ18:KIR25 KSM18:KSN25 LCI18:LCJ25 LME18:LMF25 LWA18:LWB25 MFW18:MFX25 MPS18:MPT25 MZO18:MZP25 NJK18:NJL25 NTG18:NTH25 ODC18:ODD25 OMY18:OMZ25 OWU18:OWV25 PGQ18:PGR25 PQM18:PQN25 QAI18:QAJ25 QKE18:QKF25 QUA18:QUB25 RDW18:RDX25 RNS18:RNT25 RXO18:RXP25 SHK18:SHL25 SRG18:SRH25 TBC18:TBD25 TKY18:TKZ25 TUU18:TUV25 UEQ18:UER25 UOM18:UON25 UYI18:UYJ25 VIE18:VIF25 VSA18:VSB25 WBW18:WBX25 WLS18:WLT25 WVO18:WVP25 G65554:H65561 JC65554:JD65561 SY65554:SZ65561 ACU65554:ACV65561 AMQ65554:AMR65561 AWM65554:AWN65561 BGI65554:BGJ65561 BQE65554:BQF65561 CAA65554:CAB65561 CJW65554:CJX65561 CTS65554:CTT65561 DDO65554:DDP65561 DNK65554:DNL65561 DXG65554:DXH65561 EHC65554:EHD65561 EQY65554:EQZ65561 FAU65554:FAV65561 FKQ65554:FKR65561 FUM65554:FUN65561 GEI65554:GEJ65561 GOE65554:GOF65561 GYA65554:GYB65561 HHW65554:HHX65561 HRS65554:HRT65561 IBO65554:IBP65561 ILK65554:ILL65561 IVG65554:IVH65561 JFC65554:JFD65561 JOY65554:JOZ65561 JYU65554:JYV65561 KIQ65554:KIR65561 KSM65554:KSN65561 LCI65554:LCJ65561 LME65554:LMF65561 LWA65554:LWB65561 MFW65554:MFX65561 MPS65554:MPT65561 MZO65554:MZP65561 NJK65554:NJL65561 NTG65554:NTH65561 ODC65554:ODD65561 OMY65554:OMZ65561 OWU65554:OWV65561 PGQ65554:PGR65561 PQM65554:PQN65561 QAI65554:QAJ65561 QKE65554:QKF65561 QUA65554:QUB65561 RDW65554:RDX65561 RNS65554:RNT65561 RXO65554:RXP65561 SHK65554:SHL65561 SRG65554:SRH65561 TBC65554:TBD65561 TKY65554:TKZ65561 TUU65554:TUV65561 UEQ65554:UER65561 UOM65554:UON65561 UYI65554:UYJ65561 VIE65554:VIF65561 VSA65554:VSB65561 WBW65554:WBX65561 WLS65554:WLT65561 WVO65554:WVP65561 G131090:H131097 JC131090:JD131097 SY131090:SZ131097 ACU131090:ACV131097 AMQ131090:AMR131097 AWM131090:AWN131097 BGI131090:BGJ131097 BQE131090:BQF131097 CAA131090:CAB131097 CJW131090:CJX131097 CTS131090:CTT131097 DDO131090:DDP131097 DNK131090:DNL131097 DXG131090:DXH131097 EHC131090:EHD131097 EQY131090:EQZ131097 FAU131090:FAV131097 FKQ131090:FKR131097 FUM131090:FUN131097 GEI131090:GEJ131097 GOE131090:GOF131097 GYA131090:GYB131097 HHW131090:HHX131097 HRS131090:HRT131097 IBO131090:IBP131097 ILK131090:ILL131097 IVG131090:IVH131097 JFC131090:JFD131097 JOY131090:JOZ131097 JYU131090:JYV131097 KIQ131090:KIR131097 KSM131090:KSN131097 LCI131090:LCJ131097 LME131090:LMF131097 LWA131090:LWB131097 MFW131090:MFX131097 MPS131090:MPT131097 MZO131090:MZP131097 NJK131090:NJL131097 NTG131090:NTH131097 ODC131090:ODD131097 OMY131090:OMZ131097 OWU131090:OWV131097 PGQ131090:PGR131097 PQM131090:PQN131097 QAI131090:QAJ131097 QKE131090:QKF131097 QUA131090:QUB131097 RDW131090:RDX131097 RNS131090:RNT131097 RXO131090:RXP131097 SHK131090:SHL131097 SRG131090:SRH131097 TBC131090:TBD131097 TKY131090:TKZ131097 TUU131090:TUV131097 UEQ131090:UER131097 UOM131090:UON131097 UYI131090:UYJ131097 VIE131090:VIF131097 VSA131090:VSB131097 WBW131090:WBX131097 WLS131090:WLT131097 WVO131090:WVP131097 G196626:H196633 JC196626:JD196633 SY196626:SZ196633 ACU196626:ACV196633 AMQ196626:AMR196633 AWM196626:AWN196633 BGI196626:BGJ196633 BQE196626:BQF196633 CAA196626:CAB196633 CJW196626:CJX196633 CTS196626:CTT196633 DDO196626:DDP196633 DNK196626:DNL196633 DXG196626:DXH196633 EHC196626:EHD196633 EQY196626:EQZ196633 FAU196626:FAV196633 FKQ196626:FKR196633 FUM196626:FUN196633 GEI196626:GEJ196633 GOE196626:GOF196633 GYA196626:GYB196633 HHW196626:HHX196633 HRS196626:HRT196633 IBO196626:IBP196633 ILK196626:ILL196633 IVG196626:IVH196633 JFC196626:JFD196633 JOY196626:JOZ196633 JYU196626:JYV196633 KIQ196626:KIR196633 KSM196626:KSN196633 LCI196626:LCJ196633 LME196626:LMF196633 LWA196626:LWB196633 MFW196626:MFX196633 MPS196626:MPT196633 MZO196626:MZP196633 NJK196626:NJL196633 NTG196626:NTH196633 ODC196626:ODD196633 OMY196626:OMZ196633 OWU196626:OWV196633 PGQ196626:PGR196633 PQM196626:PQN196633 QAI196626:QAJ196633 QKE196626:QKF196633 QUA196626:QUB196633 RDW196626:RDX196633 RNS196626:RNT196633 RXO196626:RXP196633 SHK196626:SHL196633 SRG196626:SRH196633 TBC196626:TBD196633 TKY196626:TKZ196633 TUU196626:TUV196633 UEQ196626:UER196633 UOM196626:UON196633 UYI196626:UYJ196633 VIE196626:VIF196633 VSA196626:VSB196633 WBW196626:WBX196633 WLS196626:WLT196633 WVO196626:WVP196633 G262162:H262169 JC262162:JD262169 SY262162:SZ262169 ACU262162:ACV262169 AMQ262162:AMR262169 AWM262162:AWN262169 BGI262162:BGJ262169 BQE262162:BQF262169 CAA262162:CAB262169 CJW262162:CJX262169 CTS262162:CTT262169 DDO262162:DDP262169 DNK262162:DNL262169 DXG262162:DXH262169 EHC262162:EHD262169 EQY262162:EQZ262169 FAU262162:FAV262169 FKQ262162:FKR262169 FUM262162:FUN262169 GEI262162:GEJ262169 GOE262162:GOF262169 GYA262162:GYB262169 HHW262162:HHX262169 HRS262162:HRT262169 IBO262162:IBP262169 ILK262162:ILL262169 IVG262162:IVH262169 JFC262162:JFD262169 JOY262162:JOZ262169 JYU262162:JYV262169 KIQ262162:KIR262169 KSM262162:KSN262169 LCI262162:LCJ262169 LME262162:LMF262169 LWA262162:LWB262169 MFW262162:MFX262169 MPS262162:MPT262169 MZO262162:MZP262169 NJK262162:NJL262169 NTG262162:NTH262169 ODC262162:ODD262169 OMY262162:OMZ262169 OWU262162:OWV262169 PGQ262162:PGR262169 PQM262162:PQN262169 QAI262162:QAJ262169 QKE262162:QKF262169 QUA262162:QUB262169 RDW262162:RDX262169 RNS262162:RNT262169 RXO262162:RXP262169 SHK262162:SHL262169 SRG262162:SRH262169 TBC262162:TBD262169 TKY262162:TKZ262169 TUU262162:TUV262169 UEQ262162:UER262169 UOM262162:UON262169 UYI262162:UYJ262169 VIE262162:VIF262169 VSA262162:VSB262169 WBW262162:WBX262169 WLS262162:WLT262169 WVO262162:WVP262169 G327698:H327705 JC327698:JD327705 SY327698:SZ327705 ACU327698:ACV327705 AMQ327698:AMR327705 AWM327698:AWN327705 BGI327698:BGJ327705 BQE327698:BQF327705 CAA327698:CAB327705 CJW327698:CJX327705 CTS327698:CTT327705 DDO327698:DDP327705 DNK327698:DNL327705 DXG327698:DXH327705 EHC327698:EHD327705 EQY327698:EQZ327705 FAU327698:FAV327705 FKQ327698:FKR327705 FUM327698:FUN327705 GEI327698:GEJ327705 GOE327698:GOF327705 GYA327698:GYB327705 HHW327698:HHX327705 HRS327698:HRT327705 IBO327698:IBP327705 ILK327698:ILL327705 IVG327698:IVH327705 JFC327698:JFD327705 JOY327698:JOZ327705 JYU327698:JYV327705 KIQ327698:KIR327705 KSM327698:KSN327705 LCI327698:LCJ327705 LME327698:LMF327705 LWA327698:LWB327705 MFW327698:MFX327705 MPS327698:MPT327705 MZO327698:MZP327705 NJK327698:NJL327705 NTG327698:NTH327705 ODC327698:ODD327705 OMY327698:OMZ327705 OWU327698:OWV327705 PGQ327698:PGR327705 PQM327698:PQN327705 QAI327698:QAJ327705 QKE327698:QKF327705 QUA327698:QUB327705 RDW327698:RDX327705 RNS327698:RNT327705 RXO327698:RXP327705 SHK327698:SHL327705 SRG327698:SRH327705 TBC327698:TBD327705 TKY327698:TKZ327705 TUU327698:TUV327705 UEQ327698:UER327705 UOM327698:UON327705 UYI327698:UYJ327705 VIE327698:VIF327705 VSA327698:VSB327705 WBW327698:WBX327705 WLS327698:WLT327705 WVO327698:WVP327705 G393234:H393241 JC393234:JD393241 SY393234:SZ393241 ACU393234:ACV393241 AMQ393234:AMR393241 AWM393234:AWN393241 BGI393234:BGJ393241 BQE393234:BQF393241 CAA393234:CAB393241 CJW393234:CJX393241 CTS393234:CTT393241 DDO393234:DDP393241 DNK393234:DNL393241 DXG393234:DXH393241 EHC393234:EHD393241 EQY393234:EQZ393241 FAU393234:FAV393241 FKQ393234:FKR393241 FUM393234:FUN393241 GEI393234:GEJ393241 GOE393234:GOF393241 GYA393234:GYB393241 HHW393234:HHX393241 HRS393234:HRT393241 IBO393234:IBP393241 ILK393234:ILL393241 IVG393234:IVH393241 JFC393234:JFD393241 JOY393234:JOZ393241 JYU393234:JYV393241 KIQ393234:KIR393241 KSM393234:KSN393241 LCI393234:LCJ393241 LME393234:LMF393241 LWA393234:LWB393241 MFW393234:MFX393241 MPS393234:MPT393241 MZO393234:MZP393241 NJK393234:NJL393241 NTG393234:NTH393241 ODC393234:ODD393241 OMY393234:OMZ393241 OWU393234:OWV393241 PGQ393234:PGR393241 PQM393234:PQN393241 QAI393234:QAJ393241 QKE393234:QKF393241 QUA393234:QUB393241 RDW393234:RDX393241 RNS393234:RNT393241 RXO393234:RXP393241 SHK393234:SHL393241 SRG393234:SRH393241 TBC393234:TBD393241 TKY393234:TKZ393241 TUU393234:TUV393241 UEQ393234:UER393241 UOM393234:UON393241 UYI393234:UYJ393241 VIE393234:VIF393241 VSA393234:VSB393241 WBW393234:WBX393241 WLS393234:WLT393241 WVO393234:WVP393241 G458770:H458777 JC458770:JD458777 SY458770:SZ458777 ACU458770:ACV458777 AMQ458770:AMR458777 AWM458770:AWN458777 BGI458770:BGJ458777 BQE458770:BQF458777 CAA458770:CAB458777 CJW458770:CJX458777 CTS458770:CTT458777 DDO458770:DDP458777 DNK458770:DNL458777 DXG458770:DXH458777 EHC458770:EHD458777 EQY458770:EQZ458777 FAU458770:FAV458777 FKQ458770:FKR458777 FUM458770:FUN458777 GEI458770:GEJ458777 GOE458770:GOF458777 GYA458770:GYB458777 HHW458770:HHX458777 HRS458770:HRT458777 IBO458770:IBP458777 ILK458770:ILL458777 IVG458770:IVH458777 JFC458770:JFD458777 JOY458770:JOZ458777 JYU458770:JYV458777 KIQ458770:KIR458777 KSM458770:KSN458777 LCI458770:LCJ458777 LME458770:LMF458777 LWA458770:LWB458777 MFW458770:MFX458777 MPS458770:MPT458777 MZO458770:MZP458777 NJK458770:NJL458777 NTG458770:NTH458777 ODC458770:ODD458777 OMY458770:OMZ458777 OWU458770:OWV458777 PGQ458770:PGR458777 PQM458770:PQN458777 QAI458770:QAJ458777 QKE458770:QKF458777 QUA458770:QUB458777 RDW458770:RDX458777 RNS458770:RNT458777 RXO458770:RXP458777 SHK458770:SHL458777 SRG458770:SRH458777 TBC458770:TBD458777 TKY458770:TKZ458777 TUU458770:TUV458777 UEQ458770:UER458777 UOM458770:UON458777 UYI458770:UYJ458777 VIE458770:VIF458777 VSA458770:VSB458777 WBW458770:WBX458777 WLS458770:WLT458777 WVO458770:WVP458777 G524306:H524313 JC524306:JD524313 SY524306:SZ524313 ACU524306:ACV524313 AMQ524306:AMR524313 AWM524306:AWN524313 BGI524306:BGJ524313 BQE524306:BQF524313 CAA524306:CAB524313 CJW524306:CJX524313 CTS524306:CTT524313 DDO524306:DDP524313 DNK524306:DNL524313 DXG524306:DXH524313 EHC524306:EHD524313 EQY524306:EQZ524313 FAU524306:FAV524313 FKQ524306:FKR524313 FUM524306:FUN524313 GEI524306:GEJ524313 GOE524306:GOF524313 GYA524306:GYB524313 HHW524306:HHX524313 HRS524306:HRT524313 IBO524306:IBP524313 ILK524306:ILL524313 IVG524306:IVH524313 JFC524306:JFD524313 JOY524306:JOZ524313 JYU524306:JYV524313 KIQ524306:KIR524313 KSM524306:KSN524313 LCI524306:LCJ524313 LME524306:LMF524313 LWA524306:LWB524313 MFW524306:MFX524313 MPS524306:MPT524313 MZO524306:MZP524313 NJK524306:NJL524313 NTG524306:NTH524313 ODC524306:ODD524313 OMY524306:OMZ524313 OWU524306:OWV524313 PGQ524306:PGR524313 PQM524306:PQN524313 QAI524306:QAJ524313 QKE524306:QKF524313 QUA524306:QUB524313 RDW524306:RDX524313 RNS524306:RNT524313 RXO524306:RXP524313 SHK524306:SHL524313 SRG524306:SRH524313 TBC524306:TBD524313 TKY524306:TKZ524313 TUU524306:TUV524313 UEQ524306:UER524313 UOM524306:UON524313 UYI524306:UYJ524313 VIE524306:VIF524313 VSA524306:VSB524313 WBW524306:WBX524313 WLS524306:WLT524313 WVO524306:WVP524313 G589842:H589849 JC589842:JD589849 SY589842:SZ589849 ACU589842:ACV589849 AMQ589842:AMR589849 AWM589842:AWN589849 BGI589842:BGJ589849 BQE589842:BQF589849 CAA589842:CAB589849 CJW589842:CJX589849 CTS589842:CTT589849 DDO589842:DDP589849 DNK589842:DNL589849 DXG589842:DXH589849 EHC589842:EHD589849 EQY589842:EQZ589849 FAU589842:FAV589849 FKQ589842:FKR589849 FUM589842:FUN589849 GEI589842:GEJ589849 GOE589842:GOF589849 GYA589842:GYB589849 HHW589842:HHX589849 HRS589842:HRT589849 IBO589842:IBP589849 ILK589842:ILL589849 IVG589842:IVH589849 JFC589842:JFD589849 JOY589842:JOZ589849 JYU589842:JYV589849 KIQ589842:KIR589849 KSM589842:KSN589849 LCI589842:LCJ589849 LME589842:LMF589849 LWA589842:LWB589849 MFW589842:MFX589849 MPS589842:MPT589849 MZO589842:MZP589849 NJK589842:NJL589849 NTG589842:NTH589849 ODC589842:ODD589849 OMY589842:OMZ589849 OWU589842:OWV589849 PGQ589842:PGR589849 PQM589842:PQN589849 QAI589842:QAJ589849 QKE589842:QKF589849 QUA589842:QUB589849 RDW589842:RDX589849 RNS589842:RNT589849 RXO589842:RXP589849 SHK589842:SHL589849 SRG589842:SRH589849 TBC589842:TBD589849 TKY589842:TKZ589849 TUU589842:TUV589849 UEQ589842:UER589849 UOM589842:UON589849 UYI589842:UYJ589849 VIE589842:VIF589849 VSA589842:VSB589849 WBW589842:WBX589849 WLS589842:WLT589849 WVO589842:WVP589849 G655378:H655385 JC655378:JD655385 SY655378:SZ655385 ACU655378:ACV655385 AMQ655378:AMR655385 AWM655378:AWN655385 BGI655378:BGJ655385 BQE655378:BQF655385 CAA655378:CAB655385 CJW655378:CJX655385 CTS655378:CTT655385 DDO655378:DDP655385 DNK655378:DNL655385 DXG655378:DXH655385 EHC655378:EHD655385 EQY655378:EQZ655385 FAU655378:FAV655385 FKQ655378:FKR655385 FUM655378:FUN655385 GEI655378:GEJ655385 GOE655378:GOF655385 GYA655378:GYB655385 HHW655378:HHX655385 HRS655378:HRT655385 IBO655378:IBP655385 ILK655378:ILL655385 IVG655378:IVH655385 JFC655378:JFD655385 JOY655378:JOZ655385 JYU655378:JYV655385 KIQ655378:KIR655385 KSM655378:KSN655385 LCI655378:LCJ655385 LME655378:LMF655385 LWA655378:LWB655385 MFW655378:MFX655385 MPS655378:MPT655385 MZO655378:MZP655385 NJK655378:NJL655385 NTG655378:NTH655385 ODC655378:ODD655385 OMY655378:OMZ655385 OWU655378:OWV655385 PGQ655378:PGR655385 PQM655378:PQN655385 QAI655378:QAJ655385 QKE655378:QKF655385 QUA655378:QUB655385 RDW655378:RDX655385 RNS655378:RNT655385 RXO655378:RXP655385 SHK655378:SHL655385 SRG655378:SRH655385 TBC655378:TBD655385 TKY655378:TKZ655385 TUU655378:TUV655385 UEQ655378:UER655385 UOM655378:UON655385 UYI655378:UYJ655385 VIE655378:VIF655385 VSA655378:VSB655385 WBW655378:WBX655385 WLS655378:WLT655385 WVO655378:WVP655385 G720914:H720921 JC720914:JD720921 SY720914:SZ720921 ACU720914:ACV720921 AMQ720914:AMR720921 AWM720914:AWN720921 BGI720914:BGJ720921 BQE720914:BQF720921 CAA720914:CAB720921 CJW720914:CJX720921 CTS720914:CTT720921 DDO720914:DDP720921 DNK720914:DNL720921 DXG720914:DXH720921 EHC720914:EHD720921 EQY720914:EQZ720921 FAU720914:FAV720921 FKQ720914:FKR720921 FUM720914:FUN720921 GEI720914:GEJ720921 GOE720914:GOF720921 GYA720914:GYB720921 HHW720914:HHX720921 HRS720914:HRT720921 IBO720914:IBP720921 ILK720914:ILL720921 IVG720914:IVH720921 JFC720914:JFD720921 JOY720914:JOZ720921 JYU720914:JYV720921 KIQ720914:KIR720921 KSM720914:KSN720921 LCI720914:LCJ720921 LME720914:LMF720921 LWA720914:LWB720921 MFW720914:MFX720921 MPS720914:MPT720921 MZO720914:MZP720921 NJK720914:NJL720921 NTG720914:NTH720921 ODC720914:ODD720921 OMY720914:OMZ720921 OWU720914:OWV720921 PGQ720914:PGR720921 PQM720914:PQN720921 QAI720914:QAJ720921 QKE720914:QKF720921 QUA720914:QUB720921 RDW720914:RDX720921 RNS720914:RNT720921 RXO720914:RXP720921 SHK720914:SHL720921 SRG720914:SRH720921 TBC720914:TBD720921 TKY720914:TKZ720921 TUU720914:TUV720921 UEQ720914:UER720921 UOM720914:UON720921 UYI720914:UYJ720921 VIE720914:VIF720921 VSA720914:VSB720921 WBW720914:WBX720921 WLS720914:WLT720921 WVO720914:WVP720921 G786450:H786457 JC786450:JD786457 SY786450:SZ786457 ACU786450:ACV786457 AMQ786450:AMR786457 AWM786450:AWN786457 BGI786450:BGJ786457 BQE786450:BQF786457 CAA786450:CAB786457 CJW786450:CJX786457 CTS786450:CTT786457 DDO786450:DDP786457 DNK786450:DNL786457 DXG786450:DXH786457 EHC786450:EHD786457 EQY786450:EQZ786457 FAU786450:FAV786457 FKQ786450:FKR786457 FUM786450:FUN786457 GEI786450:GEJ786457 GOE786450:GOF786457 GYA786450:GYB786457 HHW786450:HHX786457 HRS786450:HRT786457 IBO786450:IBP786457 ILK786450:ILL786457 IVG786450:IVH786457 JFC786450:JFD786457 JOY786450:JOZ786457 JYU786450:JYV786457 KIQ786450:KIR786457 KSM786450:KSN786457 LCI786450:LCJ786457 LME786450:LMF786457 LWA786450:LWB786457 MFW786450:MFX786457 MPS786450:MPT786457 MZO786450:MZP786457 NJK786450:NJL786457 NTG786450:NTH786457 ODC786450:ODD786457 OMY786450:OMZ786457 OWU786450:OWV786457 PGQ786450:PGR786457 PQM786450:PQN786457 QAI786450:QAJ786457 QKE786450:QKF786457 QUA786450:QUB786457 RDW786450:RDX786457 RNS786450:RNT786457 RXO786450:RXP786457 SHK786450:SHL786457 SRG786450:SRH786457 TBC786450:TBD786457 TKY786450:TKZ786457 TUU786450:TUV786457 UEQ786450:UER786457 UOM786450:UON786457 UYI786450:UYJ786457 VIE786450:VIF786457 VSA786450:VSB786457 WBW786450:WBX786457 WLS786450:WLT786457 WVO786450:WVP786457 G851986:H851993 JC851986:JD851993 SY851986:SZ851993 ACU851986:ACV851993 AMQ851986:AMR851993 AWM851986:AWN851993 BGI851986:BGJ851993 BQE851986:BQF851993 CAA851986:CAB851993 CJW851986:CJX851993 CTS851986:CTT851993 DDO851986:DDP851993 DNK851986:DNL851993 DXG851986:DXH851993 EHC851986:EHD851993 EQY851986:EQZ851993 FAU851986:FAV851993 FKQ851986:FKR851993 FUM851986:FUN851993 GEI851986:GEJ851993 GOE851986:GOF851993 GYA851986:GYB851993 HHW851986:HHX851993 HRS851986:HRT851993 IBO851986:IBP851993 ILK851986:ILL851993 IVG851986:IVH851993 JFC851986:JFD851993 JOY851986:JOZ851993 JYU851986:JYV851993 KIQ851986:KIR851993 KSM851986:KSN851993 LCI851986:LCJ851993 LME851986:LMF851993 LWA851986:LWB851993 MFW851986:MFX851993 MPS851986:MPT851993 MZO851986:MZP851993 NJK851986:NJL851993 NTG851986:NTH851993 ODC851986:ODD851993 OMY851986:OMZ851993 OWU851986:OWV851993 PGQ851986:PGR851993 PQM851986:PQN851993 QAI851986:QAJ851993 QKE851986:QKF851993 QUA851986:QUB851993 RDW851986:RDX851993 RNS851986:RNT851993 RXO851986:RXP851993 SHK851986:SHL851993 SRG851986:SRH851993 TBC851986:TBD851993 TKY851986:TKZ851993 TUU851986:TUV851993 UEQ851986:UER851993 UOM851986:UON851993 UYI851986:UYJ851993 VIE851986:VIF851993 VSA851986:VSB851993 WBW851986:WBX851993 WLS851986:WLT851993 WVO851986:WVP851993 G917522:H917529 JC917522:JD917529 SY917522:SZ917529 ACU917522:ACV917529 AMQ917522:AMR917529 AWM917522:AWN917529 BGI917522:BGJ917529 BQE917522:BQF917529 CAA917522:CAB917529 CJW917522:CJX917529 CTS917522:CTT917529 DDO917522:DDP917529 DNK917522:DNL917529 DXG917522:DXH917529 EHC917522:EHD917529 EQY917522:EQZ917529 FAU917522:FAV917529 FKQ917522:FKR917529 FUM917522:FUN917529 GEI917522:GEJ917529 GOE917522:GOF917529 GYA917522:GYB917529 HHW917522:HHX917529 HRS917522:HRT917529 IBO917522:IBP917529 ILK917522:ILL917529 IVG917522:IVH917529 JFC917522:JFD917529 JOY917522:JOZ917529 JYU917522:JYV917529 KIQ917522:KIR917529 KSM917522:KSN917529 LCI917522:LCJ917529 LME917522:LMF917529 LWA917522:LWB917529 MFW917522:MFX917529 MPS917522:MPT917529 MZO917522:MZP917529 NJK917522:NJL917529 NTG917522:NTH917529 ODC917522:ODD917529 OMY917522:OMZ917529 OWU917522:OWV917529 PGQ917522:PGR917529 PQM917522:PQN917529 QAI917522:QAJ917529 QKE917522:QKF917529 QUA917522:QUB917529 RDW917522:RDX917529 RNS917522:RNT917529 RXO917522:RXP917529 SHK917522:SHL917529 SRG917522:SRH917529 TBC917522:TBD917529 TKY917522:TKZ917529 TUU917522:TUV917529 UEQ917522:UER917529 UOM917522:UON917529 UYI917522:UYJ917529 VIE917522:VIF917529 VSA917522:VSB917529 WBW917522:WBX917529 WLS917522:WLT917529 WVO917522:WVP917529 G983058:H983065 JC983058:JD983065 SY983058:SZ983065 ACU983058:ACV983065 AMQ983058:AMR983065 AWM983058:AWN983065 BGI983058:BGJ983065 BQE983058:BQF983065 CAA983058:CAB983065 CJW983058:CJX983065 CTS983058:CTT983065 DDO983058:DDP983065 DNK983058:DNL983065 DXG983058:DXH983065 EHC983058:EHD983065 EQY983058:EQZ983065 FAU983058:FAV983065 FKQ983058:FKR983065 FUM983058:FUN983065 GEI983058:GEJ983065 GOE983058:GOF983065 GYA983058:GYB983065 HHW983058:HHX983065 HRS983058:HRT983065 IBO983058:IBP983065 ILK983058:ILL983065 IVG983058:IVH983065 JFC983058:JFD983065 JOY983058:JOZ983065 JYU983058:JYV983065 KIQ983058:KIR983065 KSM983058:KSN983065 LCI983058:LCJ983065 LME983058:LMF983065 LWA983058:LWB983065 MFW983058:MFX983065 MPS983058:MPT983065 MZO983058:MZP983065 NJK983058:NJL983065 NTG983058:NTH983065 ODC983058:ODD983065 OMY983058:OMZ983065 OWU983058:OWV983065 PGQ983058:PGR983065 PQM983058:PQN983065 QAI983058:QAJ983065 QKE983058:QKF983065 QUA983058:QUB983065 RDW983058:RDX983065 RNS983058:RNT983065 RXO983058:RXP983065 SHK983058:SHL983065 SRG983058:SRH983065 TBC983058:TBD983065 TKY983058:TKZ983065 TUU983058:TUV983065 UEQ983058:UER983065 UOM983058:UON983065 UYI983058:UYJ983065 VIE983058:VIF983065 VSA983058:VSB983065 WBW983058:WBX983065 WLS983058:WLT983065 WVO983058:WVP983065" xr:uid="{00000000-0002-0000-0300-000001000000}">
      <formula1>$P$1:$P$4</formula1>
    </dataValidation>
  </dataValidations>
  <printOptions horizontalCentered="1"/>
  <pageMargins left="0.39370078740157483" right="0.39370078740157483" top="0.39370078740157483" bottom="0.39370078740157483" header="0.19685039370078741" footer="0.19685039370078741"/>
  <pageSetup paperSize="9" scale="90" orientation="landscape" r:id="rId1"/>
  <headerFooter alignWithMargins="0">
    <oddFooter>&amp;L&amp;8&amp;F&amp;C&amp;8Edition 1 - 2015.11.1&amp;R&amp;8Printed &amp;D</oddFooter>
  </headerFooter>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Arkusz5"/>
  <dimension ref="A1:N24"/>
  <sheetViews>
    <sheetView view="pageBreakPreview" zoomScale="90" zoomScaleNormal="90" zoomScaleSheetLayoutView="75" workbookViewId="0">
      <selection activeCell="AP18" sqref="AP18"/>
    </sheetView>
  </sheetViews>
  <sheetFormatPr baseColWidth="10" defaultColWidth="9.109375" defaultRowHeight="13.2"/>
  <cols>
    <col min="1" max="1" width="6.44140625" style="191" customWidth="1"/>
    <col min="2" max="2" width="20.88671875" style="94" customWidth="1"/>
    <col min="3" max="3" width="24.5546875" style="94" customWidth="1"/>
    <col min="4" max="4" width="2.109375" style="94" customWidth="1"/>
    <col min="5" max="5" width="24.5546875" style="94" customWidth="1"/>
    <col min="6" max="6" width="2.109375" style="94" customWidth="1"/>
    <col min="7" max="7" width="24.5546875" style="94" customWidth="1"/>
    <col min="8" max="8" width="2.109375" style="94" customWidth="1"/>
    <col min="9" max="9" width="24.5546875" style="94" customWidth="1"/>
    <col min="10" max="10" width="2.109375" style="94" customWidth="1"/>
    <col min="11" max="11" width="24.5546875" style="94" customWidth="1"/>
    <col min="12" max="12" width="2.109375" style="94" customWidth="1"/>
    <col min="13" max="16384" width="9.109375" style="94"/>
  </cols>
  <sheetData>
    <row r="1" spans="1:14" ht="38.25" customHeight="1" thickBot="1">
      <c r="C1" s="190"/>
      <c r="D1" s="190"/>
      <c r="E1" s="190"/>
      <c r="F1" s="190"/>
      <c r="G1" s="190" t="s">
        <v>257</v>
      </c>
      <c r="H1" s="190"/>
      <c r="I1" s="365" t="s">
        <v>256</v>
      </c>
      <c r="J1" s="365"/>
      <c r="K1" s="365"/>
      <c r="L1" s="365"/>
      <c r="M1" s="182"/>
    </row>
    <row r="2" spans="1:14">
      <c r="A2" s="141" t="s">
        <v>178</v>
      </c>
      <c r="B2" s="189"/>
      <c r="C2" s="238" t="str">
        <f>'Quick Response'!F4</f>
        <v>NMA Santa Perpetua</v>
      </c>
      <c r="D2" s="189"/>
      <c r="E2" s="239" t="s">
        <v>177</v>
      </c>
      <c r="F2" s="189"/>
      <c r="G2" s="241" t="str">
        <f>'Quick Response'!M4</f>
        <v>AVOCarbon Tunsia</v>
      </c>
      <c r="H2" s="240"/>
      <c r="I2" s="239" t="s">
        <v>176</v>
      </c>
      <c r="J2" s="238"/>
      <c r="K2" s="237">
        <f>'Quick Response'!V4</f>
        <v>45946</v>
      </c>
      <c r="L2" s="188"/>
      <c r="M2" s="182"/>
    </row>
    <row r="3" spans="1:14">
      <c r="A3" s="137" t="s">
        <v>174</v>
      </c>
      <c r="B3" s="187"/>
      <c r="C3" s="233" t="str">
        <f>'Quick Response'!F5</f>
        <v>Alfons Lledó</v>
      </c>
      <c r="D3" s="187"/>
      <c r="E3" s="234" t="s">
        <v>173</v>
      </c>
      <c r="F3" s="234"/>
      <c r="G3" s="236">
        <f>'Quick Response'!M5</f>
        <v>0</v>
      </c>
      <c r="H3" s="235"/>
      <c r="I3" s="234" t="s">
        <v>255</v>
      </c>
      <c r="J3" s="233"/>
      <c r="K3" s="232"/>
      <c r="L3" s="186"/>
      <c r="M3" s="182"/>
    </row>
    <row r="4" spans="1:14" ht="13.8" thickBot="1">
      <c r="A4" s="133" t="s">
        <v>170</v>
      </c>
      <c r="B4" s="184"/>
      <c r="C4" s="231" t="str">
        <f>'Quick Response'!F6</f>
        <v>NMAS/2025/006</v>
      </c>
      <c r="D4" s="184"/>
      <c r="E4" s="230" t="s">
        <v>169</v>
      </c>
      <c r="F4" s="184"/>
      <c r="G4" s="229">
        <f>'Quick Response'!M6</f>
        <v>0</v>
      </c>
      <c r="H4" s="227"/>
      <c r="I4" s="228" t="s">
        <v>254</v>
      </c>
      <c r="J4" s="227"/>
      <c r="K4" s="226"/>
      <c r="L4" s="225"/>
      <c r="M4" s="182"/>
    </row>
    <row r="5" spans="1:14">
      <c r="M5" s="182"/>
    </row>
    <row r="6" spans="1:14">
      <c r="M6" s="182"/>
    </row>
    <row r="7" spans="1:14" ht="30" customHeight="1" thickBot="1">
      <c r="A7" s="94"/>
      <c r="B7" s="224" t="s">
        <v>253</v>
      </c>
      <c r="C7" s="564" t="str">
        <f>'Quick Response'!F13</f>
        <v>Brusch Card without continuity</v>
      </c>
      <c r="D7" s="564"/>
      <c r="E7" s="564"/>
      <c r="F7" s="564"/>
      <c r="G7" s="564"/>
      <c r="H7" s="564"/>
      <c r="I7" s="564"/>
      <c r="J7" s="564"/>
      <c r="K7" s="564"/>
      <c r="M7" s="223"/>
    </row>
    <row r="8" spans="1:14" ht="27.75" customHeight="1" thickBot="1">
      <c r="A8" s="222" t="s">
        <v>252</v>
      </c>
      <c r="B8" s="221" t="s">
        <v>251</v>
      </c>
      <c r="C8" s="219" t="s">
        <v>250</v>
      </c>
      <c r="D8" s="220" t="s">
        <v>245</v>
      </c>
      <c r="E8" s="219" t="s">
        <v>249</v>
      </c>
      <c r="F8" s="220" t="s">
        <v>245</v>
      </c>
      <c r="G8" s="219" t="s">
        <v>248</v>
      </c>
      <c r="H8" s="220" t="s">
        <v>245</v>
      </c>
      <c r="I8" s="219" t="s">
        <v>247</v>
      </c>
      <c r="J8" s="220" t="s">
        <v>245</v>
      </c>
      <c r="K8" s="219" t="s">
        <v>246</v>
      </c>
      <c r="L8" s="218" t="s">
        <v>245</v>
      </c>
      <c r="M8" s="182"/>
    </row>
    <row r="9" spans="1:14" ht="13.8" thickBot="1">
      <c r="A9" s="165" t="s">
        <v>224</v>
      </c>
      <c r="B9" s="217"/>
      <c r="C9" s="215"/>
      <c r="D9" s="216"/>
      <c r="E9" s="215"/>
      <c r="F9" s="216"/>
      <c r="G9" s="215"/>
      <c r="H9" s="216"/>
      <c r="I9" s="215"/>
      <c r="J9" s="216"/>
      <c r="K9" s="215"/>
      <c r="L9" s="214"/>
    </row>
    <row r="10" spans="1:14" s="143" customFormat="1">
      <c r="A10" s="213"/>
      <c r="B10" s="203"/>
      <c r="C10" s="203"/>
      <c r="D10" s="204"/>
      <c r="E10" s="203"/>
      <c r="F10" s="204"/>
      <c r="G10" s="203"/>
      <c r="H10" s="204"/>
      <c r="I10" s="203"/>
      <c r="J10" s="204"/>
      <c r="K10" s="203"/>
      <c r="L10" s="204"/>
      <c r="N10" s="212" t="s">
        <v>244</v>
      </c>
    </row>
    <row r="11" spans="1:14">
      <c r="A11" s="211"/>
      <c r="B11" s="199"/>
      <c r="C11" s="199"/>
      <c r="D11" s="200"/>
      <c r="E11" s="199"/>
      <c r="F11" s="200"/>
      <c r="G11" s="199"/>
      <c r="H11" s="200"/>
      <c r="I11" s="199"/>
      <c r="J11" s="200"/>
      <c r="K11" s="199"/>
      <c r="L11" s="200"/>
      <c r="N11" s="212" t="s">
        <v>124</v>
      </c>
    </row>
    <row r="12" spans="1:14" s="143" customFormat="1">
      <c r="A12" s="211"/>
      <c r="B12" s="199"/>
      <c r="C12" s="199"/>
      <c r="D12" s="200"/>
      <c r="E12" s="199"/>
      <c r="F12" s="200"/>
      <c r="G12" s="199"/>
      <c r="H12" s="200"/>
      <c r="I12" s="199"/>
      <c r="J12" s="200"/>
      <c r="K12" s="199"/>
      <c r="L12" s="200"/>
    </row>
    <row r="13" spans="1:14" s="143" customFormat="1">
      <c r="A13" s="211"/>
      <c r="B13" s="199"/>
      <c r="C13" s="199"/>
      <c r="D13" s="200"/>
      <c r="E13" s="199"/>
      <c r="F13" s="200"/>
      <c r="G13" s="199"/>
      <c r="H13" s="200"/>
      <c r="I13" s="199"/>
      <c r="J13" s="200"/>
      <c r="K13" s="199"/>
      <c r="L13" s="200"/>
    </row>
    <row r="14" spans="1:14">
      <c r="A14" s="211"/>
      <c r="B14" s="199"/>
      <c r="C14" s="199"/>
      <c r="D14" s="200"/>
      <c r="E14" s="199"/>
      <c r="F14" s="200"/>
      <c r="G14" s="199"/>
      <c r="H14" s="200"/>
      <c r="I14" s="199"/>
      <c r="J14" s="200"/>
      <c r="K14" s="199"/>
      <c r="L14" s="200"/>
    </row>
    <row r="15" spans="1:14" s="143" customFormat="1" ht="13.8" thickBot="1">
      <c r="A15" s="210"/>
      <c r="B15" s="195"/>
      <c r="C15" s="195"/>
      <c r="D15" s="196"/>
      <c r="E15" s="195"/>
      <c r="F15" s="196"/>
      <c r="G15" s="195"/>
      <c r="H15" s="196"/>
      <c r="I15" s="195"/>
      <c r="J15" s="196"/>
      <c r="K15" s="195"/>
      <c r="L15" s="196"/>
    </row>
    <row r="16" spans="1:14" s="143" customFormat="1" ht="13.8" thickBot="1">
      <c r="A16" s="165" t="s">
        <v>223</v>
      </c>
      <c r="B16" s="209"/>
      <c r="C16" s="207"/>
      <c r="D16" s="208"/>
      <c r="E16" s="207"/>
      <c r="F16" s="208"/>
      <c r="G16" s="207"/>
      <c r="H16" s="208"/>
      <c r="I16" s="207"/>
      <c r="J16" s="208"/>
      <c r="K16" s="207"/>
      <c r="L16" s="206"/>
    </row>
    <row r="17" spans="1:12">
      <c r="A17" s="205"/>
      <c r="B17" s="203"/>
      <c r="C17" s="203"/>
      <c r="D17" s="204"/>
      <c r="E17" s="203"/>
      <c r="F17" s="204"/>
      <c r="G17" s="203"/>
      <c r="H17" s="204"/>
      <c r="I17" s="203"/>
      <c r="J17" s="204"/>
      <c r="K17" s="203"/>
      <c r="L17" s="202"/>
    </row>
    <row r="18" spans="1:12" s="143" customFormat="1">
      <c r="A18" s="201"/>
      <c r="B18" s="199"/>
      <c r="C18" s="199"/>
      <c r="D18" s="200"/>
      <c r="E18" s="199"/>
      <c r="F18" s="200"/>
      <c r="G18" s="199"/>
      <c r="H18" s="200"/>
      <c r="I18" s="199"/>
      <c r="J18" s="200"/>
      <c r="K18" s="199"/>
      <c r="L18" s="198"/>
    </row>
    <row r="19" spans="1:12">
      <c r="A19" s="201"/>
      <c r="B19" s="199"/>
      <c r="C19" s="199"/>
      <c r="D19" s="200"/>
      <c r="E19" s="199"/>
      <c r="F19" s="200"/>
      <c r="G19" s="199"/>
      <c r="H19" s="200"/>
      <c r="I19" s="199"/>
      <c r="J19" s="200"/>
      <c r="K19" s="199"/>
      <c r="L19" s="198"/>
    </row>
    <row r="20" spans="1:12">
      <c r="A20" s="201"/>
      <c r="B20" s="199"/>
      <c r="C20" s="199"/>
      <c r="D20" s="200"/>
      <c r="E20" s="199"/>
      <c r="F20" s="200"/>
      <c r="G20" s="199"/>
      <c r="H20" s="200"/>
      <c r="I20" s="199"/>
      <c r="J20" s="200"/>
      <c r="K20" s="199"/>
      <c r="L20" s="198"/>
    </row>
    <row r="21" spans="1:12">
      <c r="A21" s="201"/>
      <c r="B21" s="199"/>
      <c r="C21" s="199"/>
      <c r="D21" s="200"/>
      <c r="E21" s="199"/>
      <c r="F21" s="200"/>
      <c r="G21" s="199"/>
      <c r="H21" s="200"/>
      <c r="I21" s="199"/>
      <c r="J21" s="200"/>
      <c r="K21" s="199"/>
      <c r="L21" s="198"/>
    </row>
    <row r="22" spans="1:12" ht="13.8" thickBot="1">
      <c r="A22" s="197"/>
      <c r="B22" s="195"/>
      <c r="C22" s="195"/>
      <c r="D22" s="196"/>
      <c r="E22" s="195"/>
      <c r="F22" s="196"/>
      <c r="G22" s="195"/>
      <c r="H22" s="196"/>
      <c r="I22" s="195"/>
      <c r="J22" s="196"/>
      <c r="K22" s="195"/>
      <c r="L22" s="194"/>
    </row>
    <row r="23" spans="1:12">
      <c r="A23" s="193" t="s">
        <v>243</v>
      </c>
      <c r="D23" s="96"/>
      <c r="E23" s="96"/>
      <c r="F23" s="96"/>
      <c r="G23" s="192"/>
      <c r="H23" s="192"/>
      <c r="I23" s="192"/>
      <c r="J23" s="192"/>
      <c r="K23" s="192"/>
      <c r="L23" s="192"/>
    </row>
    <row r="24" spans="1:12">
      <c r="A24" s="143"/>
    </row>
  </sheetData>
  <mergeCells count="2">
    <mergeCell ref="C7:K7"/>
    <mergeCell ref="I1:L1"/>
  </mergeCells>
  <printOptions horizontalCentered="1"/>
  <pageMargins left="0.39370078740157483" right="0.39370078740157483" top="0.39370078740157483" bottom="0.39370078740157483" header="0.19685039370078741" footer="0.19685039370078741"/>
  <pageSetup paperSize="9" scale="80" orientation="landscape" r:id="rId1"/>
  <headerFooter alignWithMargins="0">
    <oddFooter>&amp;L&amp;8&amp;F&amp;C&amp;8Edition 1 - 2015.11.1&amp;R&amp;8Printed &amp;D</oddFooter>
  </headerFooter>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0000000}">
          <x14:formula1>
            <xm:f>$N$10:$N$11</xm:f>
          </x14:formula1>
          <xm:sqref>D10:D15 IZ10:IZ15 SV10:SV15 ACR10:ACR15 AMN10:AMN15 AWJ10:AWJ15 BGF10:BGF15 BQB10:BQB15 BZX10:BZX15 CJT10:CJT15 CTP10:CTP15 DDL10:DDL15 DNH10:DNH15 DXD10:DXD15 EGZ10:EGZ15 EQV10:EQV15 FAR10:FAR15 FKN10:FKN15 FUJ10:FUJ15 GEF10:GEF15 GOB10:GOB15 GXX10:GXX15 HHT10:HHT15 HRP10:HRP15 IBL10:IBL15 ILH10:ILH15 IVD10:IVD15 JEZ10:JEZ15 JOV10:JOV15 JYR10:JYR15 KIN10:KIN15 KSJ10:KSJ15 LCF10:LCF15 LMB10:LMB15 LVX10:LVX15 MFT10:MFT15 MPP10:MPP15 MZL10:MZL15 NJH10:NJH15 NTD10:NTD15 OCZ10:OCZ15 OMV10:OMV15 OWR10:OWR15 PGN10:PGN15 PQJ10:PQJ15 QAF10:QAF15 QKB10:QKB15 QTX10:QTX15 RDT10:RDT15 RNP10:RNP15 RXL10:RXL15 SHH10:SHH15 SRD10:SRD15 TAZ10:TAZ15 TKV10:TKV15 TUR10:TUR15 UEN10:UEN15 UOJ10:UOJ15 UYF10:UYF15 VIB10:VIB15 VRX10:VRX15 WBT10:WBT15 WLP10:WLP15 WVL10:WVL15 D65546:D65551 IZ65546:IZ65551 SV65546:SV65551 ACR65546:ACR65551 AMN65546:AMN65551 AWJ65546:AWJ65551 BGF65546:BGF65551 BQB65546:BQB65551 BZX65546:BZX65551 CJT65546:CJT65551 CTP65546:CTP65551 DDL65546:DDL65551 DNH65546:DNH65551 DXD65546:DXD65551 EGZ65546:EGZ65551 EQV65546:EQV65551 FAR65546:FAR65551 FKN65546:FKN65551 FUJ65546:FUJ65551 GEF65546:GEF65551 GOB65546:GOB65551 GXX65546:GXX65551 HHT65546:HHT65551 HRP65546:HRP65551 IBL65546:IBL65551 ILH65546:ILH65551 IVD65546:IVD65551 JEZ65546:JEZ65551 JOV65546:JOV65551 JYR65546:JYR65551 KIN65546:KIN65551 KSJ65546:KSJ65551 LCF65546:LCF65551 LMB65546:LMB65551 LVX65546:LVX65551 MFT65546:MFT65551 MPP65546:MPP65551 MZL65546:MZL65551 NJH65546:NJH65551 NTD65546:NTD65551 OCZ65546:OCZ65551 OMV65546:OMV65551 OWR65546:OWR65551 PGN65546:PGN65551 PQJ65546:PQJ65551 QAF65546:QAF65551 QKB65546:QKB65551 QTX65546:QTX65551 RDT65546:RDT65551 RNP65546:RNP65551 RXL65546:RXL65551 SHH65546:SHH65551 SRD65546:SRD65551 TAZ65546:TAZ65551 TKV65546:TKV65551 TUR65546:TUR65551 UEN65546:UEN65551 UOJ65546:UOJ65551 UYF65546:UYF65551 VIB65546:VIB65551 VRX65546:VRX65551 WBT65546:WBT65551 WLP65546:WLP65551 WVL65546:WVL65551 D131082:D131087 IZ131082:IZ131087 SV131082:SV131087 ACR131082:ACR131087 AMN131082:AMN131087 AWJ131082:AWJ131087 BGF131082:BGF131087 BQB131082:BQB131087 BZX131082:BZX131087 CJT131082:CJT131087 CTP131082:CTP131087 DDL131082:DDL131087 DNH131082:DNH131087 DXD131082:DXD131087 EGZ131082:EGZ131087 EQV131082:EQV131087 FAR131082:FAR131087 FKN131082:FKN131087 FUJ131082:FUJ131087 GEF131082:GEF131087 GOB131082:GOB131087 GXX131082:GXX131087 HHT131082:HHT131087 HRP131082:HRP131087 IBL131082:IBL131087 ILH131082:ILH131087 IVD131082:IVD131087 JEZ131082:JEZ131087 JOV131082:JOV131087 JYR131082:JYR131087 KIN131082:KIN131087 KSJ131082:KSJ131087 LCF131082:LCF131087 LMB131082:LMB131087 LVX131082:LVX131087 MFT131082:MFT131087 MPP131082:MPP131087 MZL131082:MZL131087 NJH131082:NJH131087 NTD131082:NTD131087 OCZ131082:OCZ131087 OMV131082:OMV131087 OWR131082:OWR131087 PGN131082:PGN131087 PQJ131082:PQJ131087 QAF131082:QAF131087 QKB131082:QKB131087 QTX131082:QTX131087 RDT131082:RDT131087 RNP131082:RNP131087 RXL131082:RXL131087 SHH131082:SHH131087 SRD131082:SRD131087 TAZ131082:TAZ131087 TKV131082:TKV131087 TUR131082:TUR131087 UEN131082:UEN131087 UOJ131082:UOJ131087 UYF131082:UYF131087 VIB131082:VIB131087 VRX131082:VRX131087 WBT131082:WBT131087 WLP131082:WLP131087 WVL131082:WVL131087 D196618:D196623 IZ196618:IZ196623 SV196618:SV196623 ACR196618:ACR196623 AMN196618:AMN196623 AWJ196618:AWJ196623 BGF196618:BGF196623 BQB196618:BQB196623 BZX196618:BZX196623 CJT196618:CJT196623 CTP196618:CTP196623 DDL196618:DDL196623 DNH196618:DNH196623 DXD196618:DXD196623 EGZ196618:EGZ196623 EQV196618:EQV196623 FAR196618:FAR196623 FKN196618:FKN196623 FUJ196618:FUJ196623 GEF196618:GEF196623 GOB196618:GOB196623 GXX196618:GXX196623 HHT196618:HHT196623 HRP196618:HRP196623 IBL196618:IBL196623 ILH196618:ILH196623 IVD196618:IVD196623 JEZ196618:JEZ196623 JOV196618:JOV196623 JYR196618:JYR196623 KIN196618:KIN196623 KSJ196618:KSJ196623 LCF196618:LCF196623 LMB196618:LMB196623 LVX196618:LVX196623 MFT196618:MFT196623 MPP196618:MPP196623 MZL196618:MZL196623 NJH196618:NJH196623 NTD196618:NTD196623 OCZ196618:OCZ196623 OMV196618:OMV196623 OWR196618:OWR196623 PGN196618:PGN196623 PQJ196618:PQJ196623 QAF196618:QAF196623 QKB196618:QKB196623 QTX196618:QTX196623 RDT196618:RDT196623 RNP196618:RNP196623 RXL196618:RXL196623 SHH196618:SHH196623 SRD196618:SRD196623 TAZ196618:TAZ196623 TKV196618:TKV196623 TUR196618:TUR196623 UEN196618:UEN196623 UOJ196618:UOJ196623 UYF196618:UYF196623 VIB196618:VIB196623 VRX196618:VRX196623 WBT196618:WBT196623 WLP196618:WLP196623 WVL196618:WVL196623 D262154:D262159 IZ262154:IZ262159 SV262154:SV262159 ACR262154:ACR262159 AMN262154:AMN262159 AWJ262154:AWJ262159 BGF262154:BGF262159 BQB262154:BQB262159 BZX262154:BZX262159 CJT262154:CJT262159 CTP262154:CTP262159 DDL262154:DDL262159 DNH262154:DNH262159 DXD262154:DXD262159 EGZ262154:EGZ262159 EQV262154:EQV262159 FAR262154:FAR262159 FKN262154:FKN262159 FUJ262154:FUJ262159 GEF262154:GEF262159 GOB262154:GOB262159 GXX262154:GXX262159 HHT262154:HHT262159 HRP262154:HRP262159 IBL262154:IBL262159 ILH262154:ILH262159 IVD262154:IVD262159 JEZ262154:JEZ262159 JOV262154:JOV262159 JYR262154:JYR262159 KIN262154:KIN262159 KSJ262154:KSJ262159 LCF262154:LCF262159 LMB262154:LMB262159 LVX262154:LVX262159 MFT262154:MFT262159 MPP262154:MPP262159 MZL262154:MZL262159 NJH262154:NJH262159 NTD262154:NTD262159 OCZ262154:OCZ262159 OMV262154:OMV262159 OWR262154:OWR262159 PGN262154:PGN262159 PQJ262154:PQJ262159 QAF262154:QAF262159 QKB262154:QKB262159 QTX262154:QTX262159 RDT262154:RDT262159 RNP262154:RNP262159 RXL262154:RXL262159 SHH262154:SHH262159 SRD262154:SRD262159 TAZ262154:TAZ262159 TKV262154:TKV262159 TUR262154:TUR262159 UEN262154:UEN262159 UOJ262154:UOJ262159 UYF262154:UYF262159 VIB262154:VIB262159 VRX262154:VRX262159 WBT262154:WBT262159 WLP262154:WLP262159 WVL262154:WVL262159 D327690:D327695 IZ327690:IZ327695 SV327690:SV327695 ACR327690:ACR327695 AMN327690:AMN327695 AWJ327690:AWJ327695 BGF327690:BGF327695 BQB327690:BQB327695 BZX327690:BZX327695 CJT327690:CJT327695 CTP327690:CTP327695 DDL327690:DDL327695 DNH327690:DNH327695 DXD327690:DXD327695 EGZ327690:EGZ327695 EQV327690:EQV327695 FAR327690:FAR327695 FKN327690:FKN327695 FUJ327690:FUJ327695 GEF327690:GEF327695 GOB327690:GOB327695 GXX327690:GXX327695 HHT327690:HHT327695 HRP327690:HRP327695 IBL327690:IBL327695 ILH327690:ILH327695 IVD327690:IVD327695 JEZ327690:JEZ327695 JOV327690:JOV327695 JYR327690:JYR327695 KIN327690:KIN327695 KSJ327690:KSJ327695 LCF327690:LCF327695 LMB327690:LMB327695 LVX327690:LVX327695 MFT327690:MFT327695 MPP327690:MPP327695 MZL327690:MZL327695 NJH327690:NJH327695 NTD327690:NTD327695 OCZ327690:OCZ327695 OMV327690:OMV327695 OWR327690:OWR327695 PGN327690:PGN327695 PQJ327690:PQJ327695 QAF327690:QAF327695 QKB327690:QKB327695 QTX327690:QTX327695 RDT327690:RDT327695 RNP327690:RNP327695 RXL327690:RXL327695 SHH327690:SHH327695 SRD327690:SRD327695 TAZ327690:TAZ327695 TKV327690:TKV327695 TUR327690:TUR327695 UEN327690:UEN327695 UOJ327690:UOJ327695 UYF327690:UYF327695 VIB327690:VIB327695 VRX327690:VRX327695 WBT327690:WBT327695 WLP327690:WLP327695 WVL327690:WVL327695 D393226:D393231 IZ393226:IZ393231 SV393226:SV393231 ACR393226:ACR393231 AMN393226:AMN393231 AWJ393226:AWJ393231 BGF393226:BGF393231 BQB393226:BQB393231 BZX393226:BZX393231 CJT393226:CJT393231 CTP393226:CTP393231 DDL393226:DDL393231 DNH393226:DNH393231 DXD393226:DXD393231 EGZ393226:EGZ393231 EQV393226:EQV393231 FAR393226:FAR393231 FKN393226:FKN393231 FUJ393226:FUJ393231 GEF393226:GEF393231 GOB393226:GOB393231 GXX393226:GXX393231 HHT393226:HHT393231 HRP393226:HRP393231 IBL393226:IBL393231 ILH393226:ILH393231 IVD393226:IVD393231 JEZ393226:JEZ393231 JOV393226:JOV393231 JYR393226:JYR393231 KIN393226:KIN393231 KSJ393226:KSJ393231 LCF393226:LCF393231 LMB393226:LMB393231 LVX393226:LVX393231 MFT393226:MFT393231 MPP393226:MPP393231 MZL393226:MZL393231 NJH393226:NJH393231 NTD393226:NTD393231 OCZ393226:OCZ393231 OMV393226:OMV393231 OWR393226:OWR393231 PGN393226:PGN393231 PQJ393226:PQJ393231 QAF393226:QAF393231 QKB393226:QKB393231 QTX393226:QTX393231 RDT393226:RDT393231 RNP393226:RNP393231 RXL393226:RXL393231 SHH393226:SHH393231 SRD393226:SRD393231 TAZ393226:TAZ393231 TKV393226:TKV393231 TUR393226:TUR393231 UEN393226:UEN393231 UOJ393226:UOJ393231 UYF393226:UYF393231 VIB393226:VIB393231 VRX393226:VRX393231 WBT393226:WBT393231 WLP393226:WLP393231 WVL393226:WVL393231 D458762:D458767 IZ458762:IZ458767 SV458762:SV458767 ACR458762:ACR458767 AMN458762:AMN458767 AWJ458762:AWJ458767 BGF458762:BGF458767 BQB458762:BQB458767 BZX458762:BZX458767 CJT458762:CJT458767 CTP458762:CTP458767 DDL458762:DDL458767 DNH458762:DNH458767 DXD458762:DXD458767 EGZ458762:EGZ458767 EQV458762:EQV458767 FAR458762:FAR458767 FKN458762:FKN458767 FUJ458762:FUJ458767 GEF458762:GEF458767 GOB458762:GOB458767 GXX458762:GXX458767 HHT458762:HHT458767 HRP458762:HRP458767 IBL458762:IBL458767 ILH458762:ILH458767 IVD458762:IVD458767 JEZ458762:JEZ458767 JOV458762:JOV458767 JYR458762:JYR458767 KIN458762:KIN458767 KSJ458762:KSJ458767 LCF458762:LCF458767 LMB458762:LMB458767 LVX458762:LVX458767 MFT458762:MFT458767 MPP458762:MPP458767 MZL458762:MZL458767 NJH458762:NJH458767 NTD458762:NTD458767 OCZ458762:OCZ458767 OMV458762:OMV458767 OWR458762:OWR458767 PGN458762:PGN458767 PQJ458762:PQJ458767 QAF458762:QAF458767 QKB458762:QKB458767 QTX458762:QTX458767 RDT458762:RDT458767 RNP458762:RNP458767 RXL458762:RXL458767 SHH458762:SHH458767 SRD458762:SRD458767 TAZ458762:TAZ458767 TKV458762:TKV458767 TUR458762:TUR458767 UEN458762:UEN458767 UOJ458762:UOJ458767 UYF458762:UYF458767 VIB458762:VIB458767 VRX458762:VRX458767 WBT458762:WBT458767 WLP458762:WLP458767 WVL458762:WVL458767 D524298:D524303 IZ524298:IZ524303 SV524298:SV524303 ACR524298:ACR524303 AMN524298:AMN524303 AWJ524298:AWJ524303 BGF524298:BGF524303 BQB524298:BQB524303 BZX524298:BZX524303 CJT524298:CJT524303 CTP524298:CTP524303 DDL524298:DDL524303 DNH524298:DNH524303 DXD524298:DXD524303 EGZ524298:EGZ524303 EQV524298:EQV524303 FAR524298:FAR524303 FKN524298:FKN524303 FUJ524298:FUJ524303 GEF524298:GEF524303 GOB524298:GOB524303 GXX524298:GXX524303 HHT524298:HHT524303 HRP524298:HRP524303 IBL524298:IBL524303 ILH524298:ILH524303 IVD524298:IVD524303 JEZ524298:JEZ524303 JOV524298:JOV524303 JYR524298:JYR524303 KIN524298:KIN524303 KSJ524298:KSJ524303 LCF524298:LCF524303 LMB524298:LMB524303 LVX524298:LVX524303 MFT524298:MFT524303 MPP524298:MPP524303 MZL524298:MZL524303 NJH524298:NJH524303 NTD524298:NTD524303 OCZ524298:OCZ524303 OMV524298:OMV524303 OWR524298:OWR524303 PGN524298:PGN524303 PQJ524298:PQJ524303 QAF524298:QAF524303 QKB524298:QKB524303 QTX524298:QTX524303 RDT524298:RDT524303 RNP524298:RNP524303 RXL524298:RXL524303 SHH524298:SHH524303 SRD524298:SRD524303 TAZ524298:TAZ524303 TKV524298:TKV524303 TUR524298:TUR524303 UEN524298:UEN524303 UOJ524298:UOJ524303 UYF524298:UYF524303 VIB524298:VIB524303 VRX524298:VRX524303 WBT524298:WBT524303 WLP524298:WLP524303 WVL524298:WVL524303 D589834:D589839 IZ589834:IZ589839 SV589834:SV589839 ACR589834:ACR589839 AMN589834:AMN589839 AWJ589834:AWJ589839 BGF589834:BGF589839 BQB589834:BQB589839 BZX589834:BZX589839 CJT589834:CJT589839 CTP589834:CTP589839 DDL589834:DDL589839 DNH589834:DNH589839 DXD589834:DXD589839 EGZ589834:EGZ589839 EQV589834:EQV589839 FAR589834:FAR589839 FKN589834:FKN589839 FUJ589834:FUJ589839 GEF589834:GEF589839 GOB589834:GOB589839 GXX589834:GXX589839 HHT589834:HHT589839 HRP589834:HRP589839 IBL589834:IBL589839 ILH589834:ILH589839 IVD589834:IVD589839 JEZ589834:JEZ589839 JOV589834:JOV589839 JYR589834:JYR589839 KIN589834:KIN589839 KSJ589834:KSJ589839 LCF589834:LCF589839 LMB589834:LMB589839 LVX589834:LVX589839 MFT589834:MFT589839 MPP589834:MPP589839 MZL589834:MZL589839 NJH589834:NJH589839 NTD589834:NTD589839 OCZ589834:OCZ589839 OMV589834:OMV589839 OWR589834:OWR589839 PGN589834:PGN589839 PQJ589834:PQJ589839 QAF589834:QAF589839 QKB589834:QKB589839 QTX589834:QTX589839 RDT589834:RDT589839 RNP589834:RNP589839 RXL589834:RXL589839 SHH589834:SHH589839 SRD589834:SRD589839 TAZ589834:TAZ589839 TKV589834:TKV589839 TUR589834:TUR589839 UEN589834:UEN589839 UOJ589834:UOJ589839 UYF589834:UYF589839 VIB589834:VIB589839 VRX589834:VRX589839 WBT589834:WBT589839 WLP589834:WLP589839 WVL589834:WVL589839 D655370:D655375 IZ655370:IZ655375 SV655370:SV655375 ACR655370:ACR655375 AMN655370:AMN655375 AWJ655370:AWJ655375 BGF655370:BGF655375 BQB655370:BQB655375 BZX655370:BZX655375 CJT655370:CJT655375 CTP655370:CTP655375 DDL655370:DDL655375 DNH655370:DNH655375 DXD655370:DXD655375 EGZ655370:EGZ655375 EQV655370:EQV655375 FAR655370:FAR655375 FKN655370:FKN655375 FUJ655370:FUJ655375 GEF655370:GEF655375 GOB655370:GOB655375 GXX655370:GXX655375 HHT655370:HHT655375 HRP655370:HRP655375 IBL655370:IBL655375 ILH655370:ILH655375 IVD655370:IVD655375 JEZ655370:JEZ655375 JOV655370:JOV655375 JYR655370:JYR655375 KIN655370:KIN655375 KSJ655370:KSJ655375 LCF655370:LCF655375 LMB655370:LMB655375 LVX655370:LVX655375 MFT655370:MFT655375 MPP655370:MPP655375 MZL655370:MZL655375 NJH655370:NJH655375 NTD655370:NTD655375 OCZ655370:OCZ655375 OMV655370:OMV655375 OWR655370:OWR655375 PGN655370:PGN655375 PQJ655370:PQJ655375 QAF655370:QAF655375 QKB655370:QKB655375 QTX655370:QTX655375 RDT655370:RDT655375 RNP655370:RNP655375 RXL655370:RXL655375 SHH655370:SHH655375 SRD655370:SRD655375 TAZ655370:TAZ655375 TKV655370:TKV655375 TUR655370:TUR655375 UEN655370:UEN655375 UOJ655370:UOJ655375 UYF655370:UYF655375 VIB655370:VIB655375 VRX655370:VRX655375 WBT655370:WBT655375 WLP655370:WLP655375 WVL655370:WVL655375 D720906:D720911 IZ720906:IZ720911 SV720906:SV720911 ACR720906:ACR720911 AMN720906:AMN720911 AWJ720906:AWJ720911 BGF720906:BGF720911 BQB720906:BQB720911 BZX720906:BZX720911 CJT720906:CJT720911 CTP720906:CTP720911 DDL720906:DDL720911 DNH720906:DNH720911 DXD720906:DXD720911 EGZ720906:EGZ720911 EQV720906:EQV720911 FAR720906:FAR720911 FKN720906:FKN720911 FUJ720906:FUJ720911 GEF720906:GEF720911 GOB720906:GOB720911 GXX720906:GXX720911 HHT720906:HHT720911 HRP720906:HRP720911 IBL720906:IBL720911 ILH720906:ILH720911 IVD720906:IVD720911 JEZ720906:JEZ720911 JOV720906:JOV720911 JYR720906:JYR720911 KIN720906:KIN720911 KSJ720906:KSJ720911 LCF720906:LCF720911 LMB720906:LMB720911 LVX720906:LVX720911 MFT720906:MFT720911 MPP720906:MPP720911 MZL720906:MZL720911 NJH720906:NJH720911 NTD720906:NTD720911 OCZ720906:OCZ720911 OMV720906:OMV720911 OWR720906:OWR720911 PGN720906:PGN720911 PQJ720906:PQJ720911 QAF720906:QAF720911 QKB720906:QKB720911 QTX720906:QTX720911 RDT720906:RDT720911 RNP720906:RNP720911 RXL720906:RXL720911 SHH720906:SHH720911 SRD720906:SRD720911 TAZ720906:TAZ720911 TKV720906:TKV720911 TUR720906:TUR720911 UEN720906:UEN720911 UOJ720906:UOJ720911 UYF720906:UYF720911 VIB720906:VIB720911 VRX720906:VRX720911 WBT720906:WBT720911 WLP720906:WLP720911 WVL720906:WVL720911 D786442:D786447 IZ786442:IZ786447 SV786442:SV786447 ACR786442:ACR786447 AMN786442:AMN786447 AWJ786442:AWJ786447 BGF786442:BGF786447 BQB786442:BQB786447 BZX786442:BZX786447 CJT786442:CJT786447 CTP786442:CTP786447 DDL786442:DDL786447 DNH786442:DNH786447 DXD786442:DXD786447 EGZ786442:EGZ786447 EQV786442:EQV786447 FAR786442:FAR786447 FKN786442:FKN786447 FUJ786442:FUJ786447 GEF786442:GEF786447 GOB786442:GOB786447 GXX786442:GXX786447 HHT786442:HHT786447 HRP786442:HRP786447 IBL786442:IBL786447 ILH786442:ILH786447 IVD786442:IVD786447 JEZ786442:JEZ786447 JOV786442:JOV786447 JYR786442:JYR786447 KIN786442:KIN786447 KSJ786442:KSJ786447 LCF786442:LCF786447 LMB786442:LMB786447 LVX786442:LVX786447 MFT786442:MFT786447 MPP786442:MPP786447 MZL786442:MZL786447 NJH786442:NJH786447 NTD786442:NTD786447 OCZ786442:OCZ786447 OMV786442:OMV786447 OWR786442:OWR786447 PGN786442:PGN786447 PQJ786442:PQJ786447 QAF786442:QAF786447 QKB786442:QKB786447 QTX786442:QTX786447 RDT786442:RDT786447 RNP786442:RNP786447 RXL786442:RXL786447 SHH786442:SHH786447 SRD786442:SRD786447 TAZ786442:TAZ786447 TKV786442:TKV786447 TUR786442:TUR786447 UEN786442:UEN786447 UOJ786442:UOJ786447 UYF786442:UYF786447 VIB786442:VIB786447 VRX786442:VRX786447 WBT786442:WBT786447 WLP786442:WLP786447 WVL786442:WVL786447 D851978:D851983 IZ851978:IZ851983 SV851978:SV851983 ACR851978:ACR851983 AMN851978:AMN851983 AWJ851978:AWJ851983 BGF851978:BGF851983 BQB851978:BQB851983 BZX851978:BZX851983 CJT851978:CJT851983 CTP851978:CTP851983 DDL851978:DDL851983 DNH851978:DNH851983 DXD851978:DXD851983 EGZ851978:EGZ851983 EQV851978:EQV851983 FAR851978:FAR851983 FKN851978:FKN851983 FUJ851978:FUJ851983 GEF851978:GEF851983 GOB851978:GOB851983 GXX851978:GXX851983 HHT851978:HHT851983 HRP851978:HRP851983 IBL851978:IBL851983 ILH851978:ILH851983 IVD851978:IVD851983 JEZ851978:JEZ851983 JOV851978:JOV851983 JYR851978:JYR851983 KIN851978:KIN851983 KSJ851978:KSJ851983 LCF851978:LCF851983 LMB851978:LMB851983 LVX851978:LVX851983 MFT851978:MFT851983 MPP851978:MPP851983 MZL851978:MZL851983 NJH851978:NJH851983 NTD851978:NTD851983 OCZ851978:OCZ851983 OMV851978:OMV851983 OWR851978:OWR851983 PGN851978:PGN851983 PQJ851978:PQJ851983 QAF851978:QAF851983 QKB851978:QKB851983 QTX851978:QTX851983 RDT851978:RDT851983 RNP851978:RNP851983 RXL851978:RXL851983 SHH851978:SHH851983 SRD851978:SRD851983 TAZ851978:TAZ851983 TKV851978:TKV851983 TUR851978:TUR851983 UEN851978:UEN851983 UOJ851978:UOJ851983 UYF851978:UYF851983 VIB851978:VIB851983 VRX851978:VRX851983 WBT851978:WBT851983 WLP851978:WLP851983 WVL851978:WVL851983 D917514:D917519 IZ917514:IZ917519 SV917514:SV917519 ACR917514:ACR917519 AMN917514:AMN917519 AWJ917514:AWJ917519 BGF917514:BGF917519 BQB917514:BQB917519 BZX917514:BZX917519 CJT917514:CJT917519 CTP917514:CTP917519 DDL917514:DDL917519 DNH917514:DNH917519 DXD917514:DXD917519 EGZ917514:EGZ917519 EQV917514:EQV917519 FAR917514:FAR917519 FKN917514:FKN917519 FUJ917514:FUJ917519 GEF917514:GEF917519 GOB917514:GOB917519 GXX917514:GXX917519 HHT917514:HHT917519 HRP917514:HRP917519 IBL917514:IBL917519 ILH917514:ILH917519 IVD917514:IVD917519 JEZ917514:JEZ917519 JOV917514:JOV917519 JYR917514:JYR917519 KIN917514:KIN917519 KSJ917514:KSJ917519 LCF917514:LCF917519 LMB917514:LMB917519 LVX917514:LVX917519 MFT917514:MFT917519 MPP917514:MPP917519 MZL917514:MZL917519 NJH917514:NJH917519 NTD917514:NTD917519 OCZ917514:OCZ917519 OMV917514:OMV917519 OWR917514:OWR917519 PGN917514:PGN917519 PQJ917514:PQJ917519 QAF917514:QAF917519 QKB917514:QKB917519 QTX917514:QTX917519 RDT917514:RDT917519 RNP917514:RNP917519 RXL917514:RXL917519 SHH917514:SHH917519 SRD917514:SRD917519 TAZ917514:TAZ917519 TKV917514:TKV917519 TUR917514:TUR917519 UEN917514:UEN917519 UOJ917514:UOJ917519 UYF917514:UYF917519 VIB917514:VIB917519 VRX917514:VRX917519 WBT917514:WBT917519 WLP917514:WLP917519 WVL917514:WVL917519 D983050:D983055 IZ983050:IZ983055 SV983050:SV983055 ACR983050:ACR983055 AMN983050:AMN983055 AWJ983050:AWJ983055 BGF983050:BGF983055 BQB983050:BQB983055 BZX983050:BZX983055 CJT983050:CJT983055 CTP983050:CTP983055 DDL983050:DDL983055 DNH983050:DNH983055 DXD983050:DXD983055 EGZ983050:EGZ983055 EQV983050:EQV983055 FAR983050:FAR983055 FKN983050:FKN983055 FUJ983050:FUJ983055 GEF983050:GEF983055 GOB983050:GOB983055 GXX983050:GXX983055 HHT983050:HHT983055 HRP983050:HRP983055 IBL983050:IBL983055 ILH983050:ILH983055 IVD983050:IVD983055 JEZ983050:JEZ983055 JOV983050:JOV983055 JYR983050:JYR983055 KIN983050:KIN983055 KSJ983050:KSJ983055 LCF983050:LCF983055 LMB983050:LMB983055 LVX983050:LVX983055 MFT983050:MFT983055 MPP983050:MPP983055 MZL983050:MZL983055 NJH983050:NJH983055 NTD983050:NTD983055 OCZ983050:OCZ983055 OMV983050:OMV983055 OWR983050:OWR983055 PGN983050:PGN983055 PQJ983050:PQJ983055 QAF983050:QAF983055 QKB983050:QKB983055 QTX983050:QTX983055 RDT983050:RDT983055 RNP983050:RNP983055 RXL983050:RXL983055 SHH983050:SHH983055 SRD983050:SRD983055 TAZ983050:TAZ983055 TKV983050:TKV983055 TUR983050:TUR983055 UEN983050:UEN983055 UOJ983050:UOJ983055 UYF983050:UYF983055 VIB983050:VIB983055 VRX983050:VRX983055 WBT983050:WBT983055 WLP983050:WLP983055 WVL983050:WVL983055 D17:D22 IZ17:IZ22 SV17:SV22 ACR17:ACR22 AMN17:AMN22 AWJ17:AWJ22 BGF17:BGF22 BQB17:BQB22 BZX17:BZX22 CJT17:CJT22 CTP17:CTP22 DDL17:DDL22 DNH17:DNH22 DXD17:DXD22 EGZ17:EGZ22 EQV17:EQV22 FAR17:FAR22 FKN17:FKN22 FUJ17:FUJ22 GEF17:GEF22 GOB17:GOB22 GXX17:GXX22 HHT17:HHT22 HRP17:HRP22 IBL17:IBL22 ILH17:ILH22 IVD17:IVD22 JEZ17:JEZ22 JOV17:JOV22 JYR17:JYR22 KIN17:KIN22 KSJ17:KSJ22 LCF17:LCF22 LMB17:LMB22 LVX17:LVX22 MFT17:MFT22 MPP17:MPP22 MZL17:MZL22 NJH17:NJH22 NTD17:NTD22 OCZ17:OCZ22 OMV17:OMV22 OWR17:OWR22 PGN17:PGN22 PQJ17:PQJ22 QAF17:QAF22 QKB17:QKB22 QTX17:QTX22 RDT17:RDT22 RNP17:RNP22 RXL17:RXL22 SHH17:SHH22 SRD17:SRD22 TAZ17:TAZ22 TKV17:TKV22 TUR17:TUR22 UEN17:UEN22 UOJ17:UOJ22 UYF17:UYF22 VIB17:VIB22 VRX17:VRX22 WBT17:WBT22 WLP17:WLP22 WVL17:WVL22 D65553:D65558 IZ65553:IZ65558 SV65553:SV65558 ACR65553:ACR65558 AMN65553:AMN65558 AWJ65553:AWJ65558 BGF65553:BGF65558 BQB65553:BQB65558 BZX65553:BZX65558 CJT65553:CJT65558 CTP65553:CTP65558 DDL65553:DDL65558 DNH65553:DNH65558 DXD65553:DXD65558 EGZ65553:EGZ65558 EQV65553:EQV65558 FAR65553:FAR65558 FKN65553:FKN65558 FUJ65553:FUJ65558 GEF65553:GEF65558 GOB65553:GOB65558 GXX65553:GXX65558 HHT65553:HHT65558 HRP65553:HRP65558 IBL65553:IBL65558 ILH65553:ILH65558 IVD65553:IVD65558 JEZ65553:JEZ65558 JOV65553:JOV65558 JYR65553:JYR65558 KIN65553:KIN65558 KSJ65553:KSJ65558 LCF65553:LCF65558 LMB65553:LMB65558 LVX65553:LVX65558 MFT65553:MFT65558 MPP65553:MPP65558 MZL65553:MZL65558 NJH65553:NJH65558 NTD65553:NTD65558 OCZ65553:OCZ65558 OMV65553:OMV65558 OWR65553:OWR65558 PGN65553:PGN65558 PQJ65553:PQJ65558 QAF65553:QAF65558 QKB65553:QKB65558 QTX65553:QTX65558 RDT65553:RDT65558 RNP65553:RNP65558 RXL65553:RXL65558 SHH65553:SHH65558 SRD65553:SRD65558 TAZ65553:TAZ65558 TKV65553:TKV65558 TUR65553:TUR65558 UEN65553:UEN65558 UOJ65553:UOJ65558 UYF65553:UYF65558 VIB65553:VIB65558 VRX65553:VRX65558 WBT65553:WBT65558 WLP65553:WLP65558 WVL65553:WVL65558 D131089:D131094 IZ131089:IZ131094 SV131089:SV131094 ACR131089:ACR131094 AMN131089:AMN131094 AWJ131089:AWJ131094 BGF131089:BGF131094 BQB131089:BQB131094 BZX131089:BZX131094 CJT131089:CJT131094 CTP131089:CTP131094 DDL131089:DDL131094 DNH131089:DNH131094 DXD131089:DXD131094 EGZ131089:EGZ131094 EQV131089:EQV131094 FAR131089:FAR131094 FKN131089:FKN131094 FUJ131089:FUJ131094 GEF131089:GEF131094 GOB131089:GOB131094 GXX131089:GXX131094 HHT131089:HHT131094 HRP131089:HRP131094 IBL131089:IBL131094 ILH131089:ILH131094 IVD131089:IVD131094 JEZ131089:JEZ131094 JOV131089:JOV131094 JYR131089:JYR131094 KIN131089:KIN131094 KSJ131089:KSJ131094 LCF131089:LCF131094 LMB131089:LMB131094 LVX131089:LVX131094 MFT131089:MFT131094 MPP131089:MPP131094 MZL131089:MZL131094 NJH131089:NJH131094 NTD131089:NTD131094 OCZ131089:OCZ131094 OMV131089:OMV131094 OWR131089:OWR131094 PGN131089:PGN131094 PQJ131089:PQJ131094 QAF131089:QAF131094 QKB131089:QKB131094 QTX131089:QTX131094 RDT131089:RDT131094 RNP131089:RNP131094 RXL131089:RXL131094 SHH131089:SHH131094 SRD131089:SRD131094 TAZ131089:TAZ131094 TKV131089:TKV131094 TUR131089:TUR131094 UEN131089:UEN131094 UOJ131089:UOJ131094 UYF131089:UYF131094 VIB131089:VIB131094 VRX131089:VRX131094 WBT131089:WBT131094 WLP131089:WLP131094 WVL131089:WVL131094 D196625:D196630 IZ196625:IZ196630 SV196625:SV196630 ACR196625:ACR196630 AMN196625:AMN196630 AWJ196625:AWJ196630 BGF196625:BGF196630 BQB196625:BQB196630 BZX196625:BZX196630 CJT196625:CJT196630 CTP196625:CTP196630 DDL196625:DDL196630 DNH196625:DNH196630 DXD196625:DXD196630 EGZ196625:EGZ196630 EQV196625:EQV196630 FAR196625:FAR196630 FKN196625:FKN196630 FUJ196625:FUJ196630 GEF196625:GEF196630 GOB196625:GOB196630 GXX196625:GXX196630 HHT196625:HHT196630 HRP196625:HRP196630 IBL196625:IBL196630 ILH196625:ILH196630 IVD196625:IVD196630 JEZ196625:JEZ196630 JOV196625:JOV196630 JYR196625:JYR196630 KIN196625:KIN196630 KSJ196625:KSJ196630 LCF196625:LCF196630 LMB196625:LMB196630 LVX196625:LVX196630 MFT196625:MFT196630 MPP196625:MPP196630 MZL196625:MZL196630 NJH196625:NJH196630 NTD196625:NTD196630 OCZ196625:OCZ196630 OMV196625:OMV196630 OWR196625:OWR196630 PGN196625:PGN196630 PQJ196625:PQJ196630 QAF196625:QAF196630 QKB196625:QKB196630 QTX196625:QTX196630 RDT196625:RDT196630 RNP196625:RNP196630 RXL196625:RXL196630 SHH196625:SHH196630 SRD196625:SRD196630 TAZ196625:TAZ196630 TKV196625:TKV196630 TUR196625:TUR196630 UEN196625:UEN196630 UOJ196625:UOJ196630 UYF196625:UYF196630 VIB196625:VIB196630 VRX196625:VRX196630 WBT196625:WBT196630 WLP196625:WLP196630 WVL196625:WVL196630 D262161:D262166 IZ262161:IZ262166 SV262161:SV262166 ACR262161:ACR262166 AMN262161:AMN262166 AWJ262161:AWJ262166 BGF262161:BGF262166 BQB262161:BQB262166 BZX262161:BZX262166 CJT262161:CJT262166 CTP262161:CTP262166 DDL262161:DDL262166 DNH262161:DNH262166 DXD262161:DXD262166 EGZ262161:EGZ262166 EQV262161:EQV262166 FAR262161:FAR262166 FKN262161:FKN262166 FUJ262161:FUJ262166 GEF262161:GEF262166 GOB262161:GOB262166 GXX262161:GXX262166 HHT262161:HHT262166 HRP262161:HRP262166 IBL262161:IBL262166 ILH262161:ILH262166 IVD262161:IVD262166 JEZ262161:JEZ262166 JOV262161:JOV262166 JYR262161:JYR262166 KIN262161:KIN262166 KSJ262161:KSJ262166 LCF262161:LCF262166 LMB262161:LMB262166 LVX262161:LVX262166 MFT262161:MFT262166 MPP262161:MPP262166 MZL262161:MZL262166 NJH262161:NJH262166 NTD262161:NTD262166 OCZ262161:OCZ262166 OMV262161:OMV262166 OWR262161:OWR262166 PGN262161:PGN262166 PQJ262161:PQJ262166 QAF262161:QAF262166 QKB262161:QKB262166 QTX262161:QTX262166 RDT262161:RDT262166 RNP262161:RNP262166 RXL262161:RXL262166 SHH262161:SHH262166 SRD262161:SRD262166 TAZ262161:TAZ262166 TKV262161:TKV262166 TUR262161:TUR262166 UEN262161:UEN262166 UOJ262161:UOJ262166 UYF262161:UYF262166 VIB262161:VIB262166 VRX262161:VRX262166 WBT262161:WBT262166 WLP262161:WLP262166 WVL262161:WVL262166 D327697:D327702 IZ327697:IZ327702 SV327697:SV327702 ACR327697:ACR327702 AMN327697:AMN327702 AWJ327697:AWJ327702 BGF327697:BGF327702 BQB327697:BQB327702 BZX327697:BZX327702 CJT327697:CJT327702 CTP327697:CTP327702 DDL327697:DDL327702 DNH327697:DNH327702 DXD327697:DXD327702 EGZ327697:EGZ327702 EQV327697:EQV327702 FAR327697:FAR327702 FKN327697:FKN327702 FUJ327697:FUJ327702 GEF327697:GEF327702 GOB327697:GOB327702 GXX327697:GXX327702 HHT327697:HHT327702 HRP327697:HRP327702 IBL327697:IBL327702 ILH327697:ILH327702 IVD327697:IVD327702 JEZ327697:JEZ327702 JOV327697:JOV327702 JYR327697:JYR327702 KIN327697:KIN327702 KSJ327697:KSJ327702 LCF327697:LCF327702 LMB327697:LMB327702 LVX327697:LVX327702 MFT327697:MFT327702 MPP327697:MPP327702 MZL327697:MZL327702 NJH327697:NJH327702 NTD327697:NTD327702 OCZ327697:OCZ327702 OMV327697:OMV327702 OWR327697:OWR327702 PGN327697:PGN327702 PQJ327697:PQJ327702 QAF327697:QAF327702 QKB327697:QKB327702 QTX327697:QTX327702 RDT327697:RDT327702 RNP327697:RNP327702 RXL327697:RXL327702 SHH327697:SHH327702 SRD327697:SRD327702 TAZ327697:TAZ327702 TKV327697:TKV327702 TUR327697:TUR327702 UEN327697:UEN327702 UOJ327697:UOJ327702 UYF327697:UYF327702 VIB327697:VIB327702 VRX327697:VRX327702 WBT327697:WBT327702 WLP327697:WLP327702 WVL327697:WVL327702 D393233:D393238 IZ393233:IZ393238 SV393233:SV393238 ACR393233:ACR393238 AMN393233:AMN393238 AWJ393233:AWJ393238 BGF393233:BGF393238 BQB393233:BQB393238 BZX393233:BZX393238 CJT393233:CJT393238 CTP393233:CTP393238 DDL393233:DDL393238 DNH393233:DNH393238 DXD393233:DXD393238 EGZ393233:EGZ393238 EQV393233:EQV393238 FAR393233:FAR393238 FKN393233:FKN393238 FUJ393233:FUJ393238 GEF393233:GEF393238 GOB393233:GOB393238 GXX393233:GXX393238 HHT393233:HHT393238 HRP393233:HRP393238 IBL393233:IBL393238 ILH393233:ILH393238 IVD393233:IVD393238 JEZ393233:JEZ393238 JOV393233:JOV393238 JYR393233:JYR393238 KIN393233:KIN393238 KSJ393233:KSJ393238 LCF393233:LCF393238 LMB393233:LMB393238 LVX393233:LVX393238 MFT393233:MFT393238 MPP393233:MPP393238 MZL393233:MZL393238 NJH393233:NJH393238 NTD393233:NTD393238 OCZ393233:OCZ393238 OMV393233:OMV393238 OWR393233:OWR393238 PGN393233:PGN393238 PQJ393233:PQJ393238 QAF393233:QAF393238 QKB393233:QKB393238 QTX393233:QTX393238 RDT393233:RDT393238 RNP393233:RNP393238 RXL393233:RXL393238 SHH393233:SHH393238 SRD393233:SRD393238 TAZ393233:TAZ393238 TKV393233:TKV393238 TUR393233:TUR393238 UEN393233:UEN393238 UOJ393233:UOJ393238 UYF393233:UYF393238 VIB393233:VIB393238 VRX393233:VRX393238 WBT393233:WBT393238 WLP393233:WLP393238 WVL393233:WVL393238 D458769:D458774 IZ458769:IZ458774 SV458769:SV458774 ACR458769:ACR458774 AMN458769:AMN458774 AWJ458769:AWJ458774 BGF458769:BGF458774 BQB458769:BQB458774 BZX458769:BZX458774 CJT458769:CJT458774 CTP458769:CTP458774 DDL458769:DDL458774 DNH458769:DNH458774 DXD458769:DXD458774 EGZ458769:EGZ458774 EQV458769:EQV458774 FAR458769:FAR458774 FKN458769:FKN458774 FUJ458769:FUJ458774 GEF458769:GEF458774 GOB458769:GOB458774 GXX458769:GXX458774 HHT458769:HHT458774 HRP458769:HRP458774 IBL458769:IBL458774 ILH458769:ILH458774 IVD458769:IVD458774 JEZ458769:JEZ458774 JOV458769:JOV458774 JYR458769:JYR458774 KIN458769:KIN458774 KSJ458769:KSJ458774 LCF458769:LCF458774 LMB458769:LMB458774 LVX458769:LVX458774 MFT458769:MFT458774 MPP458769:MPP458774 MZL458769:MZL458774 NJH458769:NJH458774 NTD458769:NTD458774 OCZ458769:OCZ458774 OMV458769:OMV458774 OWR458769:OWR458774 PGN458769:PGN458774 PQJ458769:PQJ458774 QAF458769:QAF458774 QKB458769:QKB458774 QTX458769:QTX458774 RDT458769:RDT458774 RNP458769:RNP458774 RXL458769:RXL458774 SHH458769:SHH458774 SRD458769:SRD458774 TAZ458769:TAZ458774 TKV458769:TKV458774 TUR458769:TUR458774 UEN458769:UEN458774 UOJ458769:UOJ458774 UYF458769:UYF458774 VIB458769:VIB458774 VRX458769:VRX458774 WBT458769:WBT458774 WLP458769:WLP458774 WVL458769:WVL458774 D524305:D524310 IZ524305:IZ524310 SV524305:SV524310 ACR524305:ACR524310 AMN524305:AMN524310 AWJ524305:AWJ524310 BGF524305:BGF524310 BQB524305:BQB524310 BZX524305:BZX524310 CJT524305:CJT524310 CTP524305:CTP524310 DDL524305:DDL524310 DNH524305:DNH524310 DXD524305:DXD524310 EGZ524305:EGZ524310 EQV524305:EQV524310 FAR524305:FAR524310 FKN524305:FKN524310 FUJ524305:FUJ524310 GEF524305:GEF524310 GOB524305:GOB524310 GXX524305:GXX524310 HHT524305:HHT524310 HRP524305:HRP524310 IBL524305:IBL524310 ILH524305:ILH524310 IVD524305:IVD524310 JEZ524305:JEZ524310 JOV524305:JOV524310 JYR524305:JYR524310 KIN524305:KIN524310 KSJ524305:KSJ524310 LCF524305:LCF524310 LMB524305:LMB524310 LVX524305:LVX524310 MFT524305:MFT524310 MPP524305:MPP524310 MZL524305:MZL524310 NJH524305:NJH524310 NTD524305:NTD524310 OCZ524305:OCZ524310 OMV524305:OMV524310 OWR524305:OWR524310 PGN524305:PGN524310 PQJ524305:PQJ524310 QAF524305:QAF524310 QKB524305:QKB524310 QTX524305:QTX524310 RDT524305:RDT524310 RNP524305:RNP524310 RXL524305:RXL524310 SHH524305:SHH524310 SRD524305:SRD524310 TAZ524305:TAZ524310 TKV524305:TKV524310 TUR524305:TUR524310 UEN524305:UEN524310 UOJ524305:UOJ524310 UYF524305:UYF524310 VIB524305:VIB524310 VRX524305:VRX524310 WBT524305:WBT524310 WLP524305:WLP524310 WVL524305:WVL524310 D589841:D589846 IZ589841:IZ589846 SV589841:SV589846 ACR589841:ACR589846 AMN589841:AMN589846 AWJ589841:AWJ589846 BGF589841:BGF589846 BQB589841:BQB589846 BZX589841:BZX589846 CJT589841:CJT589846 CTP589841:CTP589846 DDL589841:DDL589846 DNH589841:DNH589846 DXD589841:DXD589846 EGZ589841:EGZ589846 EQV589841:EQV589846 FAR589841:FAR589846 FKN589841:FKN589846 FUJ589841:FUJ589846 GEF589841:GEF589846 GOB589841:GOB589846 GXX589841:GXX589846 HHT589841:HHT589846 HRP589841:HRP589846 IBL589841:IBL589846 ILH589841:ILH589846 IVD589841:IVD589846 JEZ589841:JEZ589846 JOV589841:JOV589846 JYR589841:JYR589846 KIN589841:KIN589846 KSJ589841:KSJ589846 LCF589841:LCF589846 LMB589841:LMB589846 LVX589841:LVX589846 MFT589841:MFT589846 MPP589841:MPP589846 MZL589841:MZL589846 NJH589841:NJH589846 NTD589841:NTD589846 OCZ589841:OCZ589846 OMV589841:OMV589846 OWR589841:OWR589846 PGN589841:PGN589846 PQJ589841:PQJ589846 QAF589841:QAF589846 QKB589841:QKB589846 QTX589841:QTX589846 RDT589841:RDT589846 RNP589841:RNP589846 RXL589841:RXL589846 SHH589841:SHH589846 SRD589841:SRD589846 TAZ589841:TAZ589846 TKV589841:TKV589846 TUR589841:TUR589846 UEN589841:UEN589846 UOJ589841:UOJ589846 UYF589841:UYF589846 VIB589841:VIB589846 VRX589841:VRX589846 WBT589841:WBT589846 WLP589841:WLP589846 WVL589841:WVL589846 D655377:D655382 IZ655377:IZ655382 SV655377:SV655382 ACR655377:ACR655382 AMN655377:AMN655382 AWJ655377:AWJ655382 BGF655377:BGF655382 BQB655377:BQB655382 BZX655377:BZX655382 CJT655377:CJT655382 CTP655377:CTP655382 DDL655377:DDL655382 DNH655377:DNH655382 DXD655377:DXD655382 EGZ655377:EGZ655382 EQV655377:EQV655382 FAR655377:FAR655382 FKN655377:FKN655382 FUJ655377:FUJ655382 GEF655377:GEF655382 GOB655377:GOB655382 GXX655377:GXX655382 HHT655377:HHT655382 HRP655377:HRP655382 IBL655377:IBL655382 ILH655377:ILH655382 IVD655377:IVD655382 JEZ655377:JEZ655382 JOV655377:JOV655382 JYR655377:JYR655382 KIN655377:KIN655382 KSJ655377:KSJ655382 LCF655377:LCF655382 LMB655377:LMB655382 LVX655377:LVX655382 MFT655377:MFT655382 MPP655377:MPP655382 MZL655377:MZL655382 NJH655377:NJH655382 NTD655377:NTD655382 OCZ655377:OCZ655382 OMV655377:OMV655382 OWR655377:OWR655382 PGN655377:PGN655382 PQJ655377:PQJ655382 QAF655377:QAF655382 QKB655377:QKB655382 QTX655377:QTX655382 RDT655377:RDT655382 RNP655377:RNP655382 RXL655377:RXL655382 SHH655377:SHH655382 SRD655377:SRD655382 TAZ655377:TAZ655382 TKV655377:TKV655382 TUR655377:TUR655382 UEN655377:UEN655382 UOJ655377:UOJ655382 UYF655377:UYF655382 VIB655377:VIB655382 VRX655377:VRX655382 WBT655377:WBT655382 WLP655377:WLP655382 WVL655377:WVL655382 D720913:D720918 IZ720913:IZ720918 SV720913:SV720918 ACR720913:ACR720918 AMN720913:AMN720918 AWJ720913:AWJ720918 BGF720913:BGF720918 BQB720913:BQB720918 BZX720913:BZX720918 CJT720913:CJT720918 CTP720913:CTP720918 DDL720913:DDL720918 DNH720913:DNH720918 DXD720913:DXD720918 EGZ720913:EGZ720918 EQV720913:EQV720918 FAR720913:FAR720918 FKN720913:FKN720918 FUJ720913:FUJ720918 GEF720913:GEF720918 GOB720913:GOB720918 GXX720913:GXX720918 HHT720913:HHT720918 HRP720913:HRP720918 IBL720913:IBL720918 ILH720913:ILH720918 IVD720913:IVD720918 JEZ720913:JEZ720918 JOV720913:JOV720918 JYR720913:JYR720918 KIN720913:KIN720918 KSJ720913:KSJ720918 LCF720913:LCF720918 LMB720913:LMB720918 LVX720913:LVX720918 MFT720913:MFT720918 MPP720913:MPP720918 MZL720913:MZL720918 NJH720913:NJH720918 NTD720913:NTD720918 OCZ720913:OCZ720918 OMV720913:OMV720918 OWR720913:OWR720918 PGN720913:PGN720918 PQJ720913:PQJ720918 QAF720913:QAF720918 QKB720913:QKB720918 QTX720913:QTX720918 RDT720913:RDT720918 RNP720913:RNP720918 RXL720913:RXL720918 SHH720913:SHH720918 SRD720913:SRD720918 TAZ720913:TAZ720918 TKV720913:TKV720918 TUR720913:TUR720918 UEN720913:UEN720918 UOJ720913:UOJ720918 UYF720913:UYF720918 VIB720913:VIB720918 VRX720913:VRX720918 WBT720913:WBT720918 WLP720913:WLP720918 WVL720913:WVL720918 D786449:D786454 IZ786449:IZ786454 SV786449:SV786454 ACR786449:ACR786454 AMN786449:AMN786454 AWJ786449:AWJ786454 BGF786449:BGF786454 BQB786449:BQB786454 BZX786449:BZX786454 CJT786449:CJT786454 CTP786449:CTP786454 DDL786449:DDL786454 DNH786449:DNH786454 DXD786449:DXD786454 EGZ786449:EGZ786454 EQV786449:EQV786454 FAR786449:FAR786454 FKN786449:FKN786454 FUJ786449:FUJ786454 GEF786449:GEF786454 GOB786449:GOB786454 GXX786449:GXX786454 HHT786449:HHT786454 HRP786449:HRP786454 IBL786449:IBL786454 ILH786449:ILH786454 IVD786449:IVD786454 JEZ786449:JEZ786454 JOV786449:JOV786454 JYR786449:JYR786454 KIN786449:KIN786454 KSJ786449:KSJ786454 LCF786449:LCF786454 LMB786449:LMB786454 LVX786449:LVX786454 MFT786449:MFT786454 MPP786449:MPP786454 MZL786449:MZL786454 NJH786449:NJH786454 NTD786449:NTD786454 OCZ786449:OCZ786454 OMV786449:OMV786454 OWR786449:OWR786454 PGN786449:PGN786454 PQJ786449:PQJ786454 QAF786449:QAF786454 QKB786449:QKB786454 QTX786449:QTX786454 RDT786449:RDT786454 RNP786449:RNP786454 RXL786449:RXL786454 SHH786449:SHH786454 SRD786449:SRD786454 TAZ786449:TAZ786454 TKV786449:TKV786454 TUR786449:TUR786454 UEN786449:UEN786454 UOJ786449:UOJ786454 UYF786449:UYF786454 VIB786449:VIB786454 VRX786449:VRX786454 WBT786449:WBT786454 WLP786449:WLP786454 WVL786449:WVL786454 D851985:D851990 IZ851985:IZ851990 SV851985:SV851990 ACR851985:ACR851990 AMN851985:AMN851990 AWJ851985:AWJ851990 BGF851985:BGF851990 BQB851985:BQB851990 BZX851985:BZX851990 CJT851985:CJT851990 CTP851985:CTP851990 DDL851985:DDL851990 DNH851985:DNH851990 DXD851985:DXD851990 EGZ851985:EGZ851990 EQV851985:EQV851990 FAR851985:FAR851990 FKN851985:FKN851990 FUJ851985:FUJ851990 GEF851985:GEF851990 GOB851985:GOB851990 GXX851985:GXX851990 HHT851985:HHT851990 HRP851985:HRP851990 IBL851985:IBL851990 ILH851985:ILH851990 IVD851985:IVD851990 JEZ851985:JEZ851990 JOV851985:JOV851990 JYR851985:JYR851990 KIN851985:KIN851990 KSJ851985:KSJ851990 LCF851985:LCF851990 LMB851985:LMB851990 LVX851985:LVX851990 MFT851985:MFT851990 MPP851985:MPP851990 MZL851985:MZL851990 NJH851985:NJH851990 NTD851985:NTD851990 OCZ851985:OCZ851990 OMV851985:OMV851990 OWR851985:OWR851990 PGN851985:PGN851990 PQJ851985:PQJ851990 QAF851985:QAF851990 QKB851985:QKB851990 QTX851985:QTX851990 RDT851985:RDT851990 RNP851985:RNP851990 RXL851985:RXL851990 SHH851985:SHH851990 SRD851985:SRD851990 TAZ851985:TAZ851990 TKV851985:TKV851990 TUR851985:TUR851990 UEN851985:UEN851990 UOJ851985:UOJ851990 UYF851985:UYF851990 VIB851985:VIB851990 VRX851985:VRX851990 WBT851985:WBT851990 WLP851985:WLP851990 WVL851985:WVL851990 D917521:D917526 IZ917521:IZ917526 SV917521:SV917526 ACR917521:ACR917526 AMN917521:AMN917526 AWJ917521:AWJ917526 BGF917521:BGF917526 BQB917521:BQB917526 BZX917521:BZX917526 CJT917521:CJT917526 CTP917521:CTP917526 DDL917521:DDL917526 DNH917521:DNH917526 DXD917521:DXD917526 EGZ917521:EGZ917526 EQV917521:EQV917526 FAR917521:FAR917526 FKN917521:FKN917526 FUJ917521:FUJ917526 GEF917521:GEF917526 GOB917521:GOB917526 GXX917521:GXX917526 HHT917521:HHT917526 HRP917521:HRP917526 IBL917521:IBL917526 ILH917521:ILH917526 IVD917521:IVD917526 JEZ917521:JEZ917526 JOV917521:JOV917526 JYR917521:JYR917526 KIN917521:KIN917526 KSJ917521:KSJ917526 LCF917521:LCF917526 LMB917521:LMB917526 LVX917521:LVX917526 MFT917521:MFT917526 MPP917521:MPP917526 MZL917521:MZL917526 NJH917521:NJH917526 NTD917521:NTD917526 OCZ917521:OCZ917526 OMV917521:OMV917526 OWR917521:OWR917526 PGN917521:PGN917526 PQJ917521:PQJ917526 QAF917521:QAF917526 QKB917521:QKB917526 QTX917521:QTX917526 RDT917521:RDT917526 RNP917521:RNP917526 RXL917521:RXL917526 SHH917521:SHH917526 SRD917521:SRD917526 TAZ917521:TAZ917526 TKV917521:TKV917526 TUR917521:TUR917526 UEN917521:UEN917526 UOJ917521:UOJ917526 UYF917521:UYF917526 VIB917521:VIB917526 VRX917521:VRX917526 WBT917521:WBT917526 WLP917521:WLP917526 WVL917521:WVL917526 D983057:D983062 IZ983057:IZ983062 SV983057:SV983062 ACR983057:ACR983062 AMN983057:AMN983062 AWJ983057:AWJ983062 BGF983057:BGF983062 BQB983057:BQB983062 BZX983057:BZX983062 CJT983057:CJT983062 CTP983057:CTP983062 DDL983057:DDL983062 DNH983057:DNH983062 DXD983057:DXD983062 EGZ983057:EGZ983062 EQV983057:EQV983062 FAR983057:FAR983062 FKN983057:FKN983062 FUJ983057:FUJ983062 GEF983057:GEF983062 GOB983057:GOB983062 GXX983057:GXX983062 HHT983057:HHT983062 HRP983057:HRP983062 IBL983057:IBL983062 ILH983057:ILH983062 IVD983057:IVD983062 JEZ983057:JEZ983062 JOV983057:JOV983062 JYR983057:JYR983062 KIN983057:KIN983062 KSJ983057:KSJ983062 LCF983057:LCF983062 LMB983057:LMB983062 LVX983057:LVX983062 MFT983057:MFT983062 MPP983057:MPP983062 MZL983057:MZL983062 NJH983057:NJH983062 NTD983057:NTD983062 OCZ983057:OCZ983062 OMV983057:OMV983062 OWR983057:OWR983062 PGN983057:PGN983062 PQJ983057:PQJ983062 QAF983057:QAF983062 QKB983057:QKB983062 QTX983057:QTX983062 RDT983057:RDT983062 RNP983057:RNP983062 RXL983057:RXL983062 SHH983057:SHH983062 SRD983057:SRD983062 TAZ983057:TAZ983062 TKV983057:TKV983062 TUR983057:TUR983062 UEN983057:UEN983062 UOJ983057:UOJ983062 UYF983057:UYF983062 VIB983057:VIB983062 VRX983057:VRX983062 WBT983057:WBT983062 WLP983057:WLP983062 WVL983057:WVL983062 F10:F15 JB10:JB15 SX10:SX15 ACT10:ACT15 AMP10:AMP15 AWL10:AWL15 BGH10:BGH15 BQD10:BQD15 BZZ10:BZZ15 CJV10:CJV15 CTR10:CTR15 DDN10:DDN15 DNJ10:DNJ15 DXF10:DXF15 EHB10:EHB15 EQX10:EQX15 FAT10:FAT15 FKP10:FKP15 FUL10:FUL15 GEH10:GEH15 GOD10:GOD15 GXZ10:GXZ15 HHV10:HHV15 HRR10:HRR15 IBN10:IBN15 ILJ10:ILJ15 IVF10:IVF15 JFB10:JFB15 JOX10:JOX15 JYT10:JYT15 KIP10:KIP15 KSL10:KSL15 LCH10:LCH15 LMD10:LMD15 LVZ10:LVZ15 MFV10:MFV15 MPR10:MPR15 MZN10:MZN15 NJJ10:NJJ15 NTF10:NTF15 ODB10:ODB15 OMX10:OMX15 OWT10:OWT15 PGP10:PGP15 PQL10:PQL15 QAH10:QAH15 QKD10:QKD15 QTZ10:QTZ15 RDV10:RDV15 RNR10:RNR15 RXN10:RXN15 SHJ10:SHJ15 SRF10:SRF15 TBB10:TBB15 TKX10:TKX15 TUT10:TUT15 UEP10:UEP15 UOL10:UOL15 UYH10:UYH15 VID10:VID15 VRZ10:VRZ15 WBV10:WBV15 WLR10:WLR15 WVN10:WVN15 F65546:F65551 JB65546:JB65551 SX65546:SX65551 ACT65546:ACT65551 AMP65546:AMP65551 AWL65546:AWL65551 BGH65546:BGH65551 BQD65546:BQD65551 BZZ65546:BZZ65551 CJV65546:CJV65551 CTR65546:CTR65551 DDN65546:DDN65551 DNJ65546:DNJ65551 DXF65546:DXF65551 EHB65546:EHB65551 EQX65546:EQX65551 FAT65546:FAT65551 FKP65546:FKP65551 FUL65546:FUL65551 GEH65546:GEH65551 GOD65546:GOD65551 GXZ65546:GXZ65551 HHV65546:HHV65551 HRR65546:HRR65551 IBN65546:IBN65551 ILJ65546:ILJ65551 IVF65546:IVF65551 JFB65546:JFB65551 JOX65546:JOX65551 JYT65546:JYT65551 KIP65546:KIP65551 KSL65546:KSL65551 LCH65546:LCH65551 LMD65546:LMD65551 LVZ65546:LVZ65551 MFV65546:MFV65551 MPR65546:MPR65551 MZN65546:MZN65551 NJJ65546:NJJ65551 NTF65546:NTF65551 ODB65546:ODB65551 OMX65546:OMX65551 OWT65546:OWT65551 PGP65546:PGP65551 PQL65546:PQL65551 QAH65546:QAH65551 QKD65546:QKD65551 QTZ65546:QTZ65551 RDV65546:RDV65551 RNR65546:RNR65551 RXN65546:RXN65551 SHJ65546:SHJ65551 SRF65546:SRF65551 TBB65546:TBB65551 TKX65546:TKX65551 TUT65546:TUT65551 UEP65546:UEP65551 UOL65546:UOL65551 UYH65546:UYH65551 VID65546:VID65551 VRZ65546:VRZ65551 WBV65546:WBV65551 WLR65546:WLR65551 WVN65546:WVN65551 F131082:F131087 JB131082:JB131087 SX131082:SX131087 ACT131082:ACT131087 AMP131082:AMP131087 AWL131082:AWL131087 BGH131082:BGH131087 BQD131082:BQD131087 BZZ131082:BZZ131087 CJV131082:CJV131087 CTR131082:CTR131087 DDN131082:DDN131087 DNJ131082:DNJ131087 DXF131082:DXF131087 EHB131082:EHB131087 EQX131082:EQX131087 FAT131082:FAT131087 FKP131082:FKP131087 FUL131082:FUL131087 GEH131082:GEH131087 GOD131082:GOD131087 GXZ131082:GXZ131087 HHV131082:HHV131087 HRR131082:HRR131087 IBN131082:IBN131087 ILJ131082:ILJ131087 IVF131082:IVF131087 JFB131082:JFB131087 JOX131082:JOX131087 JYT131082:JYT131087 KIP131082:KIP131087 KSL131082:KSL131087 LCH131082:LCH131087 LMD131082:LMD131087 LVZ131082:LVZ131087 MFV131082:MFV131087 MPR131082:MPR131087 MZN131082:MZN131087 NJJ131082:NJJ131087 NTF131082:NTF131087 ODB131082:ODB131087 OMX131082:OMX131087 OWT131082:OWT131087 PGP131082:PGP131087 PQL131082:PQL131087 QAH131082:QAH131087 QKD131082:QKD131087 QTZ131082:QTZ131087 RDV131082:RDV131087 RNR131082:RNR131087 RXN131082:RXN131087 SHJ131082:SHJ131087 SRF131082:SRF131087 TBB131082:TBB131087 TKX131082:TKX131087 TUT131082:TUT131087 UEP131082:UEP131087 UOL131082:UOL131087 UYH131082:UYH131087 VID131082:VID131087 VRZ131082:VRZ131087 WBV131082:WBV131087 WLR131082:WLR131087 WVN131082:WVN131087 F196618:F196623 JB196618:JB196623 SX196618:SX196623 ACT196618:ACT196623 AMP196618:AMP196623 AWL196618:AWL196623 BGH196618:BGH196623 BQD196618:BQD196623 BZZ196618:BZZ196623 CJV196618:CJV196623 CTR196618:CTR196623 DDN196618:DDN196623 DNJ196618:DNJ196623 DXF196618:DXF196623 EHB196618:EHB196623 EQX196618:EQX196623 FAT196618:FAT196623 FKP196618:FKP196623 FUL196618:FUL196623 GEH196618:GEH196623 GOD196618:GOD196623 GXZ196618:GXZ196623 HHV196618:HHV196623 HRR196618:HRR196623 IBN196618:IBN196623 ILJ196618:ILJ196623 IVF196618:IVF196623 JFB196618:JFB196623 JOX196618:JOX196623 JYT196618:JYT196623 KIP196618:KIP196623 KSL196618:KSL196623 LCH196618:LCH196623 LMD196618:LMD196623 LVZ196618:LVZ196623 MFV196618:MFV196623 MPR196618:MPR196623 MZN196618:MZN196623 NJJ196618:NJJ196623 NTF196618:NTF196623 ODB196618:ODB196623 OMX196618:OMX196623 OWT196618:OWT196623 PGP196618:PGP196623 PQL196618:PQL196623 QAH196618:QAH196623 QKD196618:QKD196623 QTZ196618:QTZ196623 RDV196618:RDV196623 RNR196618:RNR196623 RXN196618:RXN196623 SHJ196618:SHJ196623 SRF196618:SRF196623 TBB196618:TBB196623 TKX196618:TKX196623 TUT196618:TUT196623 UEP196618:UEP196623 UOL196618:UOL196623 UYH196618:UYH196623 VID196618:VID196623 VRZ196618:VRZ196623 WBV196618:WBV196623 WLR196618:WLR196623 WVN196618:WVN196623 F262154:F262159 JB262154:JB262159 SX262154:SX262159 ACT262154:ACT262159 AMP262154:AMP262159 AWL262154:AWL262159 BGH262154:BGH262159 BQD262154:BQD262159 BZZ262154:BZZ262159 CJV262154:CJV262159 CTR262154:CTR262159 DDN262154:DDN262159 DNJ262154:DNJ262159 DXF262154:DXF262159 EHB262154:EHB262159 EQX262154:EQX262159 FAT262154:FAT262159 FKP262154:FKP262159 FUL262154:FUL262159 GEH262154:GEH262159 GOD262154:GOD262159 GXZ262154:GXZ262159 HHV262154:HHV262159 HRR262154:HRR262159 IBN262154:IBN262159 ILJ262154:ILJ262159 IVF262154:IVF262159 JFB262154:JFB262159 JOX262154:JOX262159 JYT262154:JYT262159 KIP262154:KIP262159 KSL262154:KSL262159 LCH262154:LCH262159 LMD262154:LMD262159 LVZ262154:LVZ262159 MFV262154:MFV262159 MPR262154:MPR262159 MZN262154:MZN262159 NJJ262154:NJJ262159 NTF262154:NTF262159 ODB262154:ODB262159 OMX262154:OMX262159 OWT262154:OWT262159 PGP262154:PGP262159 PQL262154:PQL262159 QAH262154:QAH262159 QKD262154:QKD262159 QTZ262154:QTZ262159 RDV262154:RDV262159 RNR262154:RNR262159 RXN262154:RXN262159 SHJ262154:SHJ262159 SRF262154:SRF262159 TBB262154:TBB262159 TKX262154:TKX262159 TUT262154:TUT262159 UEP262154:UEP262159 UOL262154:UOL262159 UYH262154:UYH262159 VID262154:VID262159 VRZ262154:VRZ262159 WBV262154:WBV262159 WLR262154:WLR262159 WVN262154:WVN262159 F327690:F327695 JB327690:JB327695 SX327690:SX327695 ACT327690:ACT327695 AMP327690:AMP327695 AWL327690:AWL327695 BGH327690:BGH327695 BQD327690:BQD327695 BZZ327690:BZZ327695 CJV327690:CJV327695 CTR327690:CTR327695 DDN327690:DDN327695 DNJ327690:DNJ327695 DXF327690:DXF327695 EHB327690:EHB327695 EQX327690:EQX327695 FAT327690:FAT327695 FKP327690:FKP327695 FUL327690:FUL327695 GEH327690:GEH327695 GOD327690:GOD327695 GXZ327690:GXZ327695 HHV327690:HHV327695 HRR327690:HRR327695 IBN327690:IBN327695 ILJ327690:ILJ327695 IVF327690:IVF327695 JFB327690:JFB327695 JOX327690:JOX327695 JYT327690:JYT327695 KIP327690:KIP327695 KSL327690:KSL327695 LCH327690:LCH327695 LMD327690:LMD327695 LVZ327690:LVZ327695 MFV327690:MFV327695 MPR327690:MPR327695 MZN327690:MZN327695 NJJ327690:NJJ327695 NTF327690:NTF327695 ODB327690:ODB327695 OMX327690:OMX327695 OWT327690:OWT327695 PGP327690:PGP327695 PQL327690:PQL327695 QAH327690:QAH327695 QKD327690:QKD327695 QTZ327690:QTZ327695 RDV327690:RDV327695 RNR327690:RNR327695 RXN327690:RXN327695 SHJ327690:SHJ327695 SRF327690:SRF327695 TBB327690:TBB327695 TKX327690:TKX327695 TUT327690:TUT327695 UEP327690:UEP327695 UOL327690:UOL327695 UYH327690:UYH327695 VID327690:VID327695 VRZ327690:VRZ327695 WBV327690:WBV327695 WLR327690:WLR327695 WVN327690:WVN327695 F393226:F393231 JB393226:JB393231 SX393226:SX393231 ACT393226:ACT393231 AMP393226:AMP393231 AWL393226:AWL393231 BGH393226:BGH393231 BQD393226:BQD393231 BZZ393226:BZZ393231 CJV393226:CJV393231 CTR393226:CTR393231 DDN393226:DDN393231 DNJ393226:DNJ393231 DXF393226:DXF393231 EHB393226:EHB393231 EQX393226:EQX393231 FAT393226:FAT393231 FKP393226:FKP393231 FUL393226:FUL393231 GEH393226:GEH393231 GOD393226:GOD393231 GXZ393226:GXZ393231 HHV393226:HHV393231 HRR393226:HRR393231 IBN393226:IBN393231 ILJ393226:ILJ393231 IVF393226:IVF393231 JFB393226:JFB393231 JOX393226:JOX393231 JYT393226:JYT393231 KIP393226:KIP393231 KSL393226:KSL393231 LCH393226:LCH393231 LMD393226:LMD393231 LVZ393226:LVZ393231 MFV393226:MFV393231 MPR393226:MPR393231 MZN393226:MZN393231 NJJ393226:NJJ393231 NTF393226:NTF393231 ODB393226:ODB393231 OMX393226:OMX393231 OWT393226:OWT393231 PGP393226:PGP393231 PQL393226:PQL393231 QAH393226:QAH393231 QKD393226:QKD393231 QTZ393226:QTZ393231 RDV393226:RDV393231 RNR393226:RNR393231 RXN393226:RXN393231 SHJ393226:SHJ393231 SRF393226:SRF393231 TBB393226:TBB393231 TKX393226:TKX393231 TUT393226:TUT393231 UEP393226:UEP393231 UOL393226:UOL393231 UYH393226:UYH393231 VID393226:VID393231 VRZ393226:VRZ393231 WBV393226:WBV393231 WLR393226:WLR393231 WVN393226:WVN393231 F458762:F458767 JB458762:JB458767 SX458762:SX458767 ACT458762:ACT458767 AMP458762:AMP458767 AWL458762:AWL458767 BGH458762:BGH458767 BQD458762:BQD458767 BZZ458762:BZZ458767 CJV458762:CJV458767 CTR458762:CTR458767 DDN458762:DDN458767 DNJ458762:DNJ458767 DXF458762:DXF458767 EHB458762:EHB458767 EQX458762:EQX458767 FAT458762:FAT458767 FKP458762:FKP458767 FUL458762:FUL458767 GEH458762:GEH458767 GOD458762:GOD458767 GXZ458762:GXZ458767 HHV458762:HHV458767 HRR458762:HRR458767 IBN458762:IBN458767 ILJ458762:ILJ458767 IVF458762:IVF458767 JFB458762:JFB458767 JOX458762:JOX458767 JYT458762:JYT458767 KIP458762:KIP458767 KSL458762:KSL458767 LCH458762:LCH458767 LMD458762:LMD458767 LVZ458762:LVZ458767 MFV458762:MFV458767 MPR458762:MPR458767 MZN458762:MZN458767 NJJ458762:NJJ458767 NTF458762:NTF458767 ODB458762:ODB458767 OMX458762:OMX458767 OWT458762:OWT458767 PGP458762:PGP458767 PQL458762:PQL458767 QAH458762:QAH458767 QKD458762:QKD458767 QTZ458762:QTZ458767 RDV458762:RDV458767 RNR458762:RNR458767 RXN458762:RXN458767 SHJ458762:SHJ458767 SRF458762:SRF458767 TBB458762:TBB458767 TKX458762:TKX458767 TUT458762:TUT458767 UEP458762:UEP458767 UOL458762:UOL458767 UYH458762:UYH458767 VID458762:VID458767 VRZ458762:VRZ458767 WBV458762:WBV458767 WLR458762:WLR458767 WVN458762:WVN458767 F524298:F524303 JB524298:JB524303 SX524298:SX524303 ACT524298:ACT524303 AMP524298:AMP524303 AWL524298:AWL524303 BGH524298:BGH524303 BQD524298:BQD524303 BZZ524298:BZZ524303 CJV524298:CJV524303 CTR524298:CTR524303 DDN524298:DDN524303 DNJ524298:DNJ524303 DXF524298:DXF524303 EHB524298:EHB524303 EQX524298:EQX524303 FAT524298:FAT524303 FKP524298:FKP524303 FUL524298:FUL524303 GEH524298:GEH524303 GOD524298:GOD524303 GXZ524298:GXZ524303 HHV524298:HHV524303 HRR524298:HRR524303 IBN524298:IBN524303 ILJ524298:ILJ524303 IVF524298:IVF524303 JFB524298:JFB524303 JOX524298:JOX524303 JYT524298:JYT524303 KIP524298:KIP524303 KSL524298:KSL524303 LCH524298:LCH524303 LMD524298:LMD524303 LVZ524298:LVZ524303 MFV524298:MFV524303 MPR524298:MPR524303 MZN524298:MZN524303 NJJ524298:NJJ524303 NTF524298:NTF524303 ODB524298:ODB524303 OMX524298:OMX524303 OWT524298:OWT524303 PGP524298:PGP524303 PQL524298:PQL524303 QAH524298:QAH524303 QKD524298:QKD524303 QTZ524298:QTZ524303 RDV524298:RDV524303 RNR524298:RNR524303 RXN524298:RXN524303 SHJ524298:SHJ524303 SRF524298:SRF524303 TBB524298:TBB524303 TKX524298:TKX524303 TUT524298:TUT524303 UEP524298:UEP524303 UOL524298:UOL524303 UYH524298:UYH524303 VID524298:VID524303 VRZ524298:VRZ524303 WBV524298:WBV524303 WLR524298:WLR524303 WVN524298:WVN524303 F589834:F589839 JB589834:JB589839 SX589834:SX589839 ACT589834:ACT589839 AMP589834:AMP589839 AWL589834:AWL589839 BGH589834:BGH589839 BQD589834:BQD589839 BZZ589834:BZZ589839 CJV589834:CJV589839 CTR589834:CTR589839 DDN589834:DDN589839 DNJ589834:DNJ589839 DXF589834:DXF589839 EHB589834:EHB589839 EQX589834:EQX589839 FAT589834:FAT589839 FKP589834:FKP589839 FUL589834:FUL589839 GEH589834:GEH589839 GOD589834:GOD589839 GXZ589834:GXZ589839 HHV589834:HHV589839 HRR589834:HRR589839 IBN589834:IBN589839 ILJ589834:ILJ589839 IVF589834:IVF589839 JFB589834:JFB589839 JOX589834:JOX589839 JYT589834:JYT589839 KIP589834:KIP589839 KSL589834:KSL589839 LCH589834:LCH589839 LMD589834:LMD589839 LVZ589834:LVZ589839 MFV589834:MFV589839 MPR589834:MPR589839 MZN589834:MZN589839 NJJ589834:NJJ589839 NTF589834:NTF589839 ODB589834:ODB589839 OMX589834:OMX589839 OWT589834:OWT589839 PGP589834:PGP589839 PQL589834:PQL589839 QAH589834:QAH589839 QKD589834:QKD589839 QTZ589834:QTZ589839 RDV589834:RDV589839 RNR589834:RNR589839 RXN589834:RXN589839 SHJ589834:SHJ589839 SRF589834:SRF589839 TBB589834:TBB589839 TKX589834:TKX589839 TUT589834:TUT589839 UEP589834:UEP589839 UOL589834:UOL589839 UYH589834:UYH589839 VID589834:VID589839 VRZ589834:VRZ589839 WBV589834:WBV589839 WLR589834:WLR589839 WVN589834:WVN589839 F655370:F655375 JB655370:JB655375 SX655370:SX655375 ACT655370:ACT655375 AMP655370:AMP655375 AWL655370:AWL655375 BGH655370:BGH655375 BQD655370:BQD655375 BZZ655370:BZZ655375 CJV655370:CJV655375 CTR655370:CTR655375 DDN655370:DDN655375 DNJ655370:DNJ655375 DXF655370:DXF655375 EHB655370:EHB655375 EQX655370:EQX655375 FAT655370:FAT655375 FKP655370:FKP655375 FUL655370:FUL655375 GEH655370:GEH655375 GOD655370:GOD655375 GXZ655370:GXZ655375 HHV655370:HHV655375 HRR655370:HRR655375 IBN655370:IBN655375 ILJ655370:ILJ655375 IVF655370:IVF655375 JFB655370:JFB655375 JOX655370:JOX655375 JYT655370:JYT655375 KIP655370:KIP655375 KSL655370:KSL655375 LCH655370:LCH655375 LMD655370:LMD655375 LVZ655370:LVZ655375 MFV655370:MFV655375 MPR655370:MPR655375 MZN655370:MZN655375 NJJ655370:NJJ655375 NTF655370:NTF655375 ODB655370:ODB655375 OMX655370:OMX655375 OWT655370:OWT655375 PGP655370:PGP655375 PQL655370:PQL655375 QAH655370:QAH655375 QKD655370:QKD655375 QTZ655370:QTZ655375 RDV655370:RDV655375 RNR655370:RNR655375 RXN655370:RXN655375 SHJ655370:SHJ655375 SRF655370:SRF655375 TBB655370:TBB655375 TKX655370:TKX655375 TUT655370:TUT655375 UEP655370:UEP655375 UOL655370:UOL655375 UYH655370:UYH655375 VID655370:VID655375 VRZ655370:VRZ655375 WBV655370:WBV655375 WLR655370:WLR655375 WVN655370:WVN655375 F720906:F720911 JB720906:JB720911 SX720906:SX720911 ACT720906:ACT720911 AMP720906:AMP720911 AWL720906:AWL720911 BGH720906:BGH720911 BQD720906:BQD720911 BZZ720906:BZZ720911 CJV720906:CJV720911 CTR720906:CTR720911 DDN720906:DDN720911 DNJ720906:DNJ720911 DXF720906:DXF720911 EHB720906:EHB720911 EQX720906:EQX720911 FAT720906:FAT720911 FKP720906:FKP720911 FUL720906:FUL720911 GEH720906:GEH720911 GOD720906:GOD720911 GXZ720906:GXZ720911 HHV720906:HHV720911 HRR720906:HRR720911 IBN720906:IBN720911 ILJ720906:ILJ720911 IVF720906:IVF720911 JFB720906:JFB720911 JOX720906:JOX720911 JYT720906:JYT720911 KIP720906:KIP720911 KSL720906:KSL720911 LCH720906:LCH720911 LMD720906:LMD720911 LVZ720906:LVZ720911 MFV720906:MFV720911 MPR720906:MPR720911 MZN720906:MZN720911 NJJ720906:NJJ720911 NTF720906:NTF720911 ODB720906:ODB720911 OMX720906:OMX720911 OWT720906:OWT720911 PGP720906:PGP720911 PQL720906:PQL720911 QAH720906:QAH720911 QKD720906:QKD720911 QTZ720906:QTZ720911 RDV720906:RDV720911 RNR720906:RNR720911 RXN720906:RXN720911 SHJ720906:SHJ720911 SRF720906:SRF720911 TBB720906:TBB720911 TKX720906:TKX720911 TUT720906:TUT720911 UEP720906:UEP720911 UOL720906:UOL720911 UYH720906:UYH720911 VID720906:VID720911 VRZ720906:VRZ720911 WBV720906:WBV720911 WLR720906:WLR720911 WVN720906:WVN720911 F786442:F786447 JB786442:JB786447 SX786442:SX786447 ACT786442:ACT786447 AMP786442:AMP786447 AWL786442:AWL786447 BGH786442:BGH786447 BQD786442:BQD786447 BZZ786442:BZZ786447 CJV786442:CJV786447 CTR786442:CTR786447 DDN786442:DDN786447 DNJ786442:DNJ786447 DXF786442:DXF786447 EHB786442:EHB786447 EQX786442:EQX786447 FAT786442:FAT786447 FKP786442:FKP786447 FUL786442:FUL786447 GEH786442:GEH786447 GOD786442:GOD786447 GXZ786442:GXZ786447 HHV786442:HHV786447 HRR786442:HRR786447 IBN786442:IBN786447 ILJ786442:ILJ786447 IVF786442:IVF786447 JFB786442:JFB786447 JOX786442:JOX786447 JYT786442:JYT786447 KIP786442:KIP786447 KSL786442:KSL786447 LCH786442:LCH786447 LMD786442:LMD786447 LVZ786442:LVZ786447 MFV786442:MFV786447 MPR786442:MPR786447 MZN786442:MZN786447 NJJ786442:NJJ786447 NTF786442:NTF786447 ODB786442:ODB786447 OMX786442:OMX786447 OWT786442:OWT786447 PGP786442:PGP786447 PQL786442:PQL786447 QAH786442:QAH786447 QKD786442:QKD786447 QTZ786442:QTZ786447 RDV786442:RDV786447 RNR786442:RNR786447 RXN786442:RXN786447 SHJ786442:SHJ786447 SRF786442:SRF786447 TBB786442:TBB786447 TKX786442:TKX786447 TUT786442:TUT786447 UEP786442:UEP786447 UOL786442:UOL786447 UYH786442:UYH786447 VID786442:VID786447 VRZ786442:VRZ786447 WBV786442:WBV786447 WLR786442:WLR786447 WVN786442:WVN786447 F851978:F851983 JB851978:JB851983 SX851978:SX851983 ACT851978:ACT851983 AMP851978:AMP851983 AWL851978:AWL851983 BGH851978:BGH851983 BQD851978:BQD851983 BZZ851978:BZZ851983 CJV851978:CJV851983 CTR851978:CTR851983 DDN851978:DDN851983 DNJ851978:DNJ851983 DXF851978:DXF851983 EHB851978:EHB851983 EQX851978:EQX851983 FAT851978:FAT851983 FKP851978:FKP851983 FUL851978:FUL851983 GEH851978:GEH851983 GOD851978:GOD851983 GXZ851978:GXZ851983 HHV851978:HHV851983 HRR851978:HRR851983 IBN851978:IBN851983 ILJ851978:ILJ851983 IVF851978:IVF851983 JFB851978:JFB851983 JOX851978:JOX851983 JYT851978:JYT851983 KIP851978:KIP851983 KSL851978:KSL851983 LCH851978:LCH851983 LMD851978:LMD851983 LVZ851978:LVZ851983 MFV851978:MFV851983 MPR851978:MPR851983 MZN851978:MZN851983 NJJ851978:NJJ851983 NTF851978:NTF851983 ODB851978:ODB851983 OMX851978:OMX851983 OWT851978:OWT851983 PGP851978:PGP851983 PQL851978:PQL851983 QAH851978:QAH851983 QKD851978:QKD851983 QTZ851978:QTZ851983 RDV851978:RDV851983 RNR851978:RNR851983 RXN851978:RXN851983 SHJ851978:SHJ851983 SRF851978:SRF851983 TBB851978:TBB851983 TKX851978:TKX851983 TUT851978:TUT851983 UEP851978:UEP851983 UOL851978:UOL851983 UYH851978:UYH851983 VID851978:VID851983 VRZ851978:VRZ851983 WBV851978:WBV851983 WLR851978:WLR851983 WVN851978:WVN851983 F917514:F917519 JB917514:JB917519 SX917514:SX917519 ACT917514:ACT917519 AMP917514:AMP917519 AWL917514:AWL917519 BGH917514:BGH917519 BQD917514:BQD917519 BZZ917514:BZZ917519 CJV917514:CJV917519 CTR917514:CTR917519 DDN917514:DDN917519 DNJ917514:DNJ917519 DXF917514:DXF917519 EHB917514:EHB917519 EQX917514:EQX917519 FAT917514:FAT917519 FKP917514:FKP917519 FUL917514:FUL917519 GEH917514:GEH917519 GOD917514:GOD917519 GXZ917514:GXZ917519 HHV917514:HHV917519 HRR917514:HRR917519 IBN917514:IBN917519 ILJ917514:ILJ917519 IVF917514:IVF917519 JFB917514:JFB917519 JOX917514:JOX917519 JYT917514:JYT917519 KIP917514:KIP917519 KSL917514:KSL917519 LCH917514:LCH917519 LMD917514:LMD917519 LVZ917514:LVZ917519 MFV917514:MFV917519 MPR917514:MPR917519 MZN917514:MZN917519 NJJ917514:NJJ917519 NTF917514:NTF917519 ODB917514:ODB917519 OMX917514:OMX917519 OWT917514:OWT917519 PGP917514:PGP917519 PQL917514:PQL917519 QAH917514:QAH917519 QKD917514:QKD917519 QTZ917514:QTZ917519 RDV917514:RDV917519 RNR917514:RNR917519 RXN917514:RXN917519 SHJ917514:SHJ917519 SRF917514:SRF917519 TBB917514:TBB917519 TKX917514:TKX917519 TUT917514:TUT917519 UEP917514:UEP917519 UOL917514:UOL917519 UYH917514:UYH917519 VID917514:VID917519 VRZ917514:VRZ917519 WBV917514:WBV917519 WLR917514:WLR917519 WVN917514:WVN917519 F983050:F983055 JB983050:JB983055 SX983050:SX983055 ACT983050:ACT983055 AMP983050:AMP983055 AWL983050:AWL983055 BGH983050:BGH983055 BQD983050:BQD983055 BZZ983050:BZZ983055 CJV983050:CJV983055 CTR983050:CTR983055 DDN983050:DDN983055 DNJ983050:DNJ983055 DXF983050:DXF983055 EHB983050:EHB983055 EQX983050:EQX983055 FAT983050:FAT983055 FKP983050:FKP983055 FUL983050:FUL983055 GEH983050:GEH983055 GOD983050:GOD983055 GXZ983050:GXZ983055 HHV983050:HHV983055 HRR983050:HRR983055 IBN983050:IBN983055 ILJ983050:ILJ983055 IVF983050:IVF983055 JFB983050:JFB983055 JOX983050:JOX983055 JYT983050:JYT983055 KIP983050:KIP983055 KSL983050:KSL983055 LCH983050:LCH983055 LMD983050:LMD983055 LVZ983050:LVZ983055 MFV983050:MFV983055 MPR983050:MPR983055 MZN983050:MZN983055 NJJ983050:NJJ983055 NTF983050:NTF983055 ODB983050:ODB983055 OMX983050:OMX983055 OWT983050:OWT983055 PGP983050:PGP983055 PQL983050:PQL983055 QAH983050:QAH983055 QKD983050:QKD983055 QTZ983050:QTZ983055 RDV983050:RDV983055 RNR983050:RNR983055 RXN983050:RXN983055 SHJ983050:SHJ983055 SRF983050:SRF983055 TBB983050:TBB983055 TKX983050:TKX983055 TUT983050:TUT983055 UEP983050:UEP983055 UOL983050:UOL983055 UYH983050:UYH983055 VID983050:VID983055 VRZ983050:VRZ983055 WBV983050:WBV983055 WLR983050:WLR983055 WVN983050:WVN983055 H10:H15 JD10:JD15 SZ10:SZ15 ACV10:ACV15 AMR10:AMR15 AWN10:AWN15 BGJ10:BGJ15 BQF10:BQF15 CAB10:CAB15 CJX10:CJX15 CTT10:CTT15 DDP10:DDP15 DNL10:DNL15 DXH10:DXH15 EHD10:EHD15 EQZ10:EQZ15 FAV10:FAV15 FKR10:FKR15 FUN10:FUN15 GEJ10:GEJ15 GOF10:GOF15 GYB10:GYB15 HHX10:HHX15 HRT10:HRT15 IBP10:IBP15 ILL10:ILL15 IVH10:IVH15 JFD10:JFD15 JOZ10:JOZ15 JYV10:JYV15 KIR10:KIR15 KSN10:KSN15 LCJ10:LCJ15 LMF10:LMF15 LWB10:LWB15 MFX10:MFX15 MPT10:MPT15 MZP10:MZP15 NJL10:NJL15 NTH10:NTH15 ODD10:ODD15 OMZ10:OMZ15 OWV10:OWV15 PGR10:PGR15 PQN10:PQN15 QAJ10:QAJ15 QKF10:QKF15 QUB10:QUB15 RDX10:RDX15 RNT10:RNT15 RXP10:RXP15 SHL10:SHL15 SRH10:SRH15 TBD10:TBD15 TKZ10:TKZ15 TUV10:TUV15 UER10:UER15 UON10:UON15 UYJ10:UYJ15 VIF10:VIF15 VSB10:VSB15 WBX10:WBX15 WLT10:WLT15 WVP10:WVP15 H65546:H65551 JD65546:JD65551 SZ65546:SZ65551 ACV65546:ACV65551 AMR65546:AMR65551 AWN65546:AWN65551 BGJ65546:BGJ65551 BQF65546:BQF65551 CAB65546:CAB65551 CJX65546:CJX65551 CTT65546:CTT65551 DDP65546:DDP65551 DNL65546:DNL65551 DXH65546:DXH65551 EHD65546:EHD65551 EQZ65546:EQZ65551 FAV65546:FAV65551 FKR65546:FKR65551 FUN65546:FUN65551 GEJ65546:GEJ65551 GOF65546:GOF65551 GYB65546:GYB65551 HHX65546:HHX65551 HRT65546:HRT65551 IBP65546:IBP65551 ILL65546:ILL65551 IVH65546:IVH65551 JFD65546:JFD65551 JOZ65546:JOZ65551 JYV65546:JYV65551 KIR65546:KIR65551 KSN65546:KSN65551 LCJ65546:LCJ65551 LMF65546:LMF65551 LWB65546:LWB65551 MFX65546:MFX65551 MPT65546:MPT65551 MZP65546:MZP65551 NJL65546:NJL65551 NTH65546:NTH65551 ODD65546:ODD65551 OMZ65546:OMZ65551 OWV65546:OWV65551 PGR65546:PGR65551 PQN65546:PQN65551 QAJ65546:QAJ65551 QKF65546:QKF65551 QUB65546:QUB65551 RDX65546:RDX65551 RNT65546:RNT65551 RXP65546:RXP65551 SHL65546:SHL65551 SRH65546:SRH65551 TBD65546:TBD65551 TKZ65546:TKZ65551 TUV65546:TUV65551 UER65546:UER65551 UON65546:UON65551 UYJ65546:UYJ65551 VIF65546:VIF65551 VSB65546:VSB65551 WBX65546:WBX65551 WLT65546:WLT65551 WVP65546:WVP65551 H131082:H131087 JD131082:JD131087 SZ131082:SZ131087 ACV131082:ACV131087 AMR131082:AMR131087 AWN131082:AWN131087 BGJ131082:BGJ131087 BQF131082:BQF131087 CAB131082:CAB131087 CJX131082:CJX131087 CTT131082:CTT131087 DDP131082:DDP131087 DNL131082:DNL131087 DXH131082:DXH131087 EHD131082:EHD131087 EQZ131082:EQZ131087 FAV131082:FAV131087 FKR131082:FKR131087 FUN131082:FUN131087 GEJ131082:GEJ131087 GOF131082:GOF131087 GYB131082:GYB131087 HHX131082:HHX131087 HRT131082:HRT131087 IBP131082:IBP131087 ILL131082:ILL131087 IVH131082:IVH131087 JFD131082:JFD131087 JOZ131082:JOZ131087 JYV131082:JYV131087 KIR131082:KIR131087 KSN131082:KSN131087 LCJ131082:LCJ131087 LMF131082:LMF131087 LWB131082:LWB131087 MFX131082:MFX131087 MPT131082:MPT131087 MZP131082:MZP131087 NJL131082:NJL131087 NTH131082:NTH131087 ODD131082:ODD131087 OMZ131082:OMZ131087 OWV131082:OWV131087 PGR131082:PGR131087 PQN131082:PQN131087 QAJ131082:QAJ131087 QKF131082:QKF131087 QUB131082:QUB131087 RDX131082:RDX131087 RNT131082:RNT131087 RXP131082:RXP131087 SHL131082:SHL131087 SRH131082:SRH131087 TBD131082:TBD131087 TKZ131082:TKZ131087 TUV131082:TUV131087 UER131082:UER131087 UON131082:UON131087 UYJ131082:UYJ131087 VIF131082:VIF131087 VSB131082:VSB131087 WBX131082:WBX131087 WLT131082:WLT131087 WVP131082:WVP131087 H196618:H196623 JD196618:JD196623 SZ196618:SZ196623 ACV196618:ACV196623 AMR196618:AMR196623 AWN196618:AWN196623 BGJ196618:BGJ196623 BQF196618:BQF196623 CAB196618:CAB196623 CJX196618:CJX196623 CTT196618:CTT196623 DDP196618:DDP196623 DNL196618:DNL196623 DXH196618:DXH196623 EHD196618:EHD196623 EQZ196618:EQZ196623 FAV196618:FAV196623 FKR196618:FKR196623 FUN196618:FUN196623 GEJ196618:GEJ196623 GOF196618:GOF196623 GYB196618:GYB196623 HHX196618:HHX196623 HRT196618:HRT196623 IBP196618:IBP196623 ILL196618:ILL196623 IVH196618:IVH196623 JFD196618:JFD196623 JOZ196618:JOZ196623 JYV196618:JYV196623 KIR196618:KIR196623 KSN196618:KSN196623 LCJ196618:LCJ196623 LMF196618:LMF196623 LWB196618:LWB196623 MFX196618:MFX196623 MPT196618:MPT196623 MZP196618:MZP196623 NJL196618:NJL196623 NTH196618:NTH196623 ODD196618:ODD196623 OMZ196618:OMZ196623 OWV196618:OWV196623 PGR196618:PGR196623 PQN196618:PQN196623 QAJ196618:QAJ196623 QKF196618:QKF196623 QUB196618:QUB196623 RDX196618:RDX196623 RNT196618:RNT196623 RXP196618:RXP196623 SHL196618:SHL196623 SRH196618:SRH196623 TBD196618:TBD196623 TKZ196618:TKZ196623 TUV196618:TUV196623 UER196618:UER196623 UON196618:UON196623 UYJ196618:UYJ196623 VIF196618:VIF196623 VSB196618:VSB196623 WBX196618:WBX196623 WLT196618:WLT196623 WVP196618:WVP196623 H262154:H262159 JD262154:JD262159 SZ262154:SZ262159 ACV262154:ACV262159 AMR262154:AMR262159 AWN262154:AWN262159 BGJ262154:BGJ262159 BQF262154:BQF262159 CAB262154:CAB262159 CJX262154:CJX262159 CTT262154:CTT262159 DDP262154:DDP262159 DNL262154:DNL262159 DXH262154:DXH262159 EHD262154:EHD262159 EQZ262154:EQZ262159 FAV262154:FAV262159 FKR262154:FKR262159 FUN262154:FUN262159 GEJ262154:GEJ262159 GOF262154:GOF262159 GYB262154:GYB262159 HHX262154:HHX262159 HRT262154:HRT262159 IBP262154:IBP262159 ILL262154:ILL262159 IVH262154:IVH262159 JFD262154:JFD262159 JOZ262154:JOZ262159 JYV262154:JYV262159 KIR262154:KIR262159 KSN262154:KSN262159 LCJ262154:LCJ262159 LMF262154:LMF262159 LWB262154:LWB262159 MFX262154:MFX262159 MPT262154:MPT262159 MZP262154:MZP262159 NJL262154:NJL262159 NTH262154:NTH262159 ODD262154:ODD262159 OMZ262154:OMZ262159 OWV262154:OWV262159 PGR262154:PGR262159 PQN262154:PQN262159 QAJ262154:QAJ262159 QKF262154:QKF262159 QUB262154:QUB262159 RDX262154:RDX262159 RNT262154:RNT262159 RXP262154:RXP262159 SHL262154:SHL262159 SRH262154:SRH262159 TBD262154:TBD262159 TKZ262154:TKZ262159 TUV262154:TUV262159 UER262154:UER262159 UON262154:UON262159 UYJ262154:UYJ262159 VIF262154:VIF262159 VSB262154:VSB262159 WBX262154:WBX262159 WLT262154:WLT262159 WVP262154:WVP262159 H327690:H327695 JD327690:JD327695 SZ327690:SZ327695 ACV327690:ACV327695 AMR327690:AMR327695 AWN327690:AWN327695 BGJ327690:BGJ327695 BQF327690:BQF327695 CAB327690:CAB327695 CJX327690:CJX327695 CTT327690:CTT327695 DDP327690:DDP327695 DNL327690:DNL327695 DXH327690:DXH327695 EHD327690:EHD327695 EQZ327690:EQZ327695 FAV327690:FAV327695 FKR327690:FKR327695 FUN327690:FUN327695 GEJ327690:GEJ327695 GOF327690:GOF327695 GYB327690:GYB327695 HHX327690:HHX327695 HRT327690:HRT327695 IBP327690:IBP327695 ILL327690:ILL327695 IVH327690:IVH327695 JFD327690:JFD327695 JOZ327690:JOZ327695 JYV327690:JYV327695 KIR327690:KIR327695 KSN327690:KSN327695 LCJ327690:LCJ327695 LMF327690:LMF327695 LWB327690:LWB327695 MFX327690:MFX327695 MPT327690:MPT327695 MZP327690:MZP327695 NJL327690:NJL327695 NTH327690:NTH327695 ODD327690:ODD327695 OMZ327690:OMZ327695 OWV327690:OWV327695 PGR327690:PGR327695 PQN327690:PQN327695 QAJ327690:QAJ327695 QKF327690:QKF327695 QUB327690:QUB327695 RDX327690:RDX327695 RNT327690:RNT327695 RXP327690:RXP327695 SHL327690:SHL327695 SRH327690:SRH327695 TBD327690:TBD327695 TKZ327690:TKZ327695 TUV327690:TUV327695 UER327690:UER327695 UON327690:UON327695 UYJ327690:UYJ327695 VIF327690:VIF327695 VSB327690:VSB327695 WBX327690:WBX327695 WLT327690:WLT327695 WVP327690:WVP327695 H393226:H393231 JD393226:JD393231 SZ393226:SZ393231 ACV393226:ACV393231 AMR393226:AMR393231 AWN393226:AWN393231 BGJ393226:BGJ393231 BQF393226:BQF393231 CAB393226:CAB393231 CJX393226:CJX393231 CTT393226:CTT393231 DDP393226:DDP393231 DNL393226:DNL393231 DXH393226:DXH393231 EHD393226:EHD393231 EQZ393226:EQZ393231 FAV393226:FAV393231 FKR393226:FKR393231 FUN393226:FUN393231 GEJ393226:GEJ393231 GOF393226:GOF393231 GYB393226:GYB393231 HHX393226:HHX393231 HRT393226:HRT393231 IBP393226:IBP393231 ILL393226:ILL393231 IVH393226:IVH393231 JFD393226:JFD393231 JOZ393226:JOZ393231 JYV393226:JYV393231 KIR393226:KIR393231 KSN393226:KSN393231 LCJ393226:LCJ393231 LMF393226:LMF393231 LWB393226:LWB393231 MFX393226:MFX393231 MPT393226:MPT393231 MZP393226:MZP393231 NJL393226:NJL393231 NTH393226:NTH393231 ODD393226:ODD393231 OMZ393226:OMZ393231 OWV393226:OWV393231 PGR393226:PGR393231 PQN393226:PQN393231 QAJ393226:QAJ393231 QKF393226:QKF393231 QUB393226:QUB393231 RDX393226:RDX393231 RNT393226:RNT393231 RXP393226:RXP393231 SHL393226:SHL393231 SRH393226:SRH393231 TBD393226:TBD393231 TKZ393226:TKZ393231 TUV393226:TUV393231 UER393226:UER393231 UON393226:UON393231 UYJ393226:UYJ393231 VIF393226:VIF393231 VSB393226:VSB393231 WBX393226:WBX393231 WLT393226:WLT393231 WVP393226:WVP393231 H458762:H458767 JD458762:JD458767 SZ458762:SZ458767 ACV458762:ACV458767 AMR458762:AMR458767 AWN458762:AWN458767 BGJ458762:BGJ458767 BQF458762:BQF458767 CAB458762:CAB458767 CJX458762:CJX458767 CTT458762:CTT458767 DDP458762:DDP458767 DNL458762:DNL458767 DXH458762:DXH458767 EHD458762:EHD458767 EQZ458762:EQZ458767 FAV458762:FAV458767 FKR458762:FKR458767 FUN458762:FUN458767 GEJ458762:GEJ458767 GOF458762:GOF458767 GYB458762:GYB458767 HHX458762:HHX458767 HRT458762:HRT458767 IBP458762:IBP458767 ILL458762:ILL458767 IVH458762:IVH458767 JFD458762:JFD458767 JOZ458762:JOZ458767 JYV458762:JYV458767 KIR458762:KIR458767 KSN458762:KSN458767 LCJ458762:LCJ458767 LMF458762:LMF458767 LWB458762:LWB458767 MFX458762:MFX458767 MPT458762:MPT458767 MZP458762:MZP458767 NJL458762:NJL458767 NTH458762:NTH458767 ODD458762:ODD458767 OMZ458762:OMZ458767 OWV458762:OWV458767 PGR458762:PGR458767 PQN458762:PQN458767 QAJ458762:QAJ458767 QKF458762:QKF458767 QUB458762:QUB458767 RDX458762:RDX458767 RNT458762:RNT458767 RXP458762:RXP458767 SHL458762:SHL458767 SRH458762:SRH458767 TBD458762:TBD458767 TKZ458762:TKZ458767 TUV458762:TUV458767 UER458762:UER458767 UON458762:UON458767 UYJ458762:UYJ458767 VIF458762:VIF458767 VSB458762:VSB458767 WBX458762:WBX458767 WLT458762:WLT458767 WVP458762:WVP458767 H524298:H524303 JD524298:JD524303 SZ524298:SZ524303 ACV524298:ACV524303 AMR524298:AMR524303 AWN524298:AWN524303 BGJ524298:BGJ524303 BQF524298:BQF524303 CAB524298:CAB524303 CJX524298:CJX524303 CTT524298:CTT524303 DDP524298:DDP524303 DNL524298:DNL524303 DXH524298:DXH524303 EHD524298:EHD524303 EQZ524298:EQZ524303 FAV524298:FAV524303 FKR524298:FKR524303 FUN524298:FUN524303 GEJ524298:GEJ524303 GOF524298:GOF524303 GYB524298:GYB524303 HHX524298:HHX524303 HRT524298:HRT524303 IBP524298:IBP524303 ILL524298:ILL524303 IVH524298:IVH524303 JFD524298:JFD524303 JOZ524298:JOZ524303 JYV524298:JYV524303 KIR524298:KIR524303 KSN524298:KSN524303 LCJ524298:LCJ524303 LMF524298:LMF524303 LWB524298:LWB524303 MFX524298:MFX524303 MPT524298:MPT524303 MZP524298:MZP524303 NJL524298:NJL524303 NTH524298:NTH524303 ODD524298:ODD524303 OMZ524298:OMZ524303 OWV524298:OWV524303 PGR524298:PGR524303 PQN524298:PQN524303 QAJ524298:QAJ524303 QKF524298:QKF524303 QUB524298:QUB524303 RDX524298:RDX524303 RNT524298:RNT524303 RXP524298:RXP524303 SHL524298:SHL524303 SRH524298:SRH524303 TBD524298:TBD524303 TKZ524298:TKZ524303 TUV524298:TUV524303 UER524298:UER524303 UON524298:UON524303 UYJ524298:UYJ524303 VIF524298:VIF524303 VSB524298:VSB524303 WBX524298:WBX524303 WLT524298:WLT524303 WVP524298:WVP524303 H589834:H589839 JD589834:JD589839 SZ589834:SZ589839 ACV589834:ACV589839 AMR589834:AMR589839 AWN589834:AWN589839 BGJ589834:BGJ589839 BQF589834:BQF589839 CAB589834:CAB589839 CJX589834:CJX589839 CTT589834:CTT589839 DDP589834:DDP589839 DNL589834:DNL589839 DXH589834:DXH589839 EHD589834:EHD589839 EQZ589834:EQZ589839 FAV589834:FAV589839 FKR589834:FKR589839 FUN589834:FUN589839 GEJ589834:GEJ589839 GOF589834:GOF589839 GYB589834:GYB589839 HHX589834:HHX589839 HRT589834:HRT589839 IBP589834:IBP589839 ILL589834:ILL589839 IVH589834:IVH589839 JFD589834:JFD589839 JOZ589834:JOZ589839 JYV589834:JYV589839 KIR589834:KIR589839 KSN589834:KSN589839 LCJ589834:LCJ589839 LMF589834:LMF589839 LWB589834:LWB589839 MFX589834:MFX589839 MPT589834:MPT589839 MZP589834:MZP589839 NJL589834:NJL589839 NTH589834:NTH589839 ODD589834:ODD589839 OMZ589834:OMZ589839 OWV589834:OWV589839 PGR589834:PGR589839 PQN589834:PQN589839 QAJ589834:QAJ589839 QKF589834:QKF589839 QUB589834:QUB589839 RDX589834:RDX589839 RNT589834:RNT589839 RXP589834:RXP589839 SHL589834:SHL589839 SRH589834:SRH589839 TBD589834:TBD589839 TKZ589834:TKZ589839 TUV589834:TUV589839 UER589834:UER589839 UON589834:UON589839 UYJ589834:UYJ589839 VIF589834:VIF589839 VSB589834:VSB589839 WBX589834:WBX589839 WLT589834:WLT589839 WVP589834:WVP589839 H655370:H655375 JD655370:JD655375 SZ655370:SZ655375 ACV655370:ACV655375 AMR655370:AMR655375 AWN655370:AWN655375 BGJ655370:BGJ655375 BQF655370:BQF655375 CAB655370:CAB655375 CJX655370:CJX655375 CTT655370:CTT655375 DDP655370:DDP655375 DNL655370:DNL655375 DXH655370:DXH655375 EHD655370:EHD655375 EQZ655370:EQZ655375 FAV655370:FAV655375 FKR655370:FKR655375 FUN655370:FUN655375 GEJ655370:GEJ655375 GOF655370:GOF655375 GYB655370:GYB655375 HHX655370:HHX655375 HRT655370:HRT655375 IBP655370:IBP655375 ILL655370:ILL655375 IVH655370:IVH655375 JFD655370:JFD655375 JOZ655370:JOZ655375 JYV655370:JYV655375 KIR655370:KIR655375 KSN655370:KSN655375 LCJ655370:LCJ655375 LMF655370:LMF655375 LWB655370:LWB655375 MFX655370:MFX655375 MPT655370:MPT655375 MZP655370:MZP655375 NJL655370:NJL655375 NTH655370:NTH655375 ODD655370:ODD655375 OMZ655370:OMZ655375 OWV655370:OWV655375 PGR655370:PGR655375 PQN655370:PQN655375 QAJ655370:QAJ655375 QKF655370:QKF655375 QUB655370:QUB655375 RDX655370:RDX655375 RNT655370:RNT655375 RXP655370:RXP655375 SHL655370:SHL655375 SRH655370:SRH655375 TBD655370:TBD655375 TKZ655370:TKZ655375 TUV655370:TUV655375 UER655370:UER655375 UON655370:UON655375 UYJ655370:UYJ655375 VIF655370:VIF655375 VSB655370:VSB655375 WBX655370:WBX655375 WLT655370:WLT655375 WVP655370:WVP655375 H720906:H720911 JD720906:JD720911 SZ720906:SZ720911 ACV720906:ACV720911 AMR720906:AMR720911 AWN720906:AWN720911 BGJ720906:BGJ720911 BQF720906:BQF720911 CAB720906:CAB720911 CJX720906:CJX720911 CTT720906:CTT720911 DDP720906:DDP720911 DNL720906:DNL720911 DXH720906:DXH720911 EHD720906:EHD720911 EQZ720906:EQZ720911 FAV720906:FAV720911 FKR720906:FKR720911 FUN720906:FUN720911 GEJ720906:GEJ720911 GOF720906:GOF720911 GYB720906:GYB720911 HHX720906:HHX720911 HRT720906:HRT720911 IBP720906:IBP720911 ILL720906:ILL720911 IVH720906:IVH720911 JFD720906:JFD720911 JOZ720906:JOZ720911 JYV720906:JYV720911 KIR720906:KIR720911 KSN720906:KSN720911 LCJ720906:LCJ720911 LMF720906:LMF720911 LWB720906:LWB720911 MFX720906:MFX720911 MPT720906:MPT720911 MZP720906:MZP720911 NJL720906:NJL720911 NTH720906:NTH720911 ODD720906:ODD720911 OMZ720906:OMZ720911 OWV720906:OWV720911 PGR720906:PGR720911 PQN720906:PQN720911 QAJ720906:QAJ720911 QKF720906:QKF720911 QUB720906:QUB720911 RDX720906:RDX720911 RNT720906:RNT720911 RXP720906:RXP720911 SHL720906:SHL720911 SRH720906:SRH720911 TBD720906:TBD720911 TKZ720906:TKZ720911 TUV720906:TUV720911 UER720906:UER720911 UON720906:UON720911 UYJ720906:UYJ720911 VIF720906:VIF720911 VSB720906:VSB720911 WBX720906:WBX720911 WLT720906:WLT720911 WVP720906:WVP720911 H786442:H786447 JD786442:JD786447 SZ786442:SZ786447 ACV786442:ACV786447 AMR786442:AMR786447 AWN786442:AWN786447 BGJ786442:BGJ786447 BQF786442:BQF786447 CAB786442:CAB786447 CJX786442:CJX786447 CTT786442:CTT786447 DDP786442:DDP786447 DNL786442:DNL786447 DXH786442:DXH786447 EHD786442:EHD786447 EQZ786442:EQZ786447 FAV786442:FAV786447 FKR786442:FKR786447 FUN786442:FUN786447 GEJ786442:GEJ786447 GOF786442:GOF786447 GYB786442:GYB786447 HHX786442:HHX786447 HRT786442:HRT786447 IBP786442:IBP786447 ILL786442:ILL786447 IVH786442:IVH786447 JFD786442:JFD786447 JOZ786442:JOZ786447 JYV786442:JYV786447 KIR786442:KIR786447 KSN786442:KSN786447 LCJ786442:LCJ786447 LMF786442:LMF786447 LWB786442:LWB786447 MFX786442:MFX786447 MPT786442:MPT786447 MZP786442:MZP786447 NJL786442:NJL786447 NTH786442:NTH786447 ODD786442:ODD786447 OMZ786442:OMZ786447 OWV786442:OWV786447 PGR786442:PGR786447 PQN786442:PQN786447 QAJ786442:QAJ786447 QKF786442:QKF786447 QUB786442:QUB786447 RDX786442:RDX786447 RNT786442:RNT786447 RXP786442:RXP786447 SHL786442:SHL786447 SRH786442:SRH786447 TBD786442:TBD786447 TKZ786442:TKZ786447 TUV786442:TUV786447 UER786442:UER786447 UON786442:UON786447 UYJ786442:UYJ786447 VIF786442:VIF786447 VSB786442:VSB786447 WBX786442:WBX786447 WLT786442:WLT786447 WVP786442:WVP786447 H851978:H851983 JD851978:JD851983 SZ851978:SZ851983 ACV851978:ACV851983 AMR851978:AMR851983 AWN851978:AWN851983 BGJ851978:BGJ851983 BQF851978:BQF851983 CAB851978:CAB851983 CJX851978:CJX851983 CTT851978:CTT851983 DDP851978:DDP851983 DNL851978:DNL851983 DXH851978:DXH851983 EHD851978:EHD851983 EQZ851978:EQZ851983 FAV851978:FAV851983 FKR851978:FKR851983 FUN851978:FUN851983 GEJ851978:GEJ851983 GOF851978:GOF851983 GYB851978:GYB851983 HHX851978:HHX851983 HRT851978:HRT851983 IBP851978:IBP851983 ILL851978:ILL851983 IVH851978:IVH851983 JFD851978:JFD851983 JOZ851978:JOZ851983 JYV851978:JYV851983 KIR851978:KIR851983 KSN851978:KSN851983 LCJ851978:LCJ851983 LMF851978:LMF851983 LWB851978:LWB851983 MFX851978:MFX851983 MPT851978:MPT851983 MZP851978:MZP851983 NJL851978:NJL851983 NTH851978:NTH851983 ODD851978:ODD851983 OMZ851978:OMZ851983 OWV851978:OWV851983 PGR851978:PGR851983 PQN851978:PQN851983 QAJ851978:QAJ851983 QKF851978:QKF851983 QUB851978:QUB851983 RDX851978:RDX851983 RNT851978:RNT851983 RXP851978:RXP851983 SHL851978:SHL851983 SRH851978:SRH851983 TBD851978:TBD851983 TKZ851978:TKZ851983 TUV851978:TUV851983 UER851978:UER851983 UON851978:UON851983 UYJ851978:UYJ851983 VIF851978:VIF851983 VSB851978:VSB851983 WBX851978:WBX851983 WLT851978:WLT851983 WVP851978:WVP851983 H917514:H917519 JD917514:JD917519 SZ917514:SZ917519 ACV917514:ACV917519 AMR917514:AMR917519 AWN917514:AWN917519 BGJ917514:BGJ917519 BQF917514:BQF917519 CAB917514:CAB917519 CJX917514:CJX917519 CTT917514:CTT917519 DDP917514:DDP917519 DNL917514:DNL917519 DXH917514:DXH917519 EHD917514:EHD917519 EQZ917514:EQZ917519 FAV917514:FAV917519 FKR917514:FKR917519 FUN917514:FUN917519 GEJ917514:GEJ917519 GOF917514:GOF917519 GYB917514:GYB917519 HHX917514:HHX917519 HRT917514:HRT917519 IBP917514:IBP917519 ILL917514:ILL917519 IVH917514:IVH917519 JFD917514:JFD917519 JOZ917514:JOZ917519 JYV917514:JYV917519 KIR917514:KIR917519 KSN917514:KSN917519 LCJ917514:LCJ917519 LMF917514:LMF917519 LWB917514:LWB917519 MFX917514:MFX917519 MPT917514:MPT917519 MZP917514:MZP917519 NJL917514:NJL917519 NTH917514:NTH917519 ODD917514:ODD917519 OMZ917514:OMZ917519 OWV917514:OWV917519 PGR917514:PGR917519 PQN917514:PQN917519 QAJ917514:QAJ917519 QKF917514:QKF917519 QUB917514:QUB917519 RDX917514:RDX917519 RNT917514:RNT917519 RXP917514:RXP917519 SHL917514:SHL917519 SRH917514:SRH917519 TBD917514:TBD917519 TKZ917514:TKZ917519 TUV917514:TUV917519 UER917514:UER917519 UON917514:UON917519 UYJ917514:UYJ917519 VIF917514:VIF917519 VSB917514:VSB917519 WBX917514:WBX917519 WLT917514:WLT917519 WVP917514:WVP917519 H983050:H983055 JD983050:JD983055 SZ983050:SZ983055 ACV983050:ACV983055 AMR983050:AMR983055 AWN983050:AWN983055 BGJ983050:BGJ983055 BQF983050:BQF983055 CAB983050:CAB983055 CJX983050:CJX983055 CTT983050:CTT983055 DDP983050:DDP983055 DNL983050:DNL983055 DXH983050:DXH983055 EHD983050:EHD983055 EQZ983050:EQZ983055 FAV983050:FAV983055 FKR983050:FKR983055 FUN983050:FUN983055 GEJ983050:GEJ983055 GOF983050:GOF983055 GYB983050:GYB983055 HHX983050:HHX983055 HRT983050:HRT983055 IBP983050:IBP983055 ILL983050:ILL983055 IVH983050:IVH983055 JFD983050:JFD983055 JOZ983050:JOZ983055 JYV983050:JYV983055 KIR983050:KIR983055 KSN983050:KSN983055 LCJ983050:LCJ983055 LMF983050:LMF983055 LWB983050:LWB983055 MFX983050:MFX983055 MPT983050:MPT983055 MZP983050:MZP983055 NJL983050:NJL983055 NTH983050:NTH983055 ODD983050:ODD983055 OMZ983050:OMZ983055 OWV983050:OWV983055 PGR983050:PGR983055 PQN983050:PQN983055 QAJ983050:QAJ983055 QKF983050:QKF983055 QUB983050:QUB983055 RDX983050:RDX983055 RNT983050:RNT983055 RXP983050:RXP983055 SHL983050:SHL983055 SRH983050:SRH983055 TBD983050:TBD983055 TKZ983050:TKZ983055 TUV983050:TUV983055 UER983050:UER983055 UON983050:UON983055 UYJ983050:UYJ983055 VIF983050:VIF983055 VSB983050:VSB983055 WBX983050:WBX983055 WLT983050:WLT983055 WVP983050:WVP983055 F17:F22 JB17:JB22 SX17:SX22 ACT17:ACT22 AMP17:AMP22 AWL17:AWL22 BGH17:BGH22 BQD17:BQD22 BZZ17:BZZ22 CJV17:CJV22 CTR17:CTR22 DDN17:DDN22 DNJ17:DNJ22 DXF17:DXF22 EHB17:EHB22 EQX17:EQX22 FAT17:FAT22 FKP17:FKP22 FUL17:FUL22 GEH17:GEH22 GOD17:GOD22 GXZ17:GXZ22 HHV17:HHV22 HRR17:HRR22 IBN17:IBN22 ILJ17:ILJ22 IVF17:IVF22 JFB17:JFB22 JOX17:JOX22 JYT17:JYT22 KIP17:KIP22 KSL17:KSL22 LCH17:LCH22 LMD17:LMD22 LVZ17:LVZ22 MFV17:MFV22 MPR17:MPR22 MZN17:MZN22 NJJ17:NJJ22 NTF17:NTF22 ODB17:ODB22 OMX17:OMX22 OWT17:OWT22 PGP17:PGP22 PQL17:PQL22 QAH17:QAH22 QKD17:QKD22 QTZ17:QTZ22 RDV17:RDV22 RNR17:RNR22 RXN17:RXN22 SHJ17:SHJ22 SRF17:SRF22 TBB17:TBB22 TKX17:TKX22 TUT17:TUT22 UEP17:UEP22 UOL17:UOL22 UYH17:UYH22 VID17:VID22 VRZ17:VRZ22 WBV17:WBV22 WLR17:WLR22 WVN17:WVN22 F65553:F65558 JB65553:JB65558 SX65553:SX65558 ACT65553:ACT65558 AMP65553:AMP65558 AWL65553:AWL65558 BGH65553:BGH65558 BQD65553:BQD65558 BZZ65553:BZZ65558 CJV65553:CJV65558 CTR65553:CTR65558 DDN65553:DDN65558 DNJ65553:DNJ65558 DXF65553:DXF65558 EHB65553:EHB65558 EQX65553:EQX65558 FAT65553:FAT65558 FKP65553:FKP65558 FUL65553:FUL65558 GEH65553:GEH65558 GOD65553:GOD65558 GXZ65553:GXZ65558 HHV65553:HHV65558 HRR65553:HRR65558 IBN65553:IBN65558 ILJ65553:ILJ65558 IVF65553:IVF65558 JFB65553:JFB65558 JOX65553:JOX65558 JYT65553:JYT65558 KIP65553:KIP65558 KSL65553:KSL65558 LCH65553:LCH65558 LMD65553:LMD65558 LVZ65553:LVZ65558 MFV65553:MFV65558 MPR65553:MPR65558 MZN65553:MZN65558 NJJ65553:NJJ65558 NTF65553:NTF65558 ODB65553:ODB65558 OMX65553:OMX65558 OWT65553:OWT65558 PGP65553:PGP65558 PQL65553:PQL65558 QAH65553:QAH65558 QKD65553:QKD65558 QTZ65553:QTZ65558 RDV65553:RDV65558 RNR65553:RNR65558 RXN65553:RXN65558 SHJ65553:SHJ65558 SRF65553:SRF65558 TBB65553:TBB65558 TKX65553:TKX65558 TUT65553:TUT65558 UEP65553:UEP65558 UOL65553:UOL65558 UYH65553:UYH65558 VID65553:VID65558 VRZ65553:VRZ65558 WBV65553:WBV65558 WLR65553:WLR65558 WVN65553:WVN65558 F131089:F131094 JB131089:JB131094 SX131089:SX131094 ACT131089:ACT131094 AMP131089:AMP131094 AWL131089:AWL131094 BGH131089:BGH131094 BQD131089:BQD131094 BZZ131089:BZZ131094 CJV131089:CJV131094 CTR131089:CTR131094 DDN131089:DDN131094 DNJ131089:DNJ131094 DXF131089:DXF131094 EHB131089:EHB131094 EQX131089:EQX131094 FAT131089:FAT131094 FKP131089:FKP131094 FUL131089:FUL131094 GEH131089:GEH131094 GOD131089:GOD131094 GXZ131089:GXZ131094 HHV131089:HHV131094 HRR131089:HRR131094 IBN131089:IBN131094 ILJ131089:ILJ131094 IVF131089:IVF131094 JFB131089:JFB131094 JOX131089:JOX131094 JYT131089:JYT131094 KIP131089:KIP131094 KSL131089:KSL131094 LCH131089:LCH131094 LMD131089:LMD131094 LVZ131089:LVZ131094 MFV131089:MFV131094 MPR131089:MPR131094 MZN131089:MZN131094 NJJ131089:NJJ131094 NTF131089:NTF131094 ODB131089:ODB131094 OMX131089:OMX131094 OWT131089:OWT131094 PGP131089:PGP131094 PQL131089:PQL131094 QAH131089:QAH131094 QKD131089:QKD131094 QTZ131089:QTZ131094 RDV131089:RDV131094 RNR131089:RNR131094 RXN131089:RXN131094 SHJ131089:SHJ131094 SRF131089:SRF131094 TBB131089:TBB131094 TKX131089:TKX131094 TUT131089:TUT131094 UEP131089:UEP131094 UOL131089:UOL131094 UYH131089:UYH131094 VID131089:VID131094 VRZ131089:VRZ131094 WBV131089:WBV131094 WLR131089:WLR131094 WVN131089:WVN131094 F196625:F196630 JB196625:JB196630 SX196625:SX196630 ACT196625:ACT196630 AMP196625:AMP196630 AWL196625:AWL196630 BGH196625:BGH196630 BQD196625:BQD196630 BZZ196625:BZZ196630 CJV196625:CJV196630 CTR196625:CTR196630 DDN196625:DDN196630 DNJ196625:DNJ196630 DXF196625:DXF196630 EHB196625:EHB196630 EQX196625:EQX196630 FAT196625:FAT196630 FKP196625:FKP196630 FUL196625:FUL196630 GEH196625:GEH196630 GOD196625:GOD196630 GXZ196625:GXZ196630 HHV196625:HHV196630 HRR196625:HRR196630 IBN196625:IBN196630 ILJ196625:ILJ196630 IVF196625:IVF196630 JFB196625:JFB196630 JOX196625:JOX196630 JYT196625:JYT196630 KIP196625:KIP196630 KSL196625:KSL196630 LCH196625:LCH196630 LMD196625:LMD196630 LVZ196625:LVZ196630 MFV196625:MFV196630 MPR196625:MPR196630 MZN196625:MZN196630 NJJ196625:NJJ196630 NTF196625:NTF196630 ODB196625:ODB196630 OMX196625:OMX196630 OWT196625:OWT196630 PGP196625:PGP196630 PQL196625:PQL196630 QAH196625:QAH196630 QKD196625:QKD196630 QTZ196625:QTZ196630 RDV196625:RDV196630 RNR196625:RNR196630 RXN196625:RXN196630 SHJ196625:SHJ196630 SRF196625:SRF196630 TBB196625:TBB196630 TKX196625:TKX196630 TUT196625:TUT196630 UEP196625:UEP196630 UOL196625:UOL196630 UYH196625:UYH196630 VID196625:VID196630 VRZ196625:VRZ196630 WBV196625:WBV196630 WLR196625:WLR196630 WVN196625:WVN196630 F262161:F262166 JB262161:JB262166 SX262161:SX262166 ACT262161:ACT262166 AMP262161:AMP262166 AWL262161:AWL262166 BGH262161:BGH262166 BQD262161:BQD262166 BZZ262161:BZZ262166 CJV262161:CJV262166 CTR262161:CTR262166 DDN262161:DDN262166 DNJ262161:DNJ262166 DXF262161:DXF262166 EHB262161:EHB262166 EQX262161:EQX262166 FAT262161:FAT262166 FKP262161:FKP262166 FUL262161:FUL262166 GEH262161:GEH262166 GOD262161:GOD262166 GXZ262161:GXZ262166 HHV262161:HHV262166 HRR262161:HRR262166 IBN262161:IBN262166 ILJ262161:ILJ262166 IVF262161:IVF262166 JFB262161:JFB262166 JOX262161:JOX262166 JYT262161:JYT262166 KIP262161:KIP262166 KSL262161:KSL262166 LCH262161:LCH262166 LMD262161:LMD262166 LVZ262161:LVZ262166 MFV262161:MFV262166 MPR262161:MPR262166 MZN262161:MZN262166 NJJ262161:NJJ262166 NTF262161:NTF262166 ODB262161:ODB262166 OMX262161:OMX262166 OWT262161:OWT262166 PGP262161:PGP262166 PQL262161:PQL262166 QAH262161:QAH262166 QKD262161:QKD262166 QTZ262161:QTZ262166 RDV262161:RDV262166 RNR262161:RNR262166 RXN262161:RXN262166 SHJ262161:SHJ262166 SRF262161:SRF262166 TBB262161:TBB262166 TKX262161:TKX262166 TUT262161:TUT262166 UEP262161:UEP262166 UOL262161:UOL262166 UYH262161:UYH262166 VID262161:VID262166 VRZ262161:VRZ262166 WBV262161:WBV262166 WLR262161:WLR262166 WVN262161:WVN262166 F327697:F327702 JB327697:JB327702 SX327697:SX327702 ACT327697:ACT327702 AMP327697:AMP327702 AWL327697:AWL327702 BGH327697:BGH327702 BQD327697:BQD327702 BZZ327697:BZZ327702 CJV327697:CJV327702 CTR327697:CTR327702 DDN327697:DDN327702 DNJ327697:DNJ327702 DXF327697:DXF327702 EHB327697:EHB327702 EQX327697:EQX327702 FAT327697:FAT327702 FKP327697:FKP327702 FUL327697:FUL327702 GEH327697:GEH327702 GOD327697:GOD327702 GXZ327697:GXZ327702 HHV327697:HHV327702 HRR327697:HRR327702 IBN327697:IBN327702 ILJ327697:ILJ327702 IVF327697:IVF327702 JFB327697:JFB327702 JOX327697:JOX327702 JYT327697:JYT327702 KIP327697:KIP327702 KSL327697:KSL327702 LCH327697:LCH327702 LMD327697:LMD327702 LVZ327697:LVZ327702 MFV327697:MFV327702 MPR327697:MPR327702 MZN327697:MZN327702 NJJ327697:NJJ327702 NTF327697:NTF327702 ODB327697:ODB327702 OMX327697:OMX327702 OWT327697:OWT327702 PGP327697:PGP327702 PQL327697:PQL327702 QAH327697:QAH327702 QKD327697:QKD327702 QTZ327697:QTZ327702 RDV327697:RDV327702 RNR327697:RNR327702 RXN327697:RXN327702 SHJ327697:SHJ327702 SRF327697:SRF327702 TBB327697:TBB327702 TKX327697:TKX327702 TUT327697:TUT327702 UEP327697:UEP327702 UOL327697:UOL327702 UYH327697:UYH327702 VID327697:VID327702 VRZ327697:VRZ327702 WBV327697:WBV327702 WLR327697:WLR327702 WVN327697:WVN327702 F393233:F393238 JB393233:JB393238 SX393233:SX393238 ACT393233:ACT393238 AMP393233:AMP393238 AWL393233:AWL393238 BGH393233:BGH393238 BQD393233:BQD393238 BZZ393233:BZZ393238 CJV393233:CJV393238 CTR393233:CTR393238 DDN393233:DDN393238 DNJ393233:DNJ393238 DXF393233:DXF393238 EHB393233:EHB393238 EQX393233:EQX393238 FAT393233:FAT393238 FKP393233:FKP393238 FUL393233:FUL393238 GEH393233:GEH393238 GOD393233:GOD393238 GXZ393233:GXZ393238 HHV393233:HHV393238 HRR393233:HRR393238 IBN393233:IBN393238 ILJ393233:ILJ393238 IVF393233:IVF393238 JFB393233:JFB393238 JOX393233:JOX393238 JYT393233:JYT393238 KIP393233:KIP393238 KSL393233:KSL393238 LCH393233:LCH393238 LMD393233:LMD393238 LVZ393233:LVZ393238 MFV393233:MFV393238 MPR393233:MPR393238 MZN393233:MZN393238 NJJ393233:NJJ393238 NTF393233:NTF393238 ODB393233:ODB393238 OMX393233:OMX393238 OWT393233:OWT393238 PGP393233:PGP393238 PQL393233:PQL393238 QAH393233:QAH393238 QKD393233:QKD393238 QTZ393233:QTZ393238 RDV393233:RDV393238 RNR393233:RNR393238 RXN393233:RXN393238 SHJ393233:SHJ393238 SRF393233:SRF393238 TBB393233:TBB393238 TKX393233:TKX393238 TUT393233:TUT393238 UEP393233:UEP393238 UOL393233:UOL393238 UYH393233:UYH393238 VID393233:VID393238 VRZ393233:VRZ393238 WBV393233:WBV393238 WLR393233:WLR393238 WVN393233:WVN393238 F458769:F458774 JB458769:JB458774 SX458769:SX458774 ACT458769:ACT458774 AMP458769:AMP458774 AWL458769:AWL458774 BGH458769:BGH458774 BQD458769:BQD458774 BZZ458769:BZZ458774 CJV458769:CJV458774 CTR458769:CTR458774 DDN458769:DDN458774 DNJ458769:DNJ458774 DXF458769:DXF458774 EHB458769:EHB458774 EQX458769:EQX458774 FAT458769:FAT458774 FKP458769:FKP458774 FUL458769:FUL458774 GEH458769:GEH458774 GOD458769:GOD458774 GXZ458769:GXZ458774 HHV458769:HHV458774 HRR458769:HRR458774 IBN458769:IBN458774 ILJ458769:ILJ458774 IVF458769:IVF458774 JFB458769:JFB458774 JOX458769:JOX458774 JYT458769:JYT458774 KIP458769:KIP458774 KSL458769:KSL458774 LCH458769:LCH458774 LMD458769:LMD458774 LVZ458769:LVZ458774 MFV458769:MFV458774 MPR458769:MPR458774 MZN458769:MZN458774 NJJ458769:NJJ458774 NTF458769:NTF458774 ODB458769:ODB458774 OMX458769:OMX458774 OWT458769:OWT458774 PGP458769:PGP458774 PQL458769:PQL458774 QAH458769:QAH458774 QKD458769:QKD458774 QTZ458769:QTZ458774 RDV458769:RDV458774 RNR458769:RNR458774 RXN458769:RXN458774 SHJ458769:SHJ458774 SRF458769:SRF458774 TBB458769:TBB458774 TKX458769:TKX458774 TUT458769:TUT458774 UEP458769:UEP458774 UOL458769:UOL458774 UYH458769:UYH458774 VID458769:VID458774 VRZ458769:VRZ458774 WBV458769:WBV458774 WLR458769:WLR458774 WVN458769:WVN458774 F524305:F524310 JB524305:JB524310 SX524305:SX524310 ACT524305:ACT524310 AMP524305:AMP524310 AWL524305:AWL524310 BGH524305:BGH524310 BQD524305:BQD524310 BZZ524305:BZZ524310 CJV524305:CJV524310 CTR524305:CTR524310 DDN524305:DDN524310 DNJ524305:DNJ524310 DXF524305:DXF524310 EHB524305:EHB524310 EQX524305:EQX524310 FAT524305:FAT524310 FKP524305:FKP524310 FUL524305:FUL524310 GEH524305:GEH524310 GOD524305:GOD524310 GXZ524305:GXZ524310 HHV524305:HHV524310 HRR524305:HRR524310 IBN524305:IBN524310 ILJ524305:ILJ524310 IVF524305:IVF524310 JFB524305:JFB524310 JOX524305:JOX524310 JYT524305:JYT524310 KIP524305:KIP524310 KSL524305:KSL524310 LCH524305:LCH524310 LMD524305:LMD524310 LVZ524305:LVZ524310 MFV524305:MFV524310 MPR524305:MPR524310 MZN524305:MZN524310 NJJ524305:NJJ524310 NTF524305:NTF524310 ODB524305:ODB524310 OMX524305:OMX524310 OWT524305:OWT524310 PGP524305:PGP524310 PQL524305:PQL524310 QAH524305:QAH524310 QKD524305:QKD524310 QTZ524305:QTZ524310 RDV524305:RDV524310 RNR524305:RNR524310 RXN524305:RXN524310 SHJ524305:SHJ524310 SRF524305:SRF524310 TBB524305:TBB524310 TKX524305:TKX524310 TUT524305:TUT524310 UEP524305:UEP524310 UOL524305:UOL524310 UYH524305:UYH524310 VID524305:VID524310 VRZ524305:VRZ524310 WBV524305:WBV524310 WLR524305:WLR524310 WVN524305:WVN524310 F589841:F589846 JB589841:JB589846 SX589841:SX589846 ACT589841:ACT589846 AMP589841:AMP589846 AWL589841:AWL589846 BGH589841:BGH589846 BQD589841:BQD589846 BZZ589841:BZZ589846 CJV589841:CJV589846 CTR589841:CTR589846 DDN589841:DDN589846 DNJ589841:DNJ589846 DXF589841:DXF589846 EHB589841:EHB589846 EQX589841:EQX589846 FAT589841:FAT589846 FKP589841:FKP589846 FUL589841:FUL589846 GEH589841:GEH589846 GOD589841:GOD589846 GXZ589841:GXZ589846 HHV589841:HHV589846 HRR589841:HRR589846 IBN589841:IBN589846 ILJ589841:ILJ589846 IVF589841:IVF589846 JFB589841:JFB589846 JOX589841:JOX589846 JYT589841:JYT589846 KIP589841:KIP589846 KSL589841:KSL589846 LCH589841:LCH589846 LMD589841:LMD589846 LVZ589841:LVZ589846 MFV589841:MFV589846 MPR589841:MPR589846 MZN589841:MZN589846 NJJ589841:NJJ589846 NTF589841:NTF589846 ODB589841:ODB589846 OMX589841:OMX589846 OWT589841:OWT589846 PGP589841:PGP589846 PQL589841:PQL589846 QAH589841:QAH589846 QKD589841:QKD589846 QTZ589841:QTZ589846 RDV589841:RDV589846 RNR589841:RNR589846 RXN589841:RXN589846 SHJ589841:SHJ589846 SRF589841:SRF589846 TBB589841:TBB589846 TKX589841:TKX589846 TUT589841:TUT589846 UEP589841:UEP589846 UOL589841:UOL589846 UYH589841:UYH589846 VID589841:VID589846 VRZ589841:VRZ589846 WBV589841:WBV589846 WLR589841:WLR589846 WVN589841:WVN589846 F655377:F655382 JB655377:JB655382 SX655377:SX655382 ACT655377:ACT655382 AMP655377:AMP655382 AWL655377:AWL655382 BGH655377:BGH655382 BQD655377:BQD655382 BZZ655377:BZZ655382 CJV655377:CJV655382 CTR655377:CTR655382 DDN655377:DDN655382 DNJ655377:DNJ655382 DXF655377:DXF655382 EHB655377:EHB655382 EQX655377:EQX655382 FAT655377:FAT655382 FKP655377:FKP655382 FUL655377:FUL655382 GEH655377:GEH655382 GOD655377:GOD655382 GXZ655377:GXZ655382 HHV655377:HHV655382 HRR655377:HRR655382 IBN655377:IBN655382 ILJ655377:ILJ655382 IVF655377:IVF655382 JFB655377:JFB655382 JOX655377:JOX655382 JYT655377:JYT655382 KIP655377:KIP655382 KSL655377:KSL655382 LCH655377:LCH655382 LMD655377:LMD655382 LVZ655377:LVZ655382 MFV655377:MFV655382 MPR655377:MPR655382 MZN655377:MZN655382 NJJ655377:NJJ655382 NTF655377:NTF655382 ODB655377:ODB655382 OMX655377:OMX655382 OWT655377:OWT655382 PGP655377:PGP655382 PQL655377:PQL655382 QAH655377:QAH655382 QKD655377:QKD655382 QTZ655377:QTZ655382 RDV655377:RDV655382 RNR655377:RNR655382 RXN655377:RXN655382 SHJ655377:SHJ655382 SRF655377:SRF655382 TBB655377:TBB655382 TKX655377:TKX655382 TUT655377:TUT655382 UEP655377:UEP655382 UOL655377:UOL655382 UYH655377:UYH655382 VID655377:VID655382 VRZ655377:VRZ655382 WBV655377:WBV655382 WLR655377:WLR655382 WVN655377:WVN655382 F720913:F720918 JB720913:JB720918 SX720913:SX720918 ACT720913:ACT720918 AMP720913:AMP720918 AWL720913:AWL720918 BGH720913:BGH720918 BQD720913:BQD720918 BZZ720913:BZZ720918 CJV720913:CJV720918 CTR720913:CTR720918 DDN720913:DDN720918 DNJ720913:DNJ720918 DXF720913:DXF720918 EHB720913:EHB720918 EQX720913:EQX720918 FAT720913:FAT720918 FKP720913:FKP720918 FUL720913:FUL720918 GEH720913:GEH720918 GOD720913:GOD720918 GXZ720913:GXZ720918 HHV720913:HHV720918 HRR720913:HRR720918 IBN720913:IBN720918 ILJ720913:ILJ720918 IVF720913:IVF720918 JFB720913:JFB720918 JOX720913:JOX720918 JYT720913:JYT720918 KIP720913:KIP720918 KSL720913:KSL720918 LCH720913:LCH720918 LMD720913:LMD720918 LVZ720913:LVZ720918 MFV720913:MFV720918 MPR720913:MPR720918 MZN720913:MZN720918 NJJ720913:NJJ720918 NTF720913:NTF720918 ODB720913:ODB720918 OMX720913:OMX720918 OWT720913:OWT720918 PGP720913:PGP720918 PQL720913:PQL720918 QAH720913:QAH720918 QKD720913:QKD720918 QTZ720913:QTZ720918 RDV720913:RDV720918 RNR720913:RNR720918 RXN720913:RXN720918 SHJ720913:SHJ720918 SRF720913:SRF720918 TBB720913:TBB720918 TKX720913:TKX720918 TUT720913:TUT720918 UEP720913:UEP720918 UOL720913:UOL720918 UYH720913:UYH720918 VID720913:VID720918 VRZ720913:VRZ720918 WBV720913:WBV720918 WLR720913:WLR720918 WVN720913:WVN720918 F786449:F786454 JB786449:JB786454 SX786449:SX786454 ACT786449:ACT786454 AMP786449:AMP786454 AWL786449:AWL786454 BGH786449:BGH786454 BQD786449:BQD786454 BZZ786449:BZZ786454 CJV786449:CJV786454 CTR786449:CTR786454 DDN786449:DDN786454 DNJ786449:DNJ786454 DXF786449:DXF786454 EHB786449:EHB786454 EQX786449:EQX786454 FAT786449:FAT786454 FKP786449:FKP786454 FUL786449:FUL786454 GEH786449:GEH786454 GOD786449:GOD786454 GXZ786449:GXZ786454 HHV786449:HHV786454 HRR786449:HRR786454 IBN786449:IBN786454 ILJ786449:ILJ786454 IVF786449:IVF786454 JFB786449:JFB786454 JOX786449:JOX786454 JYT786449:JYT786454 KIP786449:KIP786454 KSL786449:KSL786454 LCH786449:LCH786454 LMD786449:LMD786454 LVZ786449:LVZ786454 MFV786449:MFV786454 MPR786449:MPR786454 MZN786449:MZN786454 NJJ786449:NJJ786454 NTF786449:NTF786454 ODB786449:ODB786454 OMX786449:OMX786454 OWT786449:OWT786454 PGP786449:PGP786454 PQL786449:PQL786454 QAH786449:QAH786454 QKD786449:QKD786454 QTZ786449:QTZ786454 RDV786449:RDV786454 RNR786449:RNR786454 RXN786449:RXN786454 SHJ786449:SHJ786454 SRF786449:SRF786454 TBB786449:TBB786454 TKX786449:TKX786454 TUT786449:TUT786454 UEP786449:UEP786454 UOL786449:UOL786454 UYH786449:UYH786454 VID786449:VID786454 VRZ786449:VRZ786454 WBV786449:WBV786454 WLR786449:WLR786454 WVN786449:WVN786454 F851985:F851990 JB851985:JB851990 SX851985:SX851990 ACT851985:ACT851990 AMP851985:AMP851990 AWL851985:AWL851990 BGH851985:BGH851990 BQD851985:BQD851990 BZZ851985:BZZ851990 CJV851985:CJV851990 CTR851985:CTR851990 DDN851985:DDN851990 DNJ851985:DNJ851990 DXF851985:DXF851990 EHB851985:EHB851990 EQX851985:EQX851990 FAT851985:FAT851990 FKP851985:FKP851990 FUL851985:FUL851990 GEH851985:GEH851990 GOD851985:GOD851990 GXZ851985:GXZ851990 HHV851985:HHV851990 HRR851985:HRR851990 IBN851985:IBN851990 ILJ851985:ILJ851990 IVF851985:IVF851990 JFB851985:JFB851990 JOX851985:JOX851990 JYT851985:JYT851990 KIP851985:KIP851990 KSL851985:KSL851990 LCH851985:LCH851990 LMD851985:LMD851990 LVZ851985:LVZ851990 MFV851985:MFV851990 MPR851985:MPR851990 MZN851985:MZN851990 NJJ851985:NJJ851990 NTF851985:NTF851990 ODB851985:ODB851990 OMX851985:OMX851990 OWT851985:OWT851990 PGP851985:PGP851990 PQL851985:PQL851990 QAH851985:QAH851990 QKD851985:QKD851990 QTZ851985:QTZ851990 RDV851985:RDV851990 RNR851985:RNR851990 RXN851985:RXN851990 SHJ851985:SHJ851990 SRF851985:SRF851990 TBB851985:TBB851990 TKX851985:TKX851990 TUT851985:TUT851990 UEP851985:UEP851990 UOL851985:UOL851990 UYH851985:UYH851990 VID851985:VID851990 VRZ851985:VRZ851990 WBV851985:WBV851990 WLR851985:WLR851990 WVN851985:WVN851990 F917521:F917526 JB917521:JB917526 SX917521:SX917526 ACT917521:ACT917526 AMP917521:AMP917526 AWL917521:AWL917526 BGH917521:BGH917526 BQD917521:BQD917526 BZZ917521:BZZ917526 CJV917521:CJV917526 CTR917521:CTR917526 DDN917521:DDN917526 DNJ917521:DNJ917526 DXF917521:DXF917526 EHB917521:EHB917526 EQX917521:EQX917526 FAT917521:FAT917526 FKP917521:FKP917526 FUL917521:FUL917526 GEH917521:GEH917526 GOD917521:GOD917526 GXZ917521:GXZ917526 HHV917521:HHV917526 HRR917521:HRR917526 IBN917521:IBN917526 ILJ917521:ILJ917526 IVF917521:IVF917526 JFB917521:JFB917526 JOX917521:JOX917526 JYT917521:JYT917526 KIP917521:KIP917526 KSL917521:KSL917526 LCH917521:LCH917526 LMD917521:LMD917526 LVZ917521:LVZ917526 MFV917521:MFV917526 MPR917521:MPR917526 MZN917521:MZN917526 NJJ917521:NJJ917526 NTF917521:NTF917526 ODB917521:ODB917526 OMX917521:OMX917526 OWT917521:OWT917526 PGP917521:PGP917526 PQL917521:PQL917526 QAH917521:QAH917526 QKD917521:QKD917526 QTZ917521:QTZ917526 RDV917521:RDV917526 RNR917521:RNR917526 RXN917521:RXN917526 SHJ917521:SHJ917526 SRF917521:SRF917526 TBB917521:TBB917526 TKX917521:TKX917526 TUT917521:TUT917526 UEP917521:UEP917526 UOL917521:UOL917526 UYH917521:UYH917526 VID917521:VID917526 VRZ917521:VRZ917526 WBV917521:WBV917526 WLR917521:WLR917526 WVN917521:WVN917526 F983057:F983062 JB983057:JB983062 SX983057:SX983062 ACT983057:ACT983062 AMP983057:AMP983062 AWL983057:AWL983062 BGH983057:BGH983062 BQD983057:BQD983062 BZZ983057:BZZ983062 CJV983057:CJV983062 CTR983057:CTR983062 DDN983057:DDN983062 DNJ983057:DNJ983062 DXF983057:DXF983062 EHB983057:EHB983062 EQX983057:EQX983062 FAT983057:FAT983062 FKP983057:FKP983062 FUL983057:FUL983062 GEH983057:GEH983062 GOD983057:GOD983062 GXZ983057:GXZ983062 HHV983057:HHV983062 HRR983057:HRR983062 IBN983057:IBN983062 ILJ983057:ILJ983062 IVF983057:IVF983062 JFB983057:JFB983062 JOX983057:JOX983062 JYT983057:JYT983062 KIP983057:KIP983062 KSL983057:KSL983062 LCH983057:LCH983062 LMD983057:LMD983062 LVZ983057:LVZ983062 MFV983057:MFV983062 MPR983057:MPR983062 MZN983057:MZN983062 NJJ983057:NJJ983062 NTF983057:NTF983062 ODB983057:ODB983062 OMX983057:OMX983062 OWT983057:OWT983062 PGP983057:PGP983062 PQL983057:PQL983062 QAH983057:QAH983062 QKD983057:QKD983062 QTZ983057:QTZ983062 RDV983057:RDV983062 RNR983057:RNR983062 RXN983057:RXN983062 SHJ983057:SHJ983062 SRF983057:SRF983062 TBB983057:TBB983062 TKX983057:TKX983062 TUT983057:TUT983062 UEP983057:UEP983062 UOL983057:UOL983062 UYH983057:UYH983062 VID983057:VID983062 VRZ983057:VRZ983062 WBV983057:WBV983062 WLR983057:WLR983062 WVN983057:WVN983062 H17:H22 JD17:JD22 SZ17:SZ22 ACV17:ACV22 AMR17:AMR22 AWN17:AWN22 BGJ17:BGJ22 BQF17:BQF22 CAB17:CAB22 CJX17:CJX22 CTT17:CTT22 DDP17:DDP22 DNL17:DNL22 DXH17:DXH22 EHD17:EHD22 EQZ17:EQZ22 FAV17:FAV22 FKR17:FKR22 FUN17:FUN22 GEJ17:GEJ22 GOF17:GOF22 GYB17:GYB22 HHX17:HHX22 HRT17:HRT22 IBP17:IBP22 ILL17:ILL22 IVH17:IVH22 JFD17:JFD22 JOZ17:JOZ22 JYV17:JYV22 KIR17:KIR22 KSN17:KSN22 LCJ17:LCJ22 LMF17:LMF22 LWB17:LWB22 MFX17:MFX22 MPT17:MPT22 MZP17:MZP22 NJL17:NJL22 NTH17:NTH22 ODD17:ODD22 OMZ17:OMZ22 OWV17:OWV22 PGR17:PGR22 PQN17:PQN22 QAJ17:QAJ22 QKF17:QKF22 QUB17:QUB22 RDX17:RDX22 RNT17:RNT22 RXP17:RXP22 SHL17:SHL22 SRH17:SRH22 TBD17:TBD22 TKZ17:TKZ22 TUV17:TUV22 UER17:UER22 UON17:UON22 UYJ17:UYJ22 VIF17:VIF22 VSB17:VSB22 WBX17:WBX22 WLT17:WLT22 WVP17:WVP22 H65553:H65558 JD65553:JD65558 SZ65553:SZ65558 ACV65553:ACV65558 AMR65553:AMR65558 AWN65553:AWN65558 BGJ65553:BGJ65558 BQF65553:BQF65558 CAB65553:CAB65558 CJX65553:CJX65558 CTT65553:CTT65558 DDP65553:DDP65558 DNL65553:DNL65558 DXH65553:DXH65558 EHD65553:EHD65558 EQZ65553:EQZ65558 FAV65553:FAV65558 FKR65553:FKR65558 FUN65553:FUN65558 GEJ65553:GEJ65558 GOF65553:GOF65558 GYB65553:GYB65558 HHX65553:HHX65558 HRT65553:HRT65558 IBP65553:IBP65558 ILL65553:ILL65558 IVH65553:IVH65558 JFD65553:JFD65558 JOZ65553:JOZ65558 JYV65553:JYV65558 KIR65553:KIR65558 KSN65553:KSN65558 LCJ65553:LCJ65558 LMF65553:LMF65558 LWB65553:LWB65558 MFX65553:MFX65558 MPT65553:MPT65558 MZP65553:MZP65558 NJL65553:NJL65558 NTH65553:NTH65558 ODD65553:ODD65558 OMZ65553:OMZ65558 OWV65553:OWV65558 PGR65553:PGR65558 PQN65553:PQN65558 QAJ65553:QAJ65558 QKF65553:QKF65558 QUB65553:QUB65558 RDX65553:RDX65558 RNT65553:RNT65558 RXP65553:RXP65558 SHL65553:SHL65558 SRH65553:SRH65558 TBD65553:TBD65558 TKZ65553:TKZ65558 TUV65553:TUV65558 UER65553:UER65558 UON65553:UON65558 UYJ65553:UYJ65558 VIF65553:VIF65558 VSB65553:VSB65558 WBX65553:WBX65558 WLT65553:WLT65558 WVP65553:WVP65558 H131089:H131094 JD131089:JD131094 SZ131089:SZ131094 ACV131089:ACV131094 AMR131089:AMR131094 AWN131089:AWN131094 BGJ131089:BGJ131094 BQF131089:BQF131094 CAB131089:CAB131094 CJX131089:CJX131094 CTT131089:CTT131094 DDP131089:DDP131094 DNL131089:DNL131094 DXH131089:DXH131094 EHD131089:EHD131094 EQZ131089:EQZ131094 FAV131089:FAV131094 FKR131089:FKR131094 FUN131089:FUN131094 GEJ131089:GEJ131094 GOF131089:GOF131094 GYB131089:GYB131094 HHX131089:HHX131094 HRT131089:HRT131094 IBP131089:IBP131094 ILL131089:ILL131094 IVH131089:IVH131094 JFD131089:JFD131094 JOZ131089:JOZ131094 JYV131089:JYV131094 KIR131089:KIR131094 KSN131089:KSN131094 LCJ131089:LCJ131094 LMF131089:LMF131094 LWB131089:LWB131094 MFX131089:MFX131094 MPT131089:MPT131094 MZP131089:MZP131094 NJL131089:NJL131094 NTH131089:NTH131094 ODD131089:ODD131094 OMZ131089:OMZ131094 OWV131089:OWV131094 PGR131089:PGR131094 PQN131089:PQN131094 QAJ131089:QAJ131094 QKF131089:QKF131094 QUB131089:QUB131094 RDX131089:RDX131094 RNT131089:RNT131094 RXP131089:RXP131094 SHL131089:SHL131094 SRH131089:SRH131094 TBD131089:TBD131094 TKZ131089:TKZ131094 TUV131089:TUV131094 UER131089:UER131094 UON131089:UON131094 UYJ131089:UYJ131094 VIF131089:VIF131094 VSB131089:VSB131094 WBX131089:WBX131094 WLT131089:WLT131094 WVP131089:WVP131094 H196625:H196630 JD196625:JD196630 SZ196625:SZ196630 ACV196625:ACV196630 AMR196625:AMR196630 AWN196625:AWN196630 BGJ196625:BGJ196630 BQF196625:BQF196630 CAB196625:CAB196630 CJX196625:CJX196630 CTT196625:CTT196630 DDP196625:DDP196630 DNL196625:DNL196630 DXH196625:DXH196630 EHD196625:EHD196630 EQZ196625:EQZ196630 FAV196625:FAV196630 FKR196625:FKR196630 FUN196625:FUN196630 GEJ196625:GEJ196630 GOF196625:GOF196630 GYB196625:GYB196630 HHX196625:HHX196630 HRT196625:HRT196630 IBP196625:IBP196630 ILL196625:ILL196630 IVH196625:IVH196630 JFD196625:JFD196630 JOZ196625:JOZ196630 JYV196625:JYV196630 KIR196625:KIR196630 KSN196625:KSN196630 LCJ196625:LCJ196630 LMF196625:LMF196630 LWB196625:LWB196630 MFX196625:MFX196630 MPT196625:MPT196630 MZP196625:MZP196630 NJL196625:NJL196630 NTH196625:NTH196630 ODD196625:ODD196630 OMZ196625:OMZ196630 OWV196625:OWV196630 PGR196625:PGR196630 PQN196625:PQN196630 QAJ196625:QAJ196630 QKF196625:QKF196630 QUB196625:QUB196630 RDX196625:RDX196630 RNT196625:RNT196630 RXP196625:RXP196630 SHL196625:SHL196630 SRH196625:SRH196630 TBD196625:TBD196630 TKZ196625:TKZ196630 TUV196625:TUV196630 UER196625:UER196630 UON196625:UON196630 UYJ196625:UYJ196630 VIF196625:VIF196630 VSB196625:VSB196630 WBX196625:WBX196630 WLT196625:WLT196630 WVP196625:WVP196630 H262161:H262166 JD262161:JD262166 SZ262161:SZ262166 ACV262161:ACV262166 AMR262161:AMR262166 AWN262161:AWN262166 BGJ262161:BGJ262166 BQF262161:BQF262166 CAB262161:CAB262166 CJX262161:CJX262166 CTT262161:CTT262166 DDP262161:DDP262166 DNL262161:DNL262166 DXH262161:DXH262166 EHD262161:EHD262166 EQZ262161:EQZ262166 FAV262161:FAV262166 FKR262161:FKR262166 FUN262161:FUN262166 GEJ262161:GEJ262166 GOF262161:GOF262166 GYB262161:GYB262166 HHX262161:HHX262166 HRT262161:HRT262166 IBP262161:IBP262166 ILL262161:ILL262166 IVH262161:IVH262166 JFD262161:JFD262166 JOZ262161:JOZ262166 JYV262161:JYV262166 KIR262161:KIR262166 KSN262161:KSN262166 LCJ262161:LCJ262166 LMF262161:LMF262166 LWB262161:LWB262166 MFX262161:MFX262166 MPT262161:MPT262166 MZP262161:MZP262166 NJL262161:NJL262166 NTH262161:NTH262166 ODD262161:ODD262166 OMZ262161:OMZ262166 OWV262161:OWV262166 PGR262161:PGR262166 PQN262161:PQN262166 QAJ262161:QAJ262166 QKF262161:QKF262166 QUB262161:QUB262166 RDX262161:RDX262166 RNT262161:RNT262166 RXP262161:RXP262166 SHL262161:SHL262166 SRH262161:SRH262166 TBD262161:TBD262166 TKZ262161:TKZ262166 TUV262161:TUV262166 UER262161:UER262166 UON262161:UON262166 UYJ262161:UYJ262166 VIF262161:VIF262166 VSB262161:VSB262166 WBX262161:WBX262166 WLT262161:WLT262166 WVP262161:WVP262166 H327697:H327702 JD327697:JD327702 SZ327697:SZ327702 ACV327697:ACV327702 AMR327697:AMR327702 AWN327697:AWN327702 BGJ327697:BGJ327702 BQF327697:BQF327702 CAB327697:CAB327702 CJX327697:CJX327702 CTT327697:CTT327702 DDP327697:DDP327702 DNL327697:DNL327702 DXH327697:DXH327702 EHD327697:EHD327702 EQZ327697:EQZ327702 FAV327697:FAV327702 FKR327697:FKR327702 FUN327697:FUN327702 GEJ327697:GEJ327702 GOF327697:GOF327702 GYB327697:GYB327702 HHX327697:HHX327702 HRT327697:HRT327702 IBP327697:IBP327702 ILL327697:ILL327702 IVH327697:IVH327702 JFD327697:JFD327702 JOZ327697:JOZ327702 JYV327697:JYV327702 KIR327697:KIR327702 KSN327697:KSN327702 LCJ327697:LCJ327702 LMF327697:LMF327702 LWB327697:LWB327702 MFX327697:MFX327702 MPT327697:MPT327702 MZP327697:MZP327702 NJL327697:NJL327702 NTH327697:NTH327702 ODD327697:ODD327702 OMZ327697:OMZ327702 OWV327697:OWV327702 PGR327697:PGR327702 PQN327697:PQN327702 QAJ327697:QAJ327702 QKF327697:QKF327702 QUB327697:QUB327702 RDX327697:RDX327702 RNT327697:RNT327702 RXP327697:RXP327702 SHL327697:SHL327702 SRH327697:SRH327702 TBD327697:TBD327702 TKZ327697:TKZ327702 TUV327697:TUV327702 UER327697:UER327702 UON327697:UON327702 UYJ327697:UYJ327702 VIF327697:VIF327702 VSB327697:VSB327702 WBX327697:WBX327702 WLT327697:WLT327702 WVP327697:WVP327702 H393233:H393238 JD393233:JD393238 SZ393233:SZ393238 ACV393233:ACV393238 AMR393233:AMR393238 AWN393233:AWN393238 BGJ393233:BGJ393238 BQF393233:BQF393238 CAB393233:CAB393238 CJX393233:CJX393238 CTT393233:CTT393238 DDP393233:DDP393238 DNL393233:DNL393238 DXH393233:DXH393238 EHD393233:EHD393238 EQZ393233:EQZ393238 FAV393233:FAV393238 FKR393233:FKR393238 FUN393233:FUN393238 GEJ393233:GEJ393238 GOF393233:GOF393238 GYB393233:GYB393238 HHX393233:HHX393238 HRT393233:HRT393238 IBP393233:IBP393238 ILL393233:ILL393238 IVH393233:IVH393238 JFD393233:JFD393238 JOZ393233:JOZ393238 JYV393233:JYV393238 KIR393233:KIR393238 KSN393233:KSN393238 LCJ393233:LCJ393238 LMF393233:LMF393238 LWB393233:LWB393238 MFX393233:MFX393238 MPT393233:MPT393238 MZP393233:MZP393238 NJL393233:NJL393238 NTH393233:NTH393238 ODD393233:ODD393238 OMZ393233:OMZ393238 OWV393233:OWV393238 PGR393233:PGR393238 PQN393233:PQN393238 QAJ393233:QAJ393238 QKF393233:QKF393238 QUB393233:QUB393238 RDX393233:RDX393238 RNT393233:RNT393238 RXP393233:RXP393238 SHL393233:SHL393238 SRH393233:SRH393238 TBD393233:TBD393238 TKZ393233:TKZ393238 TUV393233:TUV393238 UER393233:UER393238 UON393233:UON393238 UYJ393233:UYJ393238 VIF393233:VIF393238 VSB393233:VSB393238 WBX393233:WBX393238 WLT393233:WLT393238 WVP393233:WVP393238 H458769:H458774 JD458769:JD458774 SZ458769:SZ458774 ACV458769:ACV458774 AMR458769:AMR458774 AWN458769:AWN458774 BGJ458769:BGJ458774 BQF458769:BQF458774 CAB458769:CAB458774 CJX458769:CJX458774 CTT458769:CTT458774 DDP458769:DDP458774 DNL458769:DNL458774 DXH458769:DXH458774 EHD458769:EHD458774 EQZ458769:EQZ458774 FAV458769:FAV458774 FKR458769:FKR458774 FUN458769:FUN458774 GEJ458769:GEJ458774 GOF458769:GOF458774 GYB458769:GYB458774 HHX458769:HHX458774 HRT458769:HRT458774 IBP458769:IBP458774 ILL458769:ILL458774 IVH458769:IVH458774 JFD458769:JFD458774 JOZ458769:JOZ458774 JYV458769:JYV458774 KIR458769:KIR458774 KSN458769:KSN458774 LCJ458769:LCJ458774 LMF458769:LMF458774 LWB458769:LWB458774 MFX458769:MFX458774 MPT458769:MPT458774 MZP458769:MZP458774 NJL458769:NJL458774 NTH458769:NTH458774 ODD458769:ODD458774 OMZ458769:OMZ458774 OWV458769:OWV458774 PGR458769:PGR458774 PQN458769:PQN458774 QAJ458769:QAJ458774 QKF458769:QKF458774 QUB458769:QUB458774 RDX458769:RDX458774 RNT458769:RNT458774 RXP458769:RXP458774 SHL458769:SHL458774 SRH458769:SRH458774 TBD458769:TBD458774 TKZ458769:TKZ458774 TUV458769:TUV458774 UER458769:UER458774 UON458769:UON458774 UYJ458769:UYJ458774 VIF458769:VIF458774 VSB458769:VSB458774 WBX458769:WBX458774 WLT458769:WLT458774 WVP458769:WVP458774 H524305:H524310 JD524305:JD524310 SZ524305:SZ524310 ACV524305:ACV524310 AMR524305:AMR524310 AWN524305:AWN524310 BGJ524305:BGJ524310 BQF524305:BQF524310 CAB524305:CAB524310 CJX524305:CJX524310 CTT524305:CTT524310 DDP524305:DDP524310 DNL524305:DNL524310 DXH524305:DXH524310 EHD524305:EHD524310 EQZ524305:EQZ524310 FAV524305:FAV524310 FKR524305:FKR524310 FUN524305:FUN524310 GEJ524305:GEJ524310 GOF524305:GOF524310 GYB524305:GYB524310 HHX524305:HHX524310 HRT524305:HRT524310 IBP524305:IBP524310 ILL524305:ILL524310 IVH524305:IVH524310 JFD524305:JFD524310 JOZ524305:JOZ524310 JYV524305:JYV524310 KIR524305:KIR524310 KSN524305:KSN524310 LCJ524305:LCJ524310 LMF524305:LMF524310 LWB524305:LWB524310 MFX524305:MFX524310 MPT524305:MPT524310 MZP524305:MZP524310 NJL524305:NJL524310 NTH524305:NTH524310 ODD524305:ODD524310 OMZ524305:OMZ524310 OWV524305:OWV524310 PGR524305:PGR524310 PQN524305:PQN524310 QAJ524305:QAJ524310 QKF524305:QKF524310 QUB524305:QUB524310 RDX524305:RDX524310 RNT524305:RNT524310 RXP524305:RXP524310 SHL524305:SHL524310 SRH524305:SRH524310 TBD524305:TBD524310 TKZ524305:TKZ524310 TUV524305:TUV524310 UER524305:UER524310 UON524305:UON524310 UYJ524305:UYJ524310 VIF524305:VIF524310 VSB524305:VSB524310 WBX524305:WBX524310 WLT524305:WLT524310 WVP524305:WVP524310 H589841:H589846 JD589841:JD589846 SZ589841:SZ589846 ACV589841:ACV589846 AMR589841:AMR589846 AWN589841:AWN589846 BGJ589841:BGJ589846 BQF589841:BQF589846 CAB589841:CAB589846 CJX589841:CJX589846 CTT589841:CTT589846 DDP589841:DDP589846 DNL589841:DNL589846 DXH589841:DXH589846 EHD589841:EHD589846 EQZ589841:EQZ589846 FAV589841:FAV589846 FKR589841:FKR589846 FUN589841:FUN589846 GEJ589841:GEJ589846 GOF589841:GOF589846 GYB589841:GYB589846 HHX589841:HHX589846 HRT589841:HRT589846 IBP589841:IBP589846 ILL589841:ILL589846 IVH589841:IVH589846 JFD589841:JFD589846 JOZ589841:JOZ589846 JYV589841:JYV589846 KIR589841:KIR589846 KSN589841:KSN589846 LCJ589841:LCJ589846 LMF589841:LMF589846 LWB589841:LWB589846 MFX589841:MFX589846 MPT589841:MPT589846 MZP589841:MZP589846 NJL589841:NJL589846 NTH589841:NTH589846 ODD589841:ODD589846 OMZ589841:OMZ589846 OWV589841:OWV589846 PGR589841:PGR589846 PQN589841:PQN589846 QAJ589841:QAJ589846 QKF589841:QKF589846 QUB589841:QUB589846 RDX589841:RDX589846 RNT589841:RNT589846 RXP589841:RXP589846 SHL589841:SHL589846 SRH589841:SRH589846 TBD589841:TBD589846 TKZ589841:TKZ589846 TUV589841:TUV589846 UER589841:UER589846 UON589841:UON589846 UYJ589841:UYJ589846 VIF589841:VIF589846 VSB589841:VSB589846 WBX589841:WBX589846 WLT589841:WLT589846 WVP589841:WVP589846 H655377:H655382 JD655377:JD655382 SZ655377:SZ655382 ACV655377:ACV655382 AMR655377:AMR655382 AWN655377:AWN655382 BGJ655377:BGJ655382 BQF655377:BQF655382 CAB655377:CAB655382 CJX655377:CJX655382 CTT655377:CTT655382 DDP655377:DDP655382 DNL655377:DNL655382 DXH655377:DXH655382 EHD655377:EHD655382 EQZ655377:EQZ655382 FAV655377:FAV655382 FKR655377:FKR655382 FUN655377:FUN655382 GEJ655377:GEJ655382 GOF655377:GOF655382 GYB655377:GYB655382 HHX655377:HHX655382 HRT655377:HRT655382 IBP655377:IBP655382 ILL655377:ILL655382 IVH655377:IVH655382 JFD655377:JFD655382 JOZ655377:JOZ655382 JYV655377:JYV655382 KIR655377:KIR655382 KSN655377:KSN655382 LCJ655377:LCJ655382 LMF655377:LMF655382 LWB655377:LWB655382 MFX655377:MFX655382 MPT655377:MPT655382 MZP655377:MZP655382 NJL655377:NJL655382 NTH655377:NTH655382 ODD655377:ODD655382 OMZ655377:OMZ655382 OWV655377:OWV655382 PGR655377:PGR655382 PQN655377:PQN655382 QAJ655377:QAJ655382 QKF655377:QKF655382 QUB655377:QUB655382 RDX655377:RDX655382 RNT655377:RNT655382 RXP655377:RXP655382 SHL655377:SHL655382 SRH655377:SRH655382 TBD655377:TBD655382 TKZ655377:TKZ655382 TUV655377:TUV655382 UER655377:UER655382 UON655377:UON655382 UYJ655377:UYJ655382 VIF655377:VIF655382 VSB655377:VSB655382 WBX655377:WBX655382 WLT655377:WLT655382 WVP655377:WVP655382 H720913:H720918 JD720913:JD720918 SZ720913:SZ720918 ACV720913:ACV720918 AMR720913:AMR720918 AWN720913:AWN720918 BGJ720913:BGJ720918 BQF720913:BQF720918 CAB720913:CAB720918 CJX720913:CJX720918 CTT720913:CTT720918 DDP720913:DDP720918 DNL720913:DNL720918 DXH720913:DXH720918 EHD720913:EHD720918 EQZ720913:EQZ720918 FAV720913:FAV720918 FKR720913:FKR720918 FUN720913:FUN720918 GEJ720913:GEJ720918 GOF720913:GOF720918 GYB720913:GYB720918 HHX720913:HHX720918 HRT720913:HRT720918 IBP720913:IBP720918 ILL720913:ILL720918 IVH720913:IVH720918 JFD720913:JFD720918 JOZ720913:JOZ720918 JYV720913:JYV720918 KIR720913:KIR720918 KSN720913:KSN720918 LCJ720913:LCJ720918 LMF720913:LMF720918 LWB720913:LWB720918 MFX720913:MFX720918 MPT720913:MPT720918 MZP720913:MZP720918 NJL720913:NJL720918 NTH720913:NTH720918 ODD720913:ODD720918 OMZ720913:OMZ720918 OWV720913:OWV720918 PGR720913:PGR720918 PQN720913:PQN720918 QAJ720913:QAJ720918 QKF720913:QKF720918 QUB720913:QUB720918 RDX720913:RDX720918 RNT720913:RNT720918 RXP720913:RXP720918 SHL720913:SHL720918 SRH720913:SRH720918 TBD720913:TBD720918 TKZ720913:TKZ720918 TUV720913:TUV720918 UER720913:UER720918 UON720913:UON720918 UYJ720913:UYJ720918 VIF720913:VIF720918 VSB720913:VSB720918 WBX720913:WBX720918 WLT720913:WLT720918 WVP720913:WVP720918 H786449:H786454 JD786449:JD786454 SZ786449:SZ786454 ACV786449:ACV786454 AMR786449:AMR786454 AWN786449:AWN786454 BGJ786449:BGJ786454 BQF786449:BQF786454 CAB786449:CAB786454 CJX786449:CJX786454 CTT786449:CTT786454 DDP786449:DDP786454 DNL786449:DNL786454 DXH786449:DXH786454 EHD786449:EHD786454 EQZ786449:EQZ786454 FAV786449:FAV786454 FKR786449:FKR786454 FUN786449:FUN786454 GEJ786449:GEJ786454 GOF786449:GOF786454 GYB786449:GYB786454 HHX786449:HHX786454 HRT786449:HRT786454 IBP786449:IBP786454 ILL786449:ILL786454 IVH786449:IVH786454 JFD786449:JFD786454 JOZ786449:JOZ786454 JYV786449:JYV786454 KIR786449:KIR786454 KSN786449:KSN786454 LCJ786449:LCJ786454 LMF786449:LMF786454 LWB786449:LWB786454 MFX786449:MFX786454 MPT786449:MPT786454 MZP786449:MZP786454 NJL786449:NJL786454 NTH786449:NTH786454 ODD786449:ODD786454 OMZ786449:OMZ786454 OWV786449:OWV786454 PGR786449:PGR786454 PQN786449:PQN786454 QAJ786449:QAJ786454 QKF786449:QKF786454 QUB786449:QUB786454 RDX786449:RDX786454 RNT786449:RNT786454 RXP786449:RXP786454 SHL786449:SHL786454 SRH786449:SRH786454 TBD786449:TBD786454 TKZ786449:TKZ786454 TUV786449:TUV786454 UER786449:UER786454 UON786449:UON786454 UYJ786449:UYJ786454 VIF786449:VIF786454 VSB786449:VSB786454 WBX786449:WBX786454 WLT786449:WLT786454 WVP786449:WVP786454 H851985:H851990 JD851985:JD851990 SZ851985:SZ851990 ACV851985:ACV851990 AMR851985:AMR851990 AWN851985:AWN851990 BGJ851985:BGJ851990 BQF851985:BQF851990 CAB851985:CAB851990 CJX851985:CJX851990 CTT851985:CTT851990 DDP851985:DDP851990 DNL851985:DNL851990 DXH851985:DXH851990 EHD851985:EHD851990 EQZ851985:EQZ851990 FAV851985:FAV851990 FKR851985:FKR851990 FUN851985:FUN851990 GEJ851985:GEJ851990 GOF851985:GOF851990 GYB851985:GYB851990 HHX851985:HHX851990 HRT851985:HRT851990 IBP851985:IBP851990 ILL851985:ILL851990 IVH851985:IVH851990 JFD851985:JFD851990 JOZ851985:JOZ851990 JYV851985:JYV851990 KIR851985:KIR851990 KSN851985:KSN851990 LCJ851985:LCJ851990 LMF851985:LMF851990 LWB851985:LWB851990 MFX851985:MFX851990 MPT851985:MPT851990 MZP851985:MZP851990 NJL851985:NJL851990 NTH851985:NTH851990 ODD851985:ODD851990 OMZ851985:OMZ851990 OWV851985:OWV851990 PGR851985:PGR851990 PQN851985:PQN851990 QAJ851985:QAJ851990 QKF851985:QKF851990 QUB851985:QUB851990 RDX851985:RDX851990 RNT851985:RNT851990 RXP851985:RXP851990 SHL851985:SHL851990 SRH851985:SRH851990 TBD851985:TBD851990 TKZ851985:TKZ851990 TUV851985:TUV851990 UER851985:UER851990 UON851985:UON851990 UYJ851985:UYJ851990 VIF851985:VIF851990 VSB851985:VSB851990 WBX851985:WBX851990 WLT851985:WLT851990 WVP851985:WVP851990 H917521:H917526 JD917521:JD917526 SZ917521:SZ917526 ACV917521:ACV917526 AMR917521:AMR917526 AWN917521:AWN917526 BGJ917521:BGJ917526 BQF917521:BQF917526 CAB917521:CAB917526 CJX917521:CJX917526 CTT917521:CTT917526 DDP917521:DDP917526 DNL917521:DNL917526 DXH917521:DXH917526 EHD917521:EHD917526 EQZ917521:EQZ917526 FAV917521:FAV917526 FKR917521:FKR917526 FUN917521:FUN917526 GEJ917521:GEJ917526 GOF917521:GOF917526 GYB917521:GYB917526 HHX917521:HHX917526 HRT917521:HRT917526 IBP917521:IBP917526 ILL917521:ILL917526 IVH917521:IVH917526 JFD917521:JFD917526 JOZ917521:JOZ917526 JYV917521:JYV917526 KIR917521:KIR917526 KSN917521:KSN917526 LCJ917521:LCJ917526 LMF917521:LMF917526 LWB917521:LWB917526 MFX917521:MFX917526 MPT917521:MPT917526 MZP917521:MZP917526 NJL917521:NJL917526 NTH917521:NTH917526 ODD917521:ODD917526 OMZ917521:OMZ917526 OWV917521:OWV917526 PGR917521:PGR917526 PQN917521:PQN917526 QAJ917521:QAJ917526 QKF917521:QKF917526 QUB917521:QUB917526 RDX917521:RDX917526 RNT917521:RNT917526 RXP917521:RXP917526 SHL917521:SHL917526 SRH917521:SRH917526 TBD917521:TBD917526 TKZ917521:TKZ917526 TUV917521:TUV917526 UER917521:UER917526 UON917521:UON917526 UYJ917521:UYJ917526 VIF917521:VIF917526 VSB917521:VSB917526 WBX917521:WBX917526 WLT917521:WLT917526 WVP917521:WVP917526 H983057:H983062 JD983057:JD983062 SZ983057:SZ983062 ACV983057:ACV983062 AMR983057:AMR983062 AWN983057:AWN983062 BGJ983057:BGJ983062 BQF983057:BQF983062 CAB983057:CAB983062 CJX983057:CJX983062 CTT983057:CTT983062 DDP983057:DDP983062 DNL983057:DNL983062 DXH983057:DXH983062 EHD983057:EHD983062 EQZ983057:EQZ983062 FAV983057:FAV983062 FKR983057:FKR983062 FUN983057:FUN983062 GEJ983057:GEJ983062 GOF983057:GOF983062 GYB983057:GYB983062 HHX983057:HHX983062 HRT983057:HRT983062 IBP983057:IBP983062 ILL983057:ILL983062 IVH983057:IVH983062 JFD983057:JFD983062 JOZ983057:JOZ983062 JYV983057:JYV983062 KIR983057:KIR983062 KSN983057:KSN983062 LCJ983057:LCJ983062 LMF983057:LMF983062 LWB983057:LWB983062 MFX983057:MFX983062 MPT983057:MPT983062 MZP983057:MZP983062 NJL983057:NJL983062 NTH983057:NTH983062 ODD983057:ODD983062 OMZ983057:OMZ983062 OWV983057:OWV983062 PGR983057:PGR983062 PQN983057:PQN983062 QAJ983057:QAJ983062 QKF983057:QKF983062 QUB983057:QUB983062 RDX983057:RDX983062 RNT983057:RNT983062 RXP983057:RXP983062 SHL983057:SHL983062 SRH983057:SRH983062 TBD983057:TBD983062 TKZ983057:TKZ983062 TUV983057:TUV983062 UER983057:UER983062 UON983057:UON983062 UYJ983057:UYJ983062 VIF983057:VIF983062 VSB983057:VSB983062 WBX983057:WBX983062 WLT983057:WLT983062 WVP983057:WVP983062 J10:J15 JF10:JF15 TB10:TB15 ACX10:ACX15 AMT10:AMT15 AWP10:AWP15 BGL10:BGL15 BQH10:BQH15 CAD10:CAD15 CJZ10:CJZ15 CTV10:CTV15 DDR10:DDR15 DNN10:DNN15 DXJ10:DXJ15 EHF10:EHF15 ERB10:ERB15 FAX10:FAX15 FKT10:FKT15 FUP10:FUP15 GEL10:GEL15 GOH10:GOH15 GYD10:GYD15 HHZ10:HHZ15 HRV10:HRV15 IBR10:IBR15 ILN10:ILN15 IVJ10:IVJ15 JFF10:JFF15 JPB10:JPB15 JYX10:JYX15 KIT10:KIT15 KSP10:KSP15 LCL10:LCL15 LMH10:LMH15 LWD10:LWD15 MFZ10:MFZ15 MPV10:MPV15 MZR10:MZR15 NJN10:NJN15 NTJ10:NTJ15 ODF10:ODF15 ONB10:ONB15 OWX10:OWX15 PGT10:PGT15 PQP10:PQP15 QAL10:QAL15 QKH10:QKH15 QUD10:QUD15 RDZ10:RDZ15 RNV10:RNV15 RXR10:RXR15 SHN10:SHN15 SRJ10:SRJ15 TBF10:TBF15 TLB10:TLB15 TUX10:TUX15 UET10:UET15 UOP10:UOP15 UYL10:UYL15 VIH10:VIH15 VSD10:VSD15 WBZ10:WBZ15 WLV10:WLV15 WVR10:WVR15 J65546:J65551 JF65546:JF65551 TB65546:TB65551 ACX65546:ACX65551 AMT65546:AMT65551 AWP65546:AWP65551 BGL65546:BGL65551 BQH65546:BQH65551 CAD65546:CAD65551 CJZ65546:CJZ65551 CTV65546:CTV65551 DDR65546:DDR65551 DNN65546:DNN65551 DXJ65546:DXJ65551 EHF65546:EHF65551 ERB65546:ERB65551 FAX65546:FAX65551 FKT65546:FKT65551 FUP65546:FUP65551 GEL65546:GEL65551 GOH65546:GOH65551 GYD65546:GYD65551 HHZ65546:HHZ65551 HRV65546:HRV65551 IBR65546:IBR65551 ILN65546:ILN65551 IVJ65546:IVJ65551 JFF65546:JFF65551 JPB65546:JPB65551 JYX65546:JYX65551 KIT65546:KIT65551 KSP65546:KSP65551 LCL65546:LCL65551 LMH65546:LMH65551 LWD65546:LWD65551 MFZ65546:MFZ65551 MPV65546:MPV65551 MZR65546:MZR65551 NJN65546:NJN65551 NTJ65546:NTJ65551 ODF65546:ODF65551 ONB65546:ONB65551 OWX65546:OWX65551 PGT65546:PGT65551 PQP65546:PQP65551 QAL65546:QAL65551 QKH65546:QKH65551 QUD65546:QUD65551 RDZ65546:RDZ65551 RNV65546:RNV65551 RXR65546:RXR65551 SHN65546:SHN65551 SRJ65546:SRJ65551 TBF65546:TBF65551 TLB65546:TLB65551 TUX65546:TUX65551 UET65546:UET65551 UOP65546:UOP65551 UYL65546:UYL65551 VIH65546:VIH65551 VSD65546:VSD65551 WBZ65546:WBZ65551 WLV65546:WLV65551 WVR65546:WVR65551 J131082:J131087 JF131082:JF131087 TB131082:TB131087 ACX131082:ACX131087 AMT131082:AMT131087 AWP131082:AWP131087 BGL131082:BGL131087 BQH131082:BQH131087 CAD131082:CAD131087 CJZ131082:CJZ131087 CTV131082:CTV131087 DDR131082:DDR131087 DNN131082:DNN131087 DXJ131082:DXJ131087 EHF131082:EHF131087 ERB131082:ERB131087 FAX131082:FAX131087 FKT131082:FKT131087 FUP131082:FUP131087 GEL131082:GEL131087 GOH131082:GOH131087 GYD131082:GYD131087 HHZ131082:HHZ131087 HRV131082:HRV131087 IBR131082:IBR131087 ILN131082:ILN131087 IVJ131082:IVJ131087 JFF131082:JFF131087 JPB131082:JPB131087 JYX131082:JYX131087 KIT131082:KIT131087 KSP131082:KSP131087 LCL131082:LCL131087 LMH131082:LMH131087 LWD131082:LWD131087 MFZ131082:MFZ131087 MPV131082:MPV131087 MZR131082:MZR131087 NJN131082:NJN131087 NTJ131082:NTJ131087 ODF131082:ODF131087 ONB131082:ONB131087 OWX131082:OWX131087 PGT131082:PGT131087 PQP131082:PQP131087 QAL131082:QAL131087 QKH131082:QKH131087 QUD131082:QUD131087 RDZ131082:RDZ131087 RNV131082:RNV131087 RXR131082:RXR131087 SHN131082:SHN131087 SRJ131082:SRJ131087 TBF131082:TBF131087 TLB131082:TLB131087 TUX131082:TUX131087 UET131082:UET131087 UOP131082:UOP131087 UYL131082:UYL131087 VIH131082:VIH131087 VSD131082:VSD131087 WBZ131082:WBZ131087 WLV131082:WLV131087 WVR131082:WVR131087 J196618:J196623 JF196618:JF196623 TB196618:TB196623 ACX196618:ACX196623 AMT196618:AMT196623 AWP196618:AWP196623 BGL196618:BGL196623 BQH196618:BQH196623 CAD196618:CAD196623 CJZ196618:CJZ196623 CTV196618:CTV196623 DDR196618:DDR196623 DNN196618:DNN196623 DXJ196618:DXJ196623 EHF196618:EHF196623 ERB196618:ERB196623 FAX196618:FAX196623 FKT196618:FKT196623 FUP196618:FUP196623 GEL196618:GEL196623 GOH196618:GOH196623 GYD196618:GYD196623 HHZ196618:HHZ196623 HRV196618:HRV196623 IBR196618:IBR196623 ILN196618:ILN196623 IVJ196618:IVJ196623 JFF196618:JFF196623 JPB196618:JPB196623 JYX196618:JYX196623 KIT196618:KIT196623 KSP196618:KSP196623 LCL196618:LCL196623 LMH196618:LMH196623 LWD196618:LWD196623 MFZ196618:MFZ196623 MPV196618:MPV196623 MZR196618:MZR196623 NJN196618:NJN196623 NTJ196618:NTJ196623 ODF196618:ODF196623 ONB196618:ONB196623 OWX196618:OWX196623 PGT196618:PGT196623 PQP196618:PQP196623 QAL196618:QAL196623 QKH196618:QKH196623 QUD196618:QUD196623 RDZ196618:RDZ196623 RNV196618:RNV196623 RXR196618:RXR196623 SHN196618:SHN196623 SRJ196618:SRJ196623 TBF196618:TBF196623 TLB196618:TLB196623 TUX196618:TUX196623 UET196618:UET196623 UOP196618:UOP196623 UYL196618:UYL196623 VIH196618:VIH196623 VSD196618:VSD196623 WBZ196618:WBZ196623 WLV196618:WLV196623 WVR196618:WVR196623 J262154:J262159 JF262154:JF262159 TB262154:TB262159 ACX262154:ACX262159 AMT262154:AMT262159 AWP262154:AWP262159 BGL262154:BGL262159 BQH262154:BQH262159 CAD262154:CAD262159 CJZ262154:CJZ262159 CTV262154:CTV262159 DDR262154:DDR262159 DNN262154:DNN262159 DXJ262154:DXJ262159 EHF262154:EHF262159 ERB262154:ERB262159 FAX262154:FAX262159 FKT262154:FKT262159 FUP262154:FUP262159 GEL262154:GEL262159 GOH262154:GOH262159 GYD262154:GYD262159 HHZ262154:HHZ262159 HRV262154:HRV262159 IBR262154:IBR262159 ILN262154:ILN262159 IVJ262154:IVJ262159 JFF262154:JFF262159 JPB262154:JPB262159 JYX262154:JYX262159 KIT262154:KIT262159 KSP262154:KSP262159 LCL262154:LCL262159 LMH262154:LMH262159 LWD262154:LWD262159 MFZ262154:MFZ262159 MPV262154:MPV262159 MZR262154:MZR262159 NJN262154:NJN262159 NTJ262154:NTJ262159 ODF262154:ODF262159 ONB262154:ONB262159 OWX262154:OWX262159 PGT262154:PGT262159 PQP262154:PQP262159 QAL262154:QAL262159 QKH262154:QKH262159 QUD262154:QUD262159 RDZ262154:RDZ262159 RNV262154:RNV262159 RXR262154:RXR262159 SHN262154:SHN262159 SRJ262154:SRJ262159 TBF262154:TBF262159 TLB262154:TLB262159 TUX262154:TUX262159 UET262154:UET262159 UOP262154:UOP262159 UYL262154:UYL262159 VIH262154:VIH262159 VSD262154:VSD262159 WBZ262154:WBZ262159 WLV262154:WLV262159 WVR262154:WVR262159 J327690:J327695 JF327690:JF327695 TB327690:TB327695 ACX327690:ACX327695 AMT327690:AMT327695 AWP327690:AWP327695 BGL327690:BGL327695 BQH327690:BQH327695 CAD327690:CAD327695 CJZ327690:CJZ327695 CTV327690:CTV327695 DDR327690:DDR327695 DNN327690:DNN327695 DXJ327690:DXJ327695 EHF327690:EHF327695 ERB327690:ERB327695 FAX327690:FAX327695 FKT327690:FKT327695 FUP327690:FUP327695 GEL327690:GEL327695 GOH327690:GOH327695 GYD327690:GYD327695 HHZ327690:HHZ327695 HRV327690:HRV327695 IBR327690:IBR327695 ILN327690:ILN327695 IVJ327690:IVJ327695 JFF327690:JFF327695 JPB327690:JPB327695 JYX327690:JYX327695 KIT327690:KIT327695 KSP327690:KSP327695 LCL327690:LCL327695 LMH327690:LMH327695 LWD327690:LWD327695 MFZ327690:MFZ327695 MPV327690:MPV327695 MZR327690:MZR327695 NJN327690:NJN327695 NTJ327690:NTJ327695 ODF327690:ODF327695 ONB327690:ONB327695 OWX327690:OWX327695 PGT327690:PGT327695 PQP327690:PQP327695 QAL327690:QAL327695 QKH327690:QKH327695 QUD327690:QUD327695 RDZ327690:RDZ327695 RNV327690:RNV327695 RXR327690:RXR327695 SHN327690:SHN327695 SRJ327690:SRJ327695 TBF327690:TBF327695 TLB327690:TLB327695 TUX327690:TUX327695 UET327690:UET327695 UOP327690:UOP327695 UYL327690:UYL327695 VIH327690:VIH327695 VSD327690:VSD327695 WBZ327690:WBZ327695 WLV327690:WLV327695 WVR327690:WVR327695 J393226:J393231 JF393226:JF393231 TB393226:TB393231 ACX393226:ACX393231 AMT393226:AMT393231 AWP393226:AWP393231 BGL393226:BGL393231 BQH393226:BQH393231 CAD393226:CAD393231 CJZ393226:CJZ393231 CTV393226:CTV393231 DDR393226:DDR393231 DNN393226:DNN393231 DXJ393226:DXJ393231 EHF393226:EHF393231 ERB393226:ERB393231 FAX393226:FAX393231 FKT393226:FKT393231 FUP393226:FUP393231 GEL393226:GEL393231 GOH393226:GOH393231 GYD393226:GYD393231 HHZ393226:HHZ393231 HRV393226:HRV393231 IBR393226:IBR393231 ILN393226:ILN393231 IVJ393226:IVJ393231 JFF393226:JFF393231 JPB393226:JPB393231 JYX393226:JYX393231 KIT393226:KIT393231 KSP393226:KSP393231 LCL393226:LCL393231 LMH393226:LMH393231 LWD393226:LWD393231 MFZ393226:MFZ393231 MPV393226:MPV393231 MZR393226:MZR393231 NJN393226:NJN393231 NTJ393226:NTJ393231 ODF393226:ODF393231 ONB393226:ONB393231 OWX393226:OWX393231 PGT393226:PGT393231 PQP393226:PQP393231 QAL393226:QAL393231 QKH393226:QKH393231 QUD393226:QUD393231 RDZ393226:RDZ393231 RNV393226:RNV393231 RXR393226:RXR393231 SHN393226:SHN393231 SRJ393226:SRJ393231 TBF393226:TBF393231 TLB393226:TLB393231 TUX393226:TUX393231 UET393226:UET393231 UOP393226:UOP393231 UYL393226:UYL393231 VIH393226:VIH393231 VSD393226:VSD393231 WBZ393226:WBZ393231 WLV393226:WLV393231 WVR393226:WVR393231 J458762:J458767 JF458762:JF458767 TB458762:TB458767 ACX458762:ACX458767 AMT458762:AMT458767 AWP458762:AWP458767 BGL458762:BGL458767 BQH458762:BQH458767 CAD458762:CAD458767 CJZ458762:CJZ458767 CTV458762:CTV458767 DDR458762:DDR458767 DNN458762:DNN458767 DXJ458762:DXJ458767 EHF458762:EHF458767 ERB458762:ERB458767 FAX458762:FAX458767 FKT458762:FKT458767 FUP458762:FUP458767 GEL458762:GEL458767 GOH458762:GOH458767 GYD458762:GYD458767 HHZ458762:HHZ458767 HRV458762:HRV458767 IBR458762:IBR458767 ILN458762:ILN458767 IVJ458762:IVJ458767 JFF458762:JFF458767 JPB458762:JPB458767 JYX458762:JYX458767 KIT458762:KIT458767 KSP458762:KSP458767 LCL458762:LCL458767 LMH458762:LMH458767 LWD458762:LWD458767 MFZ458762:MFZ458767 MPV458762:MPV458767 MZR458762:MZR458767 NJN458762:NJN458767 NTJ458762:NTJ458767 ODF458762:ODF458767 ONB458762:ONB458767 OWX458762:OWX458767 PGT458762:PGT458767 PQP458762:PQP458767 QAL458762:QAL458767 QKH458762:QKH458767 QUD458762:QUD458767 RDZ458762:RDZ458767 RNV458762:RNV458767 RXR458762:RXR458767 SHN458762:SHN458767 SRJ458762:SRJ458767 TBF458762:TBF458767 TLB458762:TLB458767 TUX458762:TUX458767 UET458762:UET458767 UOP458762:UOP458767 UYL458762:UYL458767 VIH458762:VIH458767 VSD458762:VSD458767 WBZ458762:WBZ458767 WLV458762:WLV458767 WVR458762:WVR458767 J524298:J524303 JF524298:JF524303 TB524298:TB524303 ACX524298:ACX524303 AMT524298:AMT524303 AWP524298:AWP524303 BGL524298:BGL524303 BQH524298:BQH524303 CAD524298:CAD524303 CJZ524298:CJZ524303 CTV524298:CTV524303 DDR524298:DDR524303 DNN524298:DNN524303 DXJ524298:DXJ524303 EHF524298:EHF524303 ERB524298:ERB524303 FAX524298:FAX524303 FKT524298:FKT524303 FUP524298:FUP524303 GEL524298:GEL524303 GOH524298:GOH524303 GYD524298:GYD524303 HHZ524298:HHZ524303 HRV524298:HRV524303 IBR524298:IBR524303 ILN524298:ILN524303 IVJ524298:IVJ524303 JFF524298:JFF524303 JPB524298:JPB524303 JYX524298:JYX524303 KIT524298:KIT524303 KSP524298:KSP524303 LCL524298:LCL524303 LMH524298:LMH524303 LWD524298:LWD524303 MFZ524298:MFZ524303 MPV524298:MPV524303 MZR524298:MZR524303 NJN524298:NJN524303 NTJ524298:NTJ524303 ODF524298:ODF524303 ONB524298:ONB524303 OWX524298:OWX524303 PGT524298:PGT524303 PQP524298:PQP524303 QAL524298:QAL524303 QKH524298:QKH524303 QUD524298:QUD524303 RDZ524298:RDZ524303 RNV524298:RNV524303 RXR524298:RXR524303 SHN524298:SHN524303 SRJ524298:SRJ524303 TBF524298:TBF524303 TLB524298:TLB524303 TUX524298:TUX524303 UET524298:UET524303 UOP524298:UOP524303 UYL524298:UYL524303 VIH524298:VIH524303 VSD524298:VSD524303 WBZ524298:WBZ524303 WLV524298:WLV524303 WVR524298:WVR524303 J589834:J589839 JF589834:JF589839 TB589834:TB589839 ACX589834:ACX589839 AMT589834:AMT589839 AWP589834:AWP589839 BGL589834:BGL589839 BQH589834:BQH589839 CAD589834:CAD589839 CJZ589834:CJZ589839 CTV589834:CTV589839 DDR589834:DDR589839 DNN589834:DNN589839 DXJ589834:DXJ589839 EHF589834:EHF589839 ERB589834:ERB589839 FAX589834:FAX589839 FKT589834:FKT589839 FUP589834:FUP589839 GEL589834:GEL589839 GOH589834:GOH589839 GYD589834:GYD589839 HHZ589834:HHZ589839 HRV589834:HRV589839 IBR589834:IBR589839 ILN589834:ILN589839 IVJ589834:IVJ589839 JFF589834:JFF589839 JPB589834:JPB589839 JYX589834:JYX589839 KIT589834:KIT589839 KSP589834:KSP589839 LCL589834:LCL589839 LMH589834:LMH589839 LWD589834:LWD589839 MFZ589834:MFZ589839 MPV589834:MPV589839 MZR589834:MZR589839 NJN589834:NJN589839 NTJ589834:NTJ589839 ODF589834:ODF589839 ONB589834:ONB589839 OWX589834:OWX589839 PGT589834:PGT589839 PQP589834:PQP589839 QAL589834:QAL589839 QKH589834:QKH589839 QUD589834:QUD589839 RDZ589834:RDZ589839 RNV589834:RNV589839 RXR589834:RXR589839 SHN589834:SHN589839 SRJ589834:SRJ589839 TBF589834:TBF589839 TLB589834:TLB589839 TUX589834:TUX589839 UET589834:UET589839 UOP589834:UOP589839 UYL589834:UYL589839 VIH589834:VIH589839 VSD589834:VSD589839 WBZ589834:WBZ589839 WLV589834:WLV589839 WVR589834:WVR589839 J655370:J655375 JF655370:JF655375 TB655370:TB655375 ACX655370:ACX655375 AMT655370:AMT655375 AWP655370:AWP655375 BGL655370:BGL655375 BQH655370:BQH655375 CAD655370:CAD655375 CJZ655370:CJZ655375 CTV655370:CTV655375 DDR655370:DDR655375 DNN655370:DNN655375 DXJ655370:DXJ655375 EHF655370:EHF655375 ERB655370:ERB655375 FAX655370:FAX655375 FKT655370:FKT655375 FUP655370:FUP655375 GEL655370:GEL655375 GOH655370:GOH655375 GYD655370:GYD655375 HHZ655370:HHZ655375 HRV655370:HRV655375 IBR655370:IBR655375 ILN655370:ILN655375 IVJ655370:IVJ655375 JFF655370:JFF655375 JPB655370:JPB655375 JYX655370:JYX655375 KIT655370:KIT655375 KSP655370:KSP655375 LCL655370:LCL655375 LMH655370:LMH655375 LWD655370:LWD655375 MFZ655370:MFZ655375 MPV655370:MPV655375 MZR655370:MZR655375 NJN655370:NJN655375 NTJ655370:NTJ655375 ODF655370:ODF655375 ONB655370:ONB655375 OWX655370:OWX655375 PGT655370:PGT655375 PQP655370:PQP655375 QAL655370:QAL655375 QKH655370:QKH655375 QUD655370:QUD655375 RDZ655370:RDZ655375 RNV655370:RNV655375 RXR655370:RXR655375 SHN655370:SHN655375 SRJ655370:SRJ655375 TBF655370:TBF655375 TLB655370:TLB655375 TUX655370:TUX655375 UET655370:UET655375 UOP655370:UOP655375 UYL655370:UYL655375 VIH655370:VIH655375 VSD655370:VSD655375 WBZ655370:WBZ655375 WLV655370:WLV655375 WVR655370:WVR655375 J720906:J720911 JF720906:JF720911 TB720906:TB720911 ACX720906:ACX720911 AMT720906:AMT720911 AWP720906:AWP720911 BGL720906:BGL720911 BQH720906:BQH720911 CAD720906:CAD720911 CJZ720906:CJZ720911 CTV720906:CTV720911 DDR720906:DDR720911 DNN720906:DNN720911 DXJ720906:DXJ720911 EHF720906:EHF720911 ERB720906:ERB720911 FAX720906:FAX720911 FKT720906:FKT720911 FUP720906:FUP720911 GEL720906:GEL720911 GOH720906:GOH720911 GYD720906:GYD720911 HHZ720906:HHZ720911 HRV720906:HRV720911 IBR720906:IBR720911 ILN720906:ILN720911 IVJ720906:IVJ720911 JFF720906:JFF720911 JPB720906:JPB720911 JYX720906:JYX720911 KIT720906:KIT720911 KSP720906:KSP720911 LCL720906:LCL720911 LMH720906:LMH720911 LWD720906:LWD720911 MFZ720906:MFZ720911 MPV720906:MPV720911 MZR720906:MZR720911 NJN720906:NJN720911 NTJ720906:NTJ720911 ODF720906:ODF720911 ONB720906:ONB720911 OWX720906:OWX720911 PGT720906:PGT720911 PQP720906:PQP720911 QAL720906:QAL720911 QKH720906:QKH720911 QUD720906:QUD720911 RDZ720906:RDZ720911 RNV720906:RNV720911 RXR720906:RXR720911 SHN720906:SHN720911 SRJ720906:SRJ720911 TBF720906:TBF720911 TLB720906:TLB720911 TUX720906:TUX720911 UET720906:UET720911 UOP720906:UOP720911 UYL720906:UYL720911 VIH720906:VIH720911 VSD720906:VSD720911 WBZ720906:WBZ720911 WLV720906:WLV720911 WVR720906:WVR720911 J786442:J786447 JF786442:JF786447 TB786442:TB786447 ACX786442:ACX786447 AMT786442:AMT786447 AWP786442:AWP786447 BGL786442:BGL786447 BQH786442:BQH786447 CAD786442:CAD786447 CJZ786442:CJZ786447 CTV786442:CTV786447 DDR786442:DDR786447 DNN786442:DNN786447 DXJ786442:DXJ786447 EHF786442:EHF786447 ERB786442:ERB786447 FAX786442:FAX786447 FKT786442:FKT786447 FUP786442:FUP786447 GEL786442:GEL786447 GOH786442:GOH786447 GYD786442:GYD786447 HHZ786442:HHZ786447 HRV786442:HRV786447 IBR786442:IBR786447 ILN786442:ILN786447 IVJ786442:IVJ786447 JFF786442:JFF786447 JPB786442:JPB786447 JYX786442:JYX786447 KIT786442:KIT786447 KSP786442:KSP786447 LCL786442:LCL786447 LMH786442:LMH786447 LWD786442:LWD786447 MFZ786442:MFZ786447 MPV786442:MPV786447 MZR786442:MZR786447 NJN786442:NJN786447 NTJ786442:NTJ786447 ODF786442:ODF786447 ONB786442:ONB786447 OWX786442:OWX786447 PGT786442:PGT786447 PQP786442:PQP786447 QAL786442:QAL786447 QKH786442:QKH786447 QUD786442:QUD786447 RDZ786442:RDZ786447 RNV786442:RNV786447 RXR786442:RXR786447 SHN786442:SHN786447 SRJ786442:SRJ786447 TBF786442:TBF786447 TLB786442:TLB786447 TUX786442:TUX786447 UET786442:UET786447 UOP786442:UOP786447 UYL786442:UYL786447 VIH786442:VIH786447 VSD786442:VSD786447 WBZ786442:WBZ786447 WLV786442:WLV786447 WVR786442:WVR786447 J851978:J851983 JF851978:JF851983 TB851978:TB851983 ACX851978:ACX851983 AMT851978:AMT851983 AWP851978:AWP851983 BGL851978:BGL851983 BQH851978:BQH851983 CAD851978:CAD851983 CJZ851978:CJZ851983 CTV851978:CTV851983 DDR851978:DDR851983 DNN851978:DNN851983 DXJ851978:DXJ851983 EHF851978:EHF851983 ERB851978:ERB851983 FAX851978:FAX851983 FKT851978:FKT851983 FUP851978:FUP851983 GEL851978:GEL851983 GOH851978:GOH851983 GYD851978:GYD851983 HHZ851978:HHZ851983 HRV851978:HRV851983 IBR851978:IBR851983 ILN851978:ILN851983 IVJ851978:IVJ851983 JFF851978:JFF851983 JPB851978:JPB851983 JYX851978:JYX851983 KIT851978:KIT851983 KSP851978:KSP851983 LCL851978:LCL851983 LMH851978:LMH851983 LWD851978:LWD851983 MFZ851978:MFZ851983 MPV851978:MPV851983 MZR851978:MZR851983 NJN851978:NJN851983 NTJ851978:NTJ851983 ODF851978:ODF851983 ONB851978:ONB851983 OWX851978:OWX851983 PGT851978:PGT851983 PQP851978:PQP851983 QAL851978:QAL851983 QKH851978:QKH851983 QUD851978:QUD851983 RDZ851978:RDZ851983 RNV851978:RNV851983 RXR851978:RXR851983 SHN851978:SHN851983 SRJ851978:SRJ851983 TBF851978:TBF851983 TLB851978:TLB851983 TUX851978:TUX851983 UET851978:UET851983 UOP851978:UOP851983 UYL851978:UYL851983 VIH851978:VIH851983 VSD851978:VSD851983 WBZ851978:WBZ851983 WLV851978:WLV851983 WVR851978:WVR851983 J917514:J917519 JF917514:JF917519 TB917514:TB917519 ACX917514:ACX917519 AMT917514:AMT917519 AWP917514:AWP917519 BGL917514:BGL917519 BQH917514:BQH917519 CAD917514:CAD917519 CJZ917514:CJZ917519 CTV917514:CTV917519 DDR917514:DDR917519 DNN917514:DNN917519 DXJ917514:DXJ917519 EHF917514:EHF917519 ERB917514:ERB917519 FAX917514:FAX917519 FKT917514:FKT917519 FUP917514:FUP917519 GEL917514:GEL917519 GOH917514:GOH917519 GYD917514:GYD917519 HHZ917514:HHZ917519 HRV917514:HRV917519 IBR917514:IBR917519 ILN917514:ILN917519 IVJ917514:IVJ917519 JFF917514:JFF917519 JPB917514:JPB917519 JYX917514:JYX917519 KIT917514:KIT917519 KSP917514:KSP917519 LCL917514:LCL917519 LMH917514:LMH917519 LWD917514:LWD917519 MFZ917514:MFZ917519 MPV917514:MPV917519 MZR917514:MZR917519 NJN917514:NJN917519 NTJ917514:NTJ917519 ODF917514:ODF917519 ONB917514:ONB917519 OWX917514:OWX917519 PGT917514:PGT917519 PQP917514:PQP917519 QAL917514:QAL917519 QKH917514:QKH917519 QUD917514:QUD917519 RDZ917514:RDZ917519 RNV917514:RNV917519 RXR917514:RXR917519 SHN917514:SHN917519 SRJ917514:SRJ917519 TBF917514:TBF917519 TLB917514:TLB917519 TUX917514:TUX917519 UET917514:UET917519 UOP917514:UOP917519 UYL917514:UYL917519 VIH917514:VIH917519 VSD917514:VSD917519 WBZ917514:WBZ917519 WLV917514:WLV917519 WVR917514:WVR917519 J983050:J983055 JF983050:JF983055 TB983050:TB983055 ACX983050:ACX983055 AMT983050:AMT983055 AWP983050:AWP983055 BGL983050:BGL983055 BQH983050:BQH983055 CAD983050:CAD983055 CJZ983050:CJZ983055 CTV983050:CTV983055 DDR983050:DDR983055 DNN983050:DNN983055 DXJ983050:DXJ983055 EHF983050:EHF983055 ERB983050:ERB983055 FAX983050:FAX983055 FKT983050:FKT983055 FUP983050:FUP983055 GEL983050:GEL983055 GOH983050:GOH983055 GYD983050:GYD983055 HHZ983050:HHZ983055 HRV983050:HRV983055 IBR983050:IBR983055 ILN983050:ILN983055 IVJ983050:IVJ983055 JFF983050:JFF983055 JPB983050:JPB983055 JYX983050:JYX983055 KIT983050:KIT983055 KSP983050:KSP983055 LCL983050:LCL983055 LMH983050:LMH983055 LWD983050:LWD983055 MFZ983050:MFZ983055 MPV983050:MPV983055 MZR983050:MZR983055 NJN983050:NJN983055 NTJ983050:NTJ983055 ODF983050:ODF983055 ONB983050:ONB983055 OWX983050:OWX983055 PGT983050:PGT983055 PQP983050:PQP983055 QAL983050:QAL983055 QKH983050:QKH983055 QUD983050:QUD983055 RDZ983050:RDZ983055 RNV983050:RNV983055 RXR983050:RXR983055 SHN983050:SHN983055 SRJ983050:SRJ983055 TBF983050:TBF983055 TLB983050:TLB983055 TUX983050:TUX983055 UET983050:UET983055 UOP983050:UOP983055 UYL983050:UYL983055 VIH983050:VIH983055 VSD983050:VSD983055 WBZ983050:WBZ983055 WLV983050:WLV983055 WVR983050:WVR983055 J17:J22 JF17:JF22 TB17:TB22 ACX17:ACX22 AMT17:AMT22 AWP17:AWP22 BGL17:BGL22 BQH17:BQH22 CAD17:CAD22 CJZ17:CJZ22 CTV17:CTV22 DDR17:DDR22 DNN17:DNN22 DXJ17:DXJ22 EHF17:EHF22 ERB17:ERB22 FAX17:FAX22 FKT17:FKT22 FUP17:FUP22 GEL17:GEL22 GOH17:GOH22 GYD17:GYD22 HHZ17:HHZ22 HRV17:HRV22 IBR17:IBR22 ILN17:ILN22 IVJ17:IVJ22 JFF17:JFF22 JPB17:JPB22 JYX17:JYX22 KIT17:KIT22 KSP17:KSP22 LCL17:LCL22 LMH17:LMH22 LWD17:LWD22 MFZ17:MFZ22 MPV17:MPV22 MZR17:MZR22 NJN17:NJN22 NTJ17:NTJ22 ODF17:ODF22 ONB17:ONB22 OWX17:OWX22 PGT17:PGT22 PQP17:PQP22 QAL17:QAL22 QKH17:QKH22 QUD17:QUD22 RDZ17:RDZ22 RNV17:RNV22 RXR17:RXR22 SHN17:SHN22 SRJ17:SRJ22 TBF17:TBF22 TLB17:TLB22 TUX17:TUX22 UET17:UET22 UOP17:UOP22 UYL17:UYL22 VIH17:VIH22 VSD17:VSD22 WBZ17:WBZ22 WLV17:WLV22 WVR17:WVR22 J65553:J65558 JF65553:JF65558 TB65553:TB65558 ACX65553:ACX65558 AMT65553:AMT65558 AWP65553:AWP65558 BGL65553:BGL65558 BQH65553:BQH65558 CAD65553:CAD65558 CJZ65553:CJZ65558 CTV65553:CTV65558 DDR65553:DDR65558 DNN65553:DNN65558 DXJ65553:DXJ65558 EHF65553:EHF65558 ERB65553:ERB65558 FAX65553:FAX65558 FKT65553:FKT65558 FUP65553:FUP65558 GEL65553:GEL65558 GOH65553:GOH65558 GYD65553:GYD65558 HHZ65553:HHZ65558 HRV65553:HRV65558 IBR65553:IBR65558 ILN65553:ILN65558 IVJ65553:IVJ65558 JFF65553:JFF65558 JPB65553:JPB65558 JYX65553:JYX65558 KIT65553:KIT65558 KSP65553:KSP65558 LCL65553:LCL65558 LMH65553:LMH65558 LWD65553:LWD65558 MFZ65553:MFZ65558 MPV65553:MPV65558 MZR65553:MZR65558 NJN65553:NJN65558 NTJ65553:NTJ65558 ODF65553:ODF65558 ONB65553:ONB65558 OWX65553:OWX65558 PGT65553:PGT65558 PQP65553:PQP65558 QAL65553:QAL65558 QKH65553:QKH65558 QUD65553:QUD65558 RDZ65553:RDZ65558 RNV65553:RNV65558 RXR65553:RXR65558 SHN65553:SHN65558 SRJ65553:SRJ65558 TBF65553:TBF65558 TLB65553:TLB65558 TUX65553:TUX65558 UET65553:UET65558 UOP65553:UOP65558 UYL65553:UYL65558 VIH65553:VIH65558 VSD65553:VSD65558 WBZ65553:WBZ65558 WLV65553:WLV65558 WVR65553:WVR65558 J131089:J131094 JF131089:JF131094 TB131089:TB131094 ACX131089:ACX131094 AMT131089:AMT131094 AWP131089:AWP131094 BGL131089:BGL131094 BQH131089:BQH131094 CAD131089:CAD131094 CJZ131089:CJZ131094 CTV131089:CTV131094 DDR131089:DDR131094 DNN131089:DNN131094 DXJ131089:DXJ131094 EHF131089:EHF131094 ERB131089:ERB131094 FAX131089:FAX131094 FKT131089:FKT131094 FUP131089:FUP131094 GEL131089:GEL131094 GOH131089:GOH131094 GYD131089:GYD131094 HHZ131089:HHZ131094 HRV131089:HRV131094 IBR131089:IBR131094 ILN131089:ILN131094 IVJ131089:IVJ131094 JFF131089:JFF131094 JPB131089:JPB131094 JYX131089:JYX131094 KIT131089:KIT131094 KSP131089:KSP131094 LCL131089:LCL131094 LMH131089:LMH131094 LWD131089:LWD131094 MFZ131089:MFZ131094 MPV131089:MPV131094 MZR131089:MZR131094 NJN131089:NJN131094 NTJ131089:NTJ131094 ODF131089:ODF131094 ONB131089:ONB131094 OWX131089:OWX131094 PGT131089:PGT131094 PQP131089:PQP131094 QAL131089:QAL131094 QKH131089:QKH131094 QUD131089:QUD131094 RDZ131089:RDZ131094 RNV131089:RNV131094 RXR131089:RXR131094 SHN131089:SHN131094 SRJ131089:SRJ131094 TBF131089:TBF131094 TLB131089:TLB131094 TUX131089:TUX131094 UET131089:UET131094 UOP131089:UOP131094 UYL131089:UYL131094 VIH131089:VIH131094 VSD131089:VSD131094 WBZ131089:WBZ131094 WLV131089:WLV131094 WVR131089:WVR131094 J196625:J196630 JF196625:JF196630 TB196625:TB196630 ACX196625:ACX196630 AMT196625:AMT196630 AWP196625:AWP196630 BGL196625:BGL196630 BQH196625:BQH196630 CAD196625:CAD196630 CJZ196625:CJZ196630 CTV196625:CTV196630 DDR196625:DDR196630 DNN196625:DNN196630 DXJ196625:DXJ196630 EHF196625:EHF196630 ERB196625:ERB196630 FAX196625:FAX196630 FKT196625:FKT196630 FUP196625:FUP196630 GEL196625:GEL196630 GOH196625:GOH196630 GYD196625:GYD196630 HHZ196625:HHZ196630 HRV196625:HRV196630 IBR196625:IBR196630 ILN196625:ILN196630 IVJ196625:IVJ196630 JFF196625:JFF196630 JPB196625:JPB196630 JYX196625:JYX196630 KIT196625:KIT196630 KSP196625:KSP196630 LCL196625:LCL196630 LMH196625:LMH196630 LWD196625:LWD196630 MFZ196625:MFZ196630 MPV196625:MPV196630 MZR196625:MZR196630 NJN196625:NJN196630 NTJ196625:NTJ196630 ODF196625:ODF196630 ONB196625:ONB196630 OWX196625:OWX196630 PGT196625:PGT196630 PQP196625:PQP196630 QAL196625:QAL196630 QKH196625:QKH196630 QUD196625:QUD196630 RDZ196625:RDZ196630 RNV196625:RNV196630 RXR196625:RXR196630 SHN196625:SHN196630 SRJ196625:SRJ196630 TBF196625:TBF196630 TLB196625:TLB196630 TUX196625:TUX196630 UET196625:UET196630 UOP196625:UOP196630 UYL196625:UYL196630 VIH196625:VIH196630 VSD196625:VSD196630 WBZ196625:WBZ196630 WLV196625:WLV196630 WVR196625:WVR196630 J262161:J262166 JF262161:JF262166 TB262161:TB262166 ACX262161:ACX262166 AMT262161:AMT262166 AWP262161:AWP262166 BGL262161:BGL262166 BQH262161:BQH262166 CAD262161:CAD262166 CJZ262161:CJZ262166 CTV262161:CTV262166 DDR262161:DDR262166 DNN262161:DNN262166 DXJ262161:DXJ262166 EHF262161:EHF262166 ERB262161:ERB262166 FAX262161:FAX262166 FKT262161:FKT262166 FUP262161:FUP262166 GEL262161:GEL262166 GOH262161:GOH262166 GYD262161:GYD262166 HHZ262161:HHZ262166 HRV262161:HRV262166 IBR262161:IBR262166 ILN262161:ILN262166 IVJ262161:IVJ262166 JFF262161:JFF262166 JPB262161:JPB262166 JYX262161:JYX262166 KIT262161:KIT262166 KSP262161:KSP262166 LCL262161:LCL262166 LMH262161:LMH262166 LWD262161:LWD262166 MFZ262161:MFZ262166 MPV262161:MPV262166 MZR262161:MZR262166 NJN262161:NJN262166 NTJ262161:NTJ262166 ODF262161:ODF262166 ONB262161:ONB262166 OWX262161:OWX262166 PGT262161:PGT262166 PQP262161:PQP262166 QAL262161:QAL262166 QKH262161:QKH262166 QUD262161:QUD262166 RDZ262161:RDZ262166 RNV262161:RNV262166 RXR262161:RXR262166 SHN262161:SHN262166 SRJ262161:SRJ262166 TBF262161:TBF262166 TLB262161:TLB262166 TUX262161:TUX262166 UET262161:UET262166 UOP262161:UOP262166 UYL262161:UYL262166 VIH262161:VIH262166 VSD262161:VSD262166 WBZ262161:WBZ262166 WLV262161:WLV262166 WVR262161:WVR262166 J327697:J327702 JF327697:JF327702 TB327697:TB327702 ACX327697:ACX327702 AMT327697:AMT327702 AWP327697:AWP327702 BGL327697:BGL327702 BQH327697:BQH327702 CAD327697:CAD327702 CJZ327697:CJZ327702 CTV327697:CTV327702 DDR327697:DDR327702 DNN327697:DNN327702 DXJ327697:DXJ327702 EHF327697:EHF327702 ERB327697:ERB327702 FAX327697:FAX327702 FKT327697:FKT327702 FUP327697:FUP327702 GEL327697:GEL327702 GOH327697:GOH327702 GYD327697:GYD327702 HHZ327697:HHZ327702 HRV327697:HRV327702 IBR327697:IBR327702 ILN327697:ILN327702 IVJ327697:IVJ327702 JFF327697:JFF327702 JPB327697:JPB327702 JYX327697:JYX327702 KIT327697:KIT327702 KSP327697:KSP327702 LCL327697:LCL327702 LMH327697:LMH327702 LWD327697:LWD327702 MFZ327697:MFZ327702 MPV327697:MPV327702 MZR327697:MZR327702 NJN327697:NJN327702 NTJ327697:NTJ327702 ODF327697:ODF327702 ONB327697:ONB327702 OWX327697:OWX327702 PGT327697:PGT327702 PQP327697:PQP327702 QAL327697:QAL327702 QKH327697:QKH327702 QUD327697:QUD327702 RDZ327697:RDZ327702 RNV327697:RNV327702 RXR327697:RXR327702 SHN327697:SHN327702 SRJ327697:SRJ327702 TBF327697:TBF327702 TLB327697:TLB327702 TUX327697:TUX327702 UET327697:UET327702 UOP327697:UOP327702 UYL327697:UYL327702 VIH327697:VIH327702 VSD327697:VSD327702 WBZ327697:WBZ327702 WLV327697:WLV327702 WVR327697:WVR327702 J393233:J393238 JF393233:JF393238 TB393233:TB393238 ACX393233:ACX393238 AMT393233:AMT393238 AWP393233:AWP393238 BGL393233:BGL393238 BQH393233:BQH393238 CAD393233:CAD393238 CJZ393233:CJZ393238 CTV393233:CTV393238 DDR393233:DDR393238 DNN393233:DNN393238 DXJ393233:DXJ393238 EHF393233:EHF393238 ERB393233:ERB393238 FAX393233:FAX393238 FKT393233:FKT393238 FUP393233:FUP393238 GEL393233:GEL393238 GOH393233:GOH393238 GYD393233:GYD393238 HHZ393233:HHZ393238 HRV393233:HRV393238 IBR393233:IBR393238 ILN393233:ILN393238 IVJ393233:IVJ393238 JFF393233:JFF393238 JPB393233:JPB393238 JYX393233:JYX393238 KIT393233:KIT393238 KSP393233:KSP393238 LCL393233:LCL393238 LMH393233:LMH393238 LWD393233:LWD393238 MFZ393233:MFZ393238 MPV393233:MPV393238 MZR393233:MZR393238 NJN393233:NJN393238 NTJ393233:NTJ393238 ODF393233:ODF393238 ONB393233:ONB393238 OWX393233:OWX393238 PGT393233:PGT393238 PQP393233:PQP393238 QAL393233:QAL393238 QKH393233:QKH393238 QUD393233:QUD393238 RDZ393233:RDZ393238 RNV393233:RNV393238 RXR393233:RXR393238 SHN393233:SHN393238 SRJ393233:SRJ393238 TBF393233:TBF393238 TLB393233:TLB393238 TUX393233:TUX393238 UET393233:UET393238 UOP393233:UOP393238 UYL393233:UYL393238 VIH393233:VIH393238 VSD393233:VSD393238 WBZ393233:WBZ393238 WLV393233:WLV393238 WVR393233:WVR393238 J458769:J458774 JF458769:JF458774 TB458769:TB458774 ACX458769:ACX458774 AMT458769:AMT458774 AWP458769:AWP458774 BGL458769:BGL458774 BQH458769:BQH458774 CAD458769:CAD458774 CJZ458769:CJZ458774 CTV458769:CTV458774 DDR458769:DDR458774 DNN458769:DNN458774 DXJ458769:DXJ458774 EHF458769:EHF458774 ERB458769:ERB458774 FAX458769:FAX458774 FKT458769:FKT458774 FUP458769:FUP458774 GEL458769:GEL458774 GOH458769:GOH458774 GYD458769:GYD458774 HHZ458769:HHZ458774 HRV458769:HRV458774 IBR458769:IBR458774 ILN458769:ILN458774 IVJ458769:IVJ458774 JFF458769:JFF458774 JPB458769:JPB458774 JYX458769:JYX458774 KIT458769:KIT458774 KSP458769:KSP458774 LCL458769:LCL458774 LMH458769:LMH458774 LWD458769:LWD458774 MFZ458769:MFZ458774 MPV458769:MPV458774 MZR458769:MZR458774 NJN458769:NJN458774 NTJ458769:NTJ458774 ODF458769:ODF458774 ONB458769:ONB458774 OWX458769:OWX458774 PGT458769:PGT458774 PQP458769:PQP458774 QAL458769:QAL458774 QKH458769:QKH458774 QUD458769:QUD458774 RDZ458769:RDZ458774 RNV458769:RNV458774 RXR458769:RXR458774 SHN458769:SHN458774 SRJ458769:SRJ458774 TBF458769:TBF458774 TLB458769:TLB458774 TUX458769:TUX458774 UET458769:UET458774 UOP458769:UOP458774 UYL458769:UYL458774 VIH458769:VIH458774 VSD458769:VSD458774 WBZ458769:WBZ458774 WLV458769:WLV458774 WVR458769:WVR458774 J524305:J524310 JF524305:JF524310 TB524305:TB524310 ACX524305:ACX524310 AMT524305:AMT524310 AWP524305:AWP524310 BGL524305:BGL524310 BQH524305:BQH524310 CAD524305:CAD524310 CJZ524305:CJZ524310 CTV524305:CTV524310 DDR524305:DDR524310 DNN524305:DNN524310 DXJ524305:DXJ524310 EHF524305:EHF524310 ERB524305:ERB524310 FAX524305:FAX524310 FKT524305:FKT524310 FUP524305:FUP524310 GEL524305:GEL524310 GOH524305:GOH524310 GYD524305:GYD524310 HHZ524305:HHZ524310 HRV524305:HRV524310 IBR524305:IBR524310 ILN524305:ILN524310 IVJ524305:IVJ524310 JFF524305:JFF524310 JPB524305:JPB524310 JYX524305:JYX524310 KIT524305:KIT524310 KSP524305:KSP524310 LCL524305:LCL524310 LMH524305:LMH524310 LWD524305:LWD524310 MFZ524305:MFZ524310 MPV524305:MPV524310 MZR524305:MZR524310 NJN524305:NJN524310 NTJ524305:NTJ524310 ODF524305:ODF524310 ONB524305:ONB524310 OWX524305:OWX524310 PGT524305:PGT524310 PQP524305:PQP524310 QAL524305:QAL524310 QKH524305:QKH524310 QUD524305:QUD524310 RDZ524305:RDZ524310 RNV524305:RNV524310 RXR524305:RXR524310 SHN524305:SHN524310 SRJ524305:SRJ524310 TBF524305:TBF524310 TLB524305:TLB524310 TUX524305:TUX524310 UET524305:UET524310 UOP524305:UOP524310 UYL524305:UYL524310 VIH524305:VIH524310 VSD524305:VSD524310 WBZ524305:WBZ524310 WLV524305:WLV524310 WVR524305:WVR524310 J589841:J589846 JF589841:JF589846 TB589841:TB589846 ACX589841:ACX589846 AMT589841:AMT589846 AWP589841:AWP589846 BGL589841:BGL589846 BQH589841:BQH589846 CAD589841:CAD589846 CJZ589841:CJZ589846 CTV589841:CTV589846 DDR589841:DDR589846 DNN589841:DNN589846 DXJ589841:DXJ589846 EHF589841:EHF589846 ERB589841:ERB589846 FAX589841:FAX589846 FKT589841:FKT589846 FUP589841:FUP589846 GEL589841:GEL589846 GOH589841:GOH589846 GYD589841:GYD589846 HHZ589841:HHZ589846 HRV589841:HRV589846 IBR589841:IBR589846 ILN589841:ILN589846 IVJ589841:IVJ589846 JFF589841:JFF589846 JPB589841:JPB589846 JYX589841:JYX589846 KIT589841:KIT589846 KSP589841:KSP589846 LCL589841:LCL589846 LMH589841:LMH589846 LWD589841:LWD589846 MFZ589841:MFZ589846 MPV589841:MPV589846 MZR589841:MZR589846 NJN589841:NJN589846 NTJ589841:NTJ589846 ODF589841:ODF589846 ONB589841:ONB589846 OWX589841:OWX589846 PGT589841:PGT589846 PQP589841:PQP589846 QAL589841:QAL589846 QKH589841:QKH589846 QUD589841:QUD589846 RDZ589841:RDZ589846 RNV589841:RNV589846 RXR589841:RXR589846 SHN589841:SHN589846 SRJ589841:SRJ589846 TBF589841:TBF589846 TLB589841:TLB589846 TUX589841:TUX589846 UET589841:UET589846 UOP589841:UOP589846 UYL589841:UYL589846 VIH589841:VIH589846 VSD589841:VSD589846 WBZ589841:WBZ589846 WLV589841:WLV589846 WVR589841:WVR589846 J655377:J655382 JF655377:JF655382 TB655377:TB655382 ACX655377:ACX655382 AMT655377:AMT655382 AWP655377:AWP655382 BGL655377:BGL655382 BQH655377:BQH655382 CAD655377:CAD655382 CJZ655377:CJZ655382 CTV655377:CTV655382 DDR655377:DDR655382 DNN655377:DNN655382 DXJ655377:DXJ655382 EHF655377:EHF655382 ERB655377:ERB655382 FAX655377:FAX655382 FKT655377:FKT655382 FUP655377:FUP655382 GEL655377:GEL655382 GOH655377:GOH655382 GYD655377:GYD655382 HHZ655377:HHZ655382 HRV655377:HRV655382 IBR655377:IBR655382 ILN655377:ILN655382 IVJ655377:IVJ655382 JFF655377:JFF655382 JPB655377:JPB655382 JYX655377:JYX655382 KIT655377:KIT655382 KSP655377:KSP655382 LCL655377:LCL655382 LMH655377:LMH655382 LWD655377:LWD655382 MFZ655377:MFZ655382 MPV655377:MPV655382 MZR655377:MZR655382 NJN655377:NJN655382 NTJ655377:NTJ655382 ODF655377:ODF655382 ONB655377:ONB655382 OWX655377:OWX655382 PGT655377:PGT655382 PQP655377:PQP655382 QAL655377:QAL655382 QKH655377:QKH655382 QUD655377:QUD655382 RDZ655377:RDZ655382 RNV655377:RNV655382 RXR655377:RXR655382 SHN655377:SHN655382 SRJ655377:SRJ655382 TBF655377:TBF655382 TLB655377:TLB655382 TUX655377:TUX655382 UET655377:UET655382 UOP655377:UOP655382 UYL655377:UYL655382 VIH655377:VIH655382 VSD655377:VSD655382 WBZ655377:WBZ655382 WLV655377:WLV655382 WVR655377:WVR655382 J720913:J720918 JF720913:JF720918 TB720913:TB720918 ACX720913:ACX720918 AMT720913:AMT720918 AWP720913:AWP720918 BGL720913:BGL720918 BQH720913:BQH720918 CAD720913:CAD720918 CJZ720913:CJZ720918 CTV720913:CTV720918 DDR720913:DDR720918 DNN720913:DNN720918 DXJ720913:DXJ720918 EHF720913:EHF720918 ERB720913:ERB720918 FAX720913:FAX720918 FKT720913:FKT720918 FUP720913:FUP720918 GEL720913:GEL720918 GOH720913:GOH720918 GYD720913:GYD720918 HHZ720913:HHZ720918 HRV720913:HRV720918 IBR720913:IBR720918 ILN720913:ILN720918 IVJ720913:IVJ720918 JFF720913:JFF720918 JPB720913:JPB720918 JYX720913:JYX720918 KIT720913:KIT720918 KSP720913:KSP720918 LCL720913:LCL720918 LMH720913:LMH720918 LWD720913:LWD720918 MFZ720913:MFZ720918 MPV720913:MPV720918 MZR720913:MZR720918 NJN720913:NJN720918 NTJ720913:NTJ720918 ODF720913:ODF720918 ONB720913:ONB720918 OWX720913:OWX720918 PGT720913:PGT720918 PQP720913:PQP720918 QAL720913:QAL720918 QKH720913:QKH720918 QUD720913:QUD720918 RDZ720913:RDZ720918 RNV720913:RNV720918 RXR720913:RXR720918 SHN720913:SHN720918 SRJ720913:SRJ720918 TBF720913:TBF720918 TLB720913:TLB720918 TUX720913:TUX720918 UET720913:UET720918 UOP720913:UOP720918 UYL720913:UYL720918 VIH720913:VIH720918 VSD720913:VSD720918 WBZ720913:WBZ720918 WLV720913:WLV720918 WVR720913:WVR720918 J786449:J786454 JF786449:JF786454 TB786449:TB786454 ACX786449:ACX786454 AMT786449:AMT786454 AWP786449:AWP786454 BGL786449:BGL786454 BQH786449:BQH786454 CAD786449:CAD786454 CJZ786449:CJZ786454 CTV786449:CTV786454 DDR786449:DDR786454 DNN786449:DNN786454 DXJ786449:DXJ786454 EHF786449:EHF786454 ERB786449:ERB786454 FAX786449:FAX786454 FKT786449:FKT786454 FUP786449:FUP786454 GEL786449:GEL786454 GOH786449:GOH786454 GYD786449:GYD786454 HHZ786449:HHZ786454 HRV786449:HRV786454 IBR786449:IBR786454 ILN786449:ILN786454 IVJ786449:IVJ786454 JFF786449:JFF786454 JPB786449:JPB786454 JYX786449:JYX786454 KIT786449:KIT786454 KSP786449:KSP786454 LCL786449:LCL786454 LMH786449:LMH786454 LWD786449:LWD786454 MFZ786449:MFZ786454 MPV786449:MPV786454 MZR786449:MZR786454 NJN786449:NJN786454 NTJ786449:NTJ786454 ODF786449:ODF786454 ONB786449:ONB786454 OWX786449:OWX786454 PGT786449:PGT786454 PQP786449:PQP786454 QAL786449:QAL786454 QKH786449:QKH786454 QUD786449:QUD786454 RDZ786449:RDZ786454 RNV786449:RNV786454 RXR786449:RXR786454 SHN786449:SHN786454 SRJ786449:SRJ786454 TBF786449:TBF786454 TLB786449:TLB786454 TUX786449:TUX786454 UET786449:UET786454 UOP786449:UOP786454 UYL786449:UYL786454 VIH786449:VIH786454 VSD786449:VSD786454 WBZ786449:WBZ786454 WLV786449:WLV786454 WVR786449:WVR786454 J851985:J851990 JF851985:JF851990 TB851985:TB851990 ACX851985:ACX851990 AMT851985:AMT851990 AWP851985:AWP851990 BGL851985:BGL851990 BQH851985:BQH851990 CAD851985:CAD851990 CJZ851985:CJZ851990 CTV851985:CTV851990 DDR851985:DDR851990 DNN851985:DNN851990 DXJ851985:DXJ851990 EHF851985:EHF851990 ERB851985:ERB851990 FAX851985:FAX851990 FKT851985:FKT851990 FUP851985:FUP851990 GEL851985:GEL851990 GOH851985:GOH851990 GYD851985:GYD851990 HHZ851985:HHZ851990 HRV851985:HRV851990 IBR851985:IBR851990 ILN851985:ILN851990 IVJ851985:IVJ851990 JFF851985:JFF851990 JPB851985:JPB851990 JYX851985:JYX851990 KIT851985:KIT851990 KSP851985:KSP851990 LCL851985:LCL851990 LMH851985:LMH851990 LWD851985:LWD851990 MFZ851985:MFZ851990 MPV851985:MPV851990 MZR851985:MZR851990 NJN851985:NJN851990 NTJ851985:NTJ851990 ODF851985:ODF851990 ONB851985:ONB851990 OWX851985:OWX851990 PGT851985:PGT851990 PQP851985:PQP851990 QAL851985:QAL851990 QKH851985:QKH851990 QUD851985:QUD851990 RDZ851985:RDZ851990 RNV851985:RNV851990 RXR851985:RXR851990 SHN851985:SHN851990 SRJ851985:SRJ851990 TBF851985:TBF851990 TLB851985:TLB851990 TUX851985:TUX851990 UET851985:UET851990 UOP851985:UOP851990 UYL851985:UYL851990 VIH851985:VIH851990 VSD851985:VSD851990 WBZ851985:WBZ851990 WLV851985:WLV851990 WVR851985:WVR851990 J917521:J917526 JF917521:JF917526 TB917521:TB917526 ACX917521:ACX917526 AMT917521:AMT917526 AWP917521:AWP917526 BGL917521:BGL917526 BQH917521:BQH917526 CAD917521:CAD917526 CJZ917521:CJZ917526 CTV917521:CTV917526 DDR917521:DDR917526 DNN917521:DNN917526 DXJ917521:DXJ917526 EHF917521:EHF917526 ERB917521:ERB917526 FAX917521:FAX917526 FKT917521:FKT917526 FUP917521:FUP917526 GEL917521:GEL917526 GOH917521:GOH917526 GYD917521:GYD917526 HHZ917521:HHZ917526 HRV917521:HRV917526 IBR917521:IBR917526 ILN917521:ILN917526 IVJ917521:IVJ917526 JFF917521:JFF917526 JPB917521:JPB917526 JYX917521:JYX917526 KIT917521:KIT917526 KSP917521:KSP917526 LCL917521:LCL917526 LMH917521:LMH917526 LWD917521:LWD917526 MFZ917521:MFZ917526 MPV917521:MPV917526 MZR917521:MZR917526 NJN917521:NJN917526 NTJ917521:NTJ917526 ODF917521:ODF917526 ONB917521:ONB917526 OWX917521:OWX917526 PGT917521:PGT917526 PQP917521:PQP917526 QAL917521:QAL917526 QKH917521:QKH917526 QUD917521:QUD917526 RDZ917521:RDZ917526 RNV917521:RNV917526 RXR917521:RXR917526 SHN917521:SHN917526 SRJ917521:SRJ917526 TBF917521:TBF917526 TLB917521:TLB917526 TUX917521:TUX917526 UET917521:UET917526 UOP917521:UOP917526 UYL917521:UYL917526 VIH917521:VIH917526 VSD917521:VSD917526 WBZ917521:WBZ917526 WLV917521:WLV917526 WVR917521:WVR917526 J983057:J983062 JF983057:JF983062 TB983057:TB983062 ACX983057:ACX983062 AMT983057:AMT983062 AWP983057:AWP983062 BGL983057:BGL983062 BQH983057:BQH983062 CAD983057:CAD983062 CJZ983057:CJZ983062 CTV983057:CTV983062 DDR983057:DDR983062 DNN983057:DNN983062 DXJ983057:DXJ983062 EHF983057:EHF983062 ERB983057:ERB983062 FAX983057:FAX983062 FKT983057:FKT983062 FUP983057:FUP983062 GEL983057:GEL983062 GOH983057:GOH983062 GYD983057:GYD983062 HHZ983057:HHZ983062 HRV983057:HRV983062 IBR983057:IBR983062 ILN983057:ILN983062 IVJ983057:IVJ983062 JFF983057:JFF983062 JPB983057:JPB983062 JYX983057:JYX983062 KIT983057:KIT983062 KSP983057:KSP983062 LCL983057:LCL983062 LMH983057:LMH983062 LWD983057:LWD983062 MFZ983057:MFZ983062 MPV983057:MPV983062 MZR983057:MZR983062 NJN983057:NJN983062 NTJ983057:NTJ983062 ODF983057:ODF983062 ONB983057:ONB983062 OWX983057:OWX983062 PGT983057:PGT983062 PQP983057:PQP983062 QAL983057:QAL983062 QKH983057:QKH983062 QUD983057:QUD983062 RDZ983057:RDZ983062 RNV983057:RNV983062 RXR983057:RXR983062 SHN983057:SHN983062 SRJ983057:SRJ983062 TBF983057:TBF983062 TLB983057:TLB983062 TUX983057:TUX983062 UET983057:UET983062 UOP983057:UOP983062 UYL983057:UYL983062 VIH983057:VIH983062 VSD983057:VSD983062 WBZ983057:WBZ983062 WLV983057:WLV983062 WVR983057:WVR983062 L10:L15 JH10:JH15 TD10:TD15 ACZ10:ACZ15 AMV10:AMV15 AWR10:AWR15 BGN10:BGN15 BQJ10:BQJ15 CAF10:CAF15 CKB10:CKB15 CTX10:CTX15 DDT10:DDT15 DNP10:DNP15 DXL10:DXL15 EHH10:EHH15 ERD10:ERD15 FAZ10:FAZ15 FKV10:FKV15 FUR10:FUR15 GEN10:GEN15 GOJ10:GOJ15 GYF10:GYF15 HIB10:HIB15 HRX10:HRX15 IBT10:IBT15 ILP10:ILP15 IVL10:IVL15 JFH10:JFH15 JPD10:JPD15 JYZ10:JYZ15 KIV10:KIV15 KSR10:KSR15 LCN10:LCN15 LMJ10:LMJ15 LWF10:LWF15 MGB10:MGB15 MPX10:MPX15 MZT10:MZT15 NJP10:NJP15 NTL10:NTL15 ODH10:ODH15 OND10:OND15 OWZ10:OWZ15 PGV10:PGV15 PQR10:PQR15 QAN10:QAN15 QKJ10:QKJ15 QUF10:QUF15 REB10:REB15 RNX10:RNX15 RXT10:RXT15 SHP10:SHP15 SRL10:SRL15 TBH10:TBH15 TLD10:TLD15 TUZ10:TUZ15 UEV10:UEV15 UOR10:UOR15 UYN10:UYN15 VIJ10:VIJ15 VSF10:VSF15 WCB10:WCB15 WLX10:WLX15 WVT10:WVT15 L65546:L65551 JH65546:JH65551 TD65546:TD65551 ACZ65546:ACZ65551 AMV65546:AMV65551 AWR65546:AWR65551 BGN65546:BGN65551 BQJ65546:BQJ65551 CAF65546:CAF65551 CKB65546:CKB65551 CTX65546:CTX65551 DDT65546:DDT65551 DNP65546:DNP65551 DXL65546:DXL65551 EHH65546:EHH65551 ERD65546:ERD65551 FAZ65546:FAZ65551 FKV65546:FKV65551 FUR65546:FUR65551 GEN65546:GEN65551 GOJ65546:GOJ65551 GYF65546:GYF65551 HIB65546:HIB65551 HRX65546:HRX65551 IBT65546:IBT65551 ILP65546:ILP65551 IVL65546:IVL65551 JFH65546:JFH65551 JPD65546:JPD65551 JYZ65546:JYZ65551 KIV65546:KIV65551 KSR65546:KSR65551 LCN65546:LCN65551 LMJ65546:LMJ65551 LWF65546:LWF65551 MGB65546:MGB65551 MPX65546:MPX65551 MZT65546:MZT65551 NJP65546:NJP65551 NTL65546:NTL65551 ODH65546:ODH65551 OND65546:OND65551 OWZ65546:OWZ65551 PGV65546:PGV65551 PQR65546:PQR65551 QAN65546:QAN65551 QKJ65546:QKJ65551 QUF65546:QUF65551 REB65546:REB65551 RNX65546:RNX65551 RXT65546:RXT65551 SHP65546:SHP65551 SRL65546:SRL65551 TBH65546:TBH65551 TLD65546:TLD65551 TUZ65546:TUZ65551 UEV65546:UEV65551 UOR65546:UOR65551 UYN65546:UYN65551 VIJ65546:VIJ65551 VSF65546:VSF65551 WCB65546:WCB65551 WLX65546:WLX65551 WVT65546:WVT65551 L131082:L131087 JH131082:JH131087 TD131082:TD131087 ACZ131082:ACZ131087 AMV131082:AMV131087 AWR131082:AWR131087 BGN131082:BGN131087 BQJ131082:BQJ131087 CAF131082:CAF131087 CKB131082:CKB131087 CTX131082:CTX131087 DDT131082:DDT131087 DNP131082:DNP131087 DXL131082:DXL131087 EHH131082:EHH131087 ERD131082:ERD131087 FAZ131082:FAZ131087 FKV131082:FKV131087 FUR131082:FUR131087 GEN131082:GEN131087 GOJ131082:GOJ131087 GYF131082:GYF131087 HIB131082:HIB131087 HRX131082:HRX131087 IBT131082:IBT131087 ILP131082:ILP131087 IVL131082:IVL131087 JFH131082:JFH131087 JPD131082:JPD131087 JYZ131082:JYZ131087 KIV131082:KIV131087 KSR131082:KSR131087 LCN131082:LCN131087 LMJ131082:LMJ131087 LWF131082:LWF131087 MGB131082:MGB131087 MPX131082:MPX131087 MZT131082:MZT131087 NJP131082:NJP131087 NTL131082:NTL131087 ODH131082:ODH131087 OND131082:OND131087 OWZ131082:OWZ131087 PGV131082:PGV131087 PQR131082:PQR131087 QAN131082:QAN131087 QKJ131082:QKJ131087 QUF131082:QUF131087 REB131082:REB131087 RNX131082:RNX131087 RXT131082:RXT131087 SHP131082:SHP131087 SRL131082:SRL131087 TBH131082:TBH131087 TLD131082:TLD131087 TUZ131082:TUZ131087 UEV131082:UEV131087 UOR131082:UOR131087 UYN131082:UYN131087 VIJ131082:VIJ131087 VSF131082:VSF131087 WCB131082:WCB131087 WLX131082:WLX131087 WVT131082:WVT131087 L196618:L196623 JH196618:JH196623 TD196618:TD196623 ACZ196618:ACZ196623 AMV196618:AMV196623 AWR196618:AWR196623 BGN196618:BGN196623 BQJ196618:BQJ196623 CAF196618:CAF196623 CKB196618:CKB196623 CTX196618:CTX196623 DDT196618:DDT196623 DNP196618:DNP196623 DXL196618:DXL196623 EHH196618:EHH196623 ERD196618:ERD196623 FAZ196618:FAZ196623 FKV196618:FKV196623 FUR196618:FUR196623 GEN196618:GEN196623 GOJ196618:GOJ196623 GYF196618:GYF196623 HIB196618:HIB196623 HRX196618:HRX196623 IBT196618:IBT196623 ILP196618:ILP196623 IVL196618:IVL196623 JFH196618:JFH196623 JPD196618:JPD196623 JYZ196618:JYZ196623 KIV196618:KIV196623 KSR196618:KSR196623 LCN196618:LCN196623 LMJ196618:LMJ196623 LWF196618:LWF196623 MGB196618:MGB196623 MPX196618:MPX196623 MZT196618:MZT196623 NJP196618:NJP196623 NTL196618:NTL196623 ODH196618:ODH196623 OND196618:OND196623 OWZ196618:OWZ196623 PGV196618:PGV196623 PQR196618:PQR196623 QAN196618:QAN196623 QKJ196618:QKJ196623 QUF196618:QUF196623 REB196618:REB196623 RNX196618:RNX196623 RXT196618:RXT196623 SHP196618:SHP196623 SRL196618:SRL196623 TBH196618:TBH196623 TLD196618:TLD196623 TUZ196618:TUZ196623 UEV196618:UEV196623 UOR196618:UOR196623 UYN196618:UYN196623 VIJ196618:VIJ196623 VSF196618:VSF196623 WCB196618:WCB196623 WLX196618:WLX196623 WVT196618:WVT196623 L262154:L262159 JH262154:JH262159 TD262154:TD262159 ACZ262154:ACZ262159 AMV262154:AMV262159 AWR262154:AWR262159 BGN262154:BGN262159 BQJ262154:BQJ262159 CAF262154:CAF262159 CKB262154:CKB262159 CTX262154:CTX262159 DDT262154:DDT262159 DNP262154:DNP262159 DXL262154:DXL262159 EHH262154:EHH262159 ERD262154:ERD262159 FAZ262154:FAZ262159 FKV262154:FKV262159 FUR262154:FUR262159 GEN262154:GEN262159 GOJ262154:GOJ262159 GYF262154:GYF262159 HIB262154:HIB262159 HRX262154:HRX262159 IBT262154:IBT262159 ILP262154:ILP262159 IVL262154:IVL262159 JFH262154:JFH262159 JPD262154:JPD262159 JYZ262154:JYZ262159 KIV262154:KIV262159 KSR262154:KSR262159 LCN262154:LCN262159 LMJ262154:LMJ262159 LWF262154:LWF262159 MGB262154:MGB262159 MPX262154:MPX262159 MZT262154:MZT262159 NJP262154:NJP262159 NTL262154:NTL262159 ODH262154:ODH262159 OND262154:OND262159 OWZ262154:OWZ262159 PGV262154:PGV262159 PQR262154:PQR262159 QAN262154:QAN262159 QKJ262154:QKJ262159 QUF262154:QUF262159 REB262154:REB262159 RNX262154:RNX262159 RXT262154:RXT262159 SHP262154:SHP262159 SRL262154:SRL262159 TBH262154:TBH262159 TLD262154:TLD262159 TUZ262154:TUZ262159 UEV262154:UEV262159 UOR262154:UOR262159 UYN262154:UYN262159 VIJ262154:VIJ262159 VSF262154:VSF262159 WCB262154:WCB262159 WLX262154:WLX262159 WVT262154:WVT262159 L327690:L327695 JH327690:JH327695 TD327690:TD327695 ACZ327690:ACZ327695 AMV327690:AMV327695 AWR327690:AWR327695 BGN327690:BGN327695 BQJ327690:BQJ327695 CAF327690:CAF327695 CKB327690:CKB327695 CTX327690:CTX327695 DDT327690:DDT327695 DNP327690:DNP327695 DXL327690:DXL327695 EHH327690:EHH327695 ERD327690:ERD327695 FAZ327690:FAZ327695 FKV327690:FKV327695 FUR327690:FUR327695 GEN327690:GEN327695 GOJ327690:GOJ327695 GYF327690:GYF327695 HIB327690:HIB327695 HRX327690:HRX327695 IBT327690:IBT327695 ILP327690:ILP327695 IVL327690:IVL327695 JFH327690:JFH327695 JPD327690:JPD327695 JYZ327690:JYZ327695 KIV327690:KIV327695 KSR327690:KSR327695 LCN327690:LCN327695 LMJ327690:LMJ327695 LWF327690:LWF327695 MGB327690:MGB327695 MPX327690:MPX327695 MZT327690:MZT327695 NJP327690:NJP327695 NTL327690:NTL327695 ODH327690:ODH327695 OND327690:OND327695 OWZ327690:OWZ327695 PGV327690:PGV327695 PQR327690:PQR327695 QAN327690:QAN327695 QKJ327690:QKJ327695 QUF327690:QUF327695 REB327690:REB327695 RNX327690:RNX327695 RXT327690:RXT327695 SHP327690:SHP327695 SRL327690:SRL327695 TBH327690:TBH327695 TLD327690:TLD327695 TUZ327690:TUZ327695 UEV327690:UEV327695 UOR327690:UOR327695 UYN327690:UYN327695 VIJ327690:VIJ327695 VSF327690:VSF327695 WCB327690:WCB327695 WLX327690:WLX327695 WVT327690:WVT327695 L393226:L393231 JH393226:JH393231 TD393226:TD393231 ACZ393226:ACZ393231 AMV393226:AMV393231 AWR393226:AWR393231 BGN393226:BGN393231 BQJ393226:BQJ393231 CAF393226:CAF393231 CKB393226:CKB393231 CTX393226:CTX393231 DDT393226:DDT393231 DNP393226:DNP393231 DXL393226:DXL393231 EHH393226:EHH393231 ERD393226:ERD393231 FAZ393226:FAZ393231 FKV393226:FKV393231 FUR393226:FUR393231 GEN393226:GEN393231 GOJ393226:GOJ393231 GYF393226:GYF393231 HIB393226:HIB393231 HRX393226:HRX393231 IBT393226:IBT393231 ILP393226:ILP393231 IVL393226:IVL393231 JFH393226:JFH393231 JPD393226:JPD393231 JYZ393226:JYZ393231 KIV393226:KIV393231 KSR393226:KSR393231 LCN393226:LCN393231 LMJ393226:LMJ393231 LWF393226:LWF393231 MGB393226:MGB393231 MPX393226:MPX393231 MZT393226:MZT393231 NJP393226:NJP393231 NTL393226:NTL393231 ODH393226:ODH393231 OND393226:OND393231 OWZ393226:OWZ393231 PGV393226:PGV393231 PQR393226:PQR393231 QAN393226:QAN393231 QKJ393226:QKJ393231 QUF393226:QUF393231 REB393226:REB393231 RNX393226:RNX393231 RXT393226:RXT393231 SHP393226:SHP393231 SRL393226:SRL393231 TBH393226:TBH393231 TLD393226:TLD393231 TUZ393226:TUZ393231 UEV393226:UEV393231 UOR393226:UOR393231 UYN393226:UYN393231 VIJ393226:VIJ393231 VSF393226:VSF393231 WCB393226:WCB393231 WLX393226:WLX393231 WVT393226:WVT393231 L458762:L458767 JH458762:JH458767 TD458762:TD458767 ACZ458762:ACZ458767 AMV458762:AMV458767 AWR458762:AWR458767 BGN458762:BGN458767 BQJ458762:BQJ458767 CAF458762:CAF458767 CKB458762:CKB458767 CTX458762:CTX458767 DDT458762:DDT458767 DNP458762:DNP458767 DXL458762:DXL458767 EHH458762:EHH458767 ERD458762:ERD458767 FAZ458762:FAZ458767 FKV458762:FKV458767 FUR458762:FUR458767 GEN458762:GEN458767 GOJ458762:GOJ458767 GYF458762:GYF458767 HIB458762:HIB458767 HRX458762:HRX458767 IBT458762:IBT458767 ILP458762:ILP458767 IVL458762:IVL458767 JFH458762:JFH458767 JPD458762:JPD458767 JYZ458762:JYZ458767 KIV458762:KIV458767 KSR458762:KSR458767 LCN458762:LCN458767 LMJ458762:LMJ458767 LWF458762:LWF458767 MGB458762:MGB458767 MPX458762:MPX458767 MZT458762:MZT458767 NJP458762:NJP458767 NTL458762:NTL458767 ODH458762:ODH458767 OND458762:OND458767 OWZ458762:OWZ458767 PGV458762:PGV458767 PQR458762:PQR458767 QAN458762:QAN458767 QKJ458762:QKJ458767 QUF458762:QUF458767 REB458762:REB458767 RNX458762:RNX458767 RXT458762:RXT458767 SHP458762:SHP458767 SRL458762:SRL458767 TBH458762:TBH458767 TLD458762:TLD458767 TUZ458762:TUZ458767 UEV458762:UEV458767 UOR458762:UOR458767 UYN458762:UYN458767 VIJ458762:VIJ458767 VSF458762:VSF458767 WCB458762:WCB458767 WLX458762:WLX458767 WVT458762:WVT458767 L524298:L524303 JH524298:JH524303 TD524298:TD524303 ACZ524298:ACZ524303 AMV524298:AMV524303 AWR524298:AWR524303 BGN524298:BGN524303 BQJ524298:BQJ524303 CAF524298:CAF524303 CKB524298:CKB524303 CTX524298:CTX524303 DDT524298:DDT524303 DNP524298:DNP524303 DXL524298:DXL524303 EHH524298:EHH524303 ERD524298:ERD524303 FAZ524298:FAZ524303 FKV524298:FKV524303 FUR524298:FUR524303 GEN524298:GEN524303 GOJ524298:GOJ524303 GYF524298:GYF524303 HIB524298:HIB524303 HRX524298:HRX524303 IBT524298:IBT524303 ILP524298:ILP524303 IVL524298:IVL524303 JFH524298:JFH524303 JPD524298:JPD524303 JYZ524298:JYZ524303 KIV524298:KIV524303 KSR524298:KSR524303 LCN524298:LCN524303 LMJ524298:LMJ524303 LWF524298:LWF524303 MGB524298:MGB524303 MPX524298:MPX524303 MZT524298:MZT524303 NJP524298:NJP524303 NTL524298:NTL524303 ODH524298:ODH524303 OND524298:OND524303 OWZ524298:OWZ524303 PGV524298:PGV524303 PQR524298:PQR524303 QAN524298:QAN524303 QKJ524298:QKJ524303 QUF524298:QUF524303 REB524298:REB524303 RNX524298:RNX524303 RXT524298:RXT524303 SHP524298:SHP524303 SRL524298:SRL524303 TBH524298:TBH524303 TLD524298:TLD524303 TUZ524298:TUZ524303 UEV524298:UEV524303 UOR524298:UOR524303 UYN524298:UYN524303 VIJ524298:VIJ524303 VSF524298:VSF524303 WCB524298:WCB524303 WLX524298:WLX524303 WVT524298:WVT524303 L589834:L589839 JH589834:JH589839 TD589834:TD589839 ACZ589834:ACZ589839 AMV589834:AMV589839 AWR589834:AWR589839 BGN589834:BGN589839 BQJ589834:BQJ589839 CAF589834:CAF589839 CKB589834:CKB589839 CTX589834:CTX589839 DDT589834:DDT589839 DNP589834:DNP589839 DXL589834:DXL589839 EHH589834:EHH589839 ERD589834:ERD589839 FAZ589834:FAZ589839 FKV589834:FKV589839 FUR589834:FUR589839 GEN589834:GEN589839 GOJ589834:GOJ589839 GYF589834:GYF589839 HIB589834:HIB589839 HRX589834:HRX589839 IBT589834:IBT589839 ILP589834:ILP589839 IVL589834:IVL589839 JFH589834:JFH589839 JPD589834:JPD589839 JYZ589834:JYZ589839 KIV589834:KIV589839 KSR589834:KSR589839 LCN589834:LCN589839 LMJ589834:LMJ589839 LWF589834:LWF589839 MGB589834:MGB589839 MPX589834:MPX589839 MZT589834:MZT589839 NJP589834:NJP589839 NTL589834:NTL589839 ODH589834:ODH589839 OND589834:OND589839 OWZ589834:OWZ589839 PGV589834:PGV589839 PQR589834:PQR589839 QAN589834:QAN589839 QKJ589834:QKJ589839 QUF589834:QUF589839 REB589834:REB589839 RNX589834:RNX589839 RXT589834:RXT589839 SHP589834:SHP589839 SRL589834:SRL589839 TBH589834:TBH589839 TLD589834:TLD589839 TUZ589834:TUZ589839 UEV589834:UEV589839 UOR589834:UOR589839 UYN589834:UYN589839 VIJ589834:VIJ589839 VSF589834:VSF589839 WCB589834:WCB589839 WLX589834:WLX589839 WVT589834:WVT589839 L655370:L655375 JH655370:JH655375 TD655370:TD655375 ACZ655370:ACZ655375 AMV655370:AMV655375 AWR655370:AWR655375 BGN655370:BGN655375 BQJ655370:BQJ655375 CAF655370:CAF655375 CKB655370:CKB655375 CTX655370:CTX655375 DDT655370:DDT655375 DNP655370:DNP655375 DXL655370:DXL655375 EHH655370:EHH655375 ERD655370:ERD655375 FAZ655370:FAZ655375 FKV655370:FKV655375 FUR655370:FUR655375 GEN655370:GEN655375 GOJ655370:GOJ655375 GYF655370:GYF655375 HIB655370:HIB655375 HRX655370:HRX655375 IBT655370:IBT655375 ILP655370:ILP655375 IVL655370:IVL655375 JFH655370:JFH655375 JPD655370:JPD655375 JYZ655370:JYZ655375 KIV655370:KIV655375 KSR655370:KSR655375 LCN655370:LCN655375 LMJ655370:LMJ655375 LWF655370:LWF655375 MGB655370:MGB655375 MPX655370:MPX655375 MZT655370:MZT655375 NJP655370:NJP655375 NTL655370:NTL655375 ODH655370:ODH655375 OND655370:OND655375 OWZ655370:OWZ655375 PGV655370:PGV655375 PQR655370:PQR655375 QAN655370:QAN655375 QKJ655370:QKJ655375 QUF655370:QUF655375 REB655370:REB655375 RNX655370:RNX655375 RXT655370:RXT655375 SHP655370:SHP655375 SRL655370:SRL655375 TBH655370:TBH655375 TLD655370:TLD655375 TUZ655370:TUZ655375 UEV655370:UEV655375 UOR655370:UOR655375 UYN655370:UYN655375 VIJ655370:VIJ655375 VSF655370:VSF655375 WCB655370:WCB655375 WLX655370:WLX655375 WVT655370:WVT655375 L720906:L720911 JH720906:JH720911 TD720906:TD720911 ACZ720906:ACZ720911 AMV720906:AMV720911 AWR720906:AWR720911 BGN720906:BGN720911 BQJ720906:BQJ720911 CAF720906:CAF720911 CKB720906:CKB720911 CTX720906:CTX720911 DDT720906:DDT720911 DNP720906:DNP720911 DXL720906:DXL720911 EHH720906:EHH720911 ERD720906:ERD720911 FAZ720906:FAZ720911 FKV720906:FKV720911 FUR720906:FUR720911 GEN720906:GEN720911 GOJ720906:GOJ720911 GYF720906:GYF720911 HIB720906:HIB720911 HRX720906:HRX720911 IBT720906:IBT720911 ILP720906:ILP720911 IVL720906:IVL720911 JFH720906:JFH720911 JPD720906:JPD720911 JYZ720906:JYZ720911 KIV720906:KIV720911 KSR720906:KSR720911 LCN720906:LCN720911 LMJ720906:LMJ720911 LWF720906:LWF720911 MGB720906:MGB720911 MPX720906:MPX720911 MZT720906:MZT720911 NJP720906:NJP720911 NTL720906:NTL720911 ODH720906:ODH720911 OND720906:OND720911 OWZ720906:OWZ720911 PGV720906:PGV720911 PQR720906:PQR720911 QAN720906:QAN720911 QKJ720906:QKJ720911 QUF720906:QUF720911 REB720906:REB720911 RNX720906:RNX720911 RXT720906:RXT720911 SHP720906:SHP720911 SRL720906:SRL720911 TBH720906:TBH720911 TLD720906:TLD720911 TUZ720906:TUZ720911 UEV720906:UEV720911 UOR720906:UOR720911 UYN720906:UYN720911 VIJ720906:VIJ720911 VSF720906:VSF720911 WCB720906:WCB720911 WLX720906:WLX720911 WVT720906:WVT720911 L786442:L786447 JH786442:JH786447 TD786442:TD786447 ACZ786442:ACZ786447 AMV786442:AMV786447 AWR786442:AWR786447 BGN786442:BGN786447 BQJ786442:BQJ786447 CAF786442:CAF786447 CKB786442:CKB786447 CTX786442:CTX786447 DDT786442:DDT786447 DNP786442:DNP786447 DXL786442:DXL786447 EHH786442:EHH786447 ERD786442:ERD786447 FAZ786442:FAZ786447 FKV786442:FKV786447 FUR786442:FUR786447 GEN786442:GEN786447 GOJ786442:GOJ786447 GYF786442:GYF786447 HIB786442:HIB786447 HRX786442:HRX786447 IBT786442:IBT786447 ILP786442:ILP786447 IVL786442:IVL786447 JFH786442:JFH786447 JPD786442:JPD786447 JYZ786442:JYZ786447 KIV786442:KIV786447 KSR786442:KSR786447 LCN786442:LCN786447 LMJ786442:LMJ786447 LWF786442:LWF786447 MGB786442:MGB786447 MPX786442:MPX786447 MZT786442:MZT786447 NJP786442:NJP786447 NTL786442:NTL786447 ODH786442:ODH786447 OND786442:OND786447 OWZ786442:OWZ786447 PGV786442:PGV786447 PQR786442:PQR786447 QAN786442:QAN786447 QKJ786442:QKJ786447 QUF786442:QUF786447 REB786442:REB786447 RNX786442:RNX786447 RXT786442:RXT786447 SHP786442:SHP786447 SRL786442:SRL786447 TBH786442:TBH786447 TLD786442:TLD786447 TUZ786442:TUZ786447 UEV786442:UEV786447 UOR786442:UOR786447 UYN786442:UYN786447 VIJ786442:VIJ786447 VSF786442:VSF786447 WCB786442:WCB786447 WLX786442:WLX786447 WVT786442:WVT786447 L851978:L851983 JH851978:JH851983 TD851978:TD851983 ACZ851978:ACZ851983 AMV851978:AMV851983 AWR851978:AWR851983 BGN851978:BGN851983 BQJ851978:BQJ851983 CAF851978:CAF851983 CKB851978:CKB851983 CTX851978:CTX851983 DDT851978:DDT851983 DNP851978:DNP851983 DXL851978:DXL851983 EHH851978:EHH851983 ERD851978:ERD851983 FAZ851978:FAZ851983 FKV851978:FKV851983 FUR851978:FUR851983 GEN851978:GEN851983 GOJ851978:GOJ851983 GYF851978:GYF851983 HIB851978:HIB851983 HRX851978:HRX851983 IBT851978:IBT851983 ILP851978:ILP851983 IVL851978:IVL851983 JFH851978:JFH851983 JPD851978:JPD851983 JYZ851978:JYZ851983 KIV851978:KIV851983 KSR851978:KSR851983 LCN851978:LCN851983 LMJ851978:LMJ851983 LWF851978:LWF851983 MGB851978:MGB851983 MPX851978:MPX851983 MZT851978:MZT851983 NJP851978:NJP851983 NTL851978:NTL851983 ODH851978:ODH851983 OND851978:OND851983 OWZ851978:OWZ851983 PGV851978:PGV851983 PQR851978:PQR851983 QAN851978:QAN851983 QKJ851978:QKJ851983 QUF851978:QUF851983 REB851978:REB851983 RNX851978:RNX851983 RXT851978:RXT851983 SHP851978:SHP851983 SRL851978:SRL851983 TBH851978:TBH851983 TLD851978:TLD851983 TUZ851978:TUZ851983 UEV851978:UEV851983 UOR851978:UOR851983 UYN851978:UYN851983 VIJ851978:VIJ851983 VSF851978:VSF851983 WCB851978:WCB851983 WLX851978:WLX851983 WVT851978:WVT851983 L917514:L917519 JH917514:JH917519 TD917514:TD917519 ACZ917514:ACZ917519 AMV917514:AMV917519 AWR917514:AWR917519 BGN917514:BGN917519 BQJ917514:BQJ917519 CAF917514:CAF917519 CKB917514:CKB917519 CTX917514:CTX917519 DDT917514:DDT917519 DNP917514:DNP917519 DXL917514:DXL917519 EHH917514:EHH917519 ERD917514:ERD917519 FAZ917514:FAZ917519 FKV917514:FKV917519 FUR917514:FUR917519 GEN917514:GEN917519 GOJ917514:GOJ917519 GYF917514:GYF917519 HIB917514:HIB917519 HRX917514:HRX917519 IBT917514:IBT917519 ILP917514:ILP917519 IVL917514:IVL917519 JFH917514:JFH917519 JPD917514:JPD917519 JYZ917514:JYZ917519 KIV917514:KIV917519 KSR917514:KSR917519 LCN917514:LCN917519 LMJ917514:LMJ917519 LWF917514:LWF917519 MGB917514:MGB917519 MPX917514:MPX917519 MZT917514:MZT917519 NJP917514:NJP917519 NTL917514:NTL917519 ODH917514:ODH917519 OND917514:OND917519 OWZ917514:OWZ917519 PGV917514:PGV917519 PQR917514:PQR917519 QAN917514:QAN917519 QKJ917514:QKJ917519 QUF917514:QUF917519 REB917514:REB917519 RNX917514:RNX917519 RXT917514:RXT917519 SHP917514:SHP917519 SRL917514:SRL917519 TBH917514:TBH917519 TLD917514:TLD917519 TUZ917514:TUZ917519 UEV917514:UEV917519 UOR917514:UOR917519 UYN917514:UYN917519 VIJ917514:VIJ917519 VSF917514:VSF917519 WCB917514:WCB917519 WLX917514:WLX917519 WVT917514:WVT917519 L983050:L983055 JH983050:JH983055 TD983050:TD983055 ACZ983050:ACZ983055 AMV983050:AMV983055 AWR983050:AWR983055 BGN983050:BGN983055 BQJ983050:BQJ983055 CAF983050:CAF983055 CKB983050:CKB983055 CTX983050:CTX983055 DDT983050:DDT983055 DNP983050:DNP983055 DXL983050:DXL983055 EHH983050:EHH983055 ERD983050:ERD983055 FAZ983050:FAZ983055 FKV983050:FKV983055 FUR983050:FUR983055 GEN983050:GEN983055 GOJ983050:GOJ983055 GYF983050:GYF983055 HIB983050:HIB983055 HRX983050:HRX983055 IBT983050:IBT983055 ILP983050:ILP983055 IVL983050:IVL983055 JFH983050:JFH983055 JPD983050:JPD983055 JYZ983050:JYZ983055 KIV983050:KIV983055 KSR983050:KSR983055 LCN983050:LCN983055 LMJ983050:LMJ983055 LWF983050:LWF983055 MGB983050:MGB983055 MPX983050:MPX983055 MZT983050:MZT983055 NJP983050:NJP983055 NTL983050:NTL983055 ODH983050:ODH983055 OND983050:OND983055 OWZ983050:OWZ983055 PGV983050:PGV983055 PQR983050:PQR983055 QAN983050:QAN983055 QKJ983050:QKJ983055 QUF983050:QUF983055 REB983050:REB983055 RNX983050:RNX983055 RXT983050:RXT983055 SHP983050:SHP983055 SRL983050:SRL983055 TBH983050:TBH983055 TLD983050:TLD983055 TUZ983050:TUZ983055 UEV983050:UEV983055 UOR983050:UOR983055 UYN983050:UYN983055 VIJ983050:VIJ983055 VSF983050:VSF983055 WCB983050:WCB983055 WLX983050:WLX983055 WVT983050:WVT983055 L17:L22 JH17:JH22 TD17:TD22 ACZ17:ACZ22 AMV17:AMV22 AWR17:AWR22 BGN17:BGN22 BQJ17:BQJ22 CAF17:CAF22 CKB17:CKB22 CTX17:CTX22 DDT17:DDT22 DNP17:DNP22 DXL17:DXL22 EHH17:EHH22 ERD17:ERD22 FAZ17:FAZ22 FKV17:FKV22 FUR17:FUR22 GEN17:GEN22 GOJ17:GOJ22 GYF17:GYF22 HIB17:HIB22 HRX17:HRX22 IBT17:IBT22 ILP17:ILP22 IVL17:IVL22 JFH17:JFH22 JPD17:JPD22 JYZ17:JYZ22 KIV17:KIV22 KSR17:KSR22 LCN17:LCN22 LMJ17:LMJ22 LWF17:LWF22 MGB17:MGB22 MPX17:MPX22 MZT17:MZT22 NJP17:NJP22 NTL17:NTL22 ODH17:ODH22 OND17:OND22 OWZ17:OWZ22 PGV17:PGV22 PQR17:PQR22 QAN17:QAN22 QKJ17:QKJ22 QUF17:QUF22 REB17:REB22 RNX17:RNX22 RXT17:RXT22 SHP17:SHP22 SRL17:SRL22 TBH17:TBH22 TLD17:TLD22 TUZ17:TUZ22 UEV17:UEV22 UOR17:UOR22 UYN17:UYN22 VIJ17:VIJ22 VSF17:VSF22 WCB17:WCB22 WLX17:WLX22 WVT17:WVT22 L65553:L65558 JH65553:JH65558 TD65553:TD65558 ACZ65553:ACZ65558 AMV65553:AMV65558 AWR65553:AWR65558 BGN65553:BGN65558 BQJ65553:BQJ65558 CAF65553:CAF65558 CKB65553:CKB65558 CTX65553:CTX65558 DDT65553:DDT65558 DNP65553:DNP65558 DXL65553:DXL65558 EHH65553:EHH65558 ERD65553:ERD65558 FAZ65553:FAZ65558 FKV65553:FKV65558 FUR65553:FUR65558 GEN65553:GEN65558 GOJ65553:GOJ65558 GYF65553:GYF65558 HIB65553:HIB65558 HRX65553:HRX65558 IBT65553:IBT65558 ILP65553:ILP65558 IVL65553:IVL65558 JFH65553:JFH65558 JPD65553:JPD65558 JYZ65553:JYZ65558 KIV65553:KIV65558 KSR65553:KSR65558 LCN65553:LCN65558 LMJ65553:LMJ65558 LWF65553:LWF65558 MGB65553:MGB65558 MPX65553:MPX65558 MZT65553:MZT65558 NJP65553:NJP65558 NTL65553:NTL65558 ODH65553:ODH65558 OND65553:OND65558 OWZ65553:OWZ65558 PGV65553:PGV65558 PQR65553:PQR65558 QAN65553:QAN65558 QKJ65553:QKJ65558 QUF65553:QUF65558 REB65553:REB65558 RNX65553:RNX65558 RXT65553:RXT65558 SHP65553:SHP65558 SRL65553:SRL65558 TBH65553:TBH65558 TLD65553:TLD65558 TUZ65553:TUZ65558 UEV65553:UEV65558 UOR65553:UOR65558 UYN65553:UYN65558 VIJ65553:VIJ65558 VSF65553:VSF65558 WCB65553:WCB65558 WLX65553:WLX65558 WVT65553:WVT65558 L131089:L131094 JH131089:JH131094 TD131089:TD131094 ACZ131089:ACZ131094 AMV131089:AMV131094 AWR131089:AWR131094 BGN131089:BGN131094 BQJ131089:BQJ131094 CAF131089:CAF131094 CKB131089:CKB131094 CTX131089:CTX131094 DDT131089:DDT131094 DNP131089:DNP131094 DXL131089:DXL131094 EHH131089:EHH131094 ERD131089:ERD131094 FAZ131089:FAZ131094 FKV131089:FKV131094 FUR131089:FUR131094 GEN131089:GEN131094 GOJ131089:GOJ131094 GYF131089:GYF131094 HIB131089:HIB131094 HRX131089:HRX131094 IBT131089:IBT131094 ILP131089:ILP131094 IVL131089:IVL131094 JFH131089:JFH131094 JPD131089:JPD131094 JYZ131089:JYZ131094 KIV131089:KIV131094 KSR131089:KSR131094 LCN131089:LCN131094 LMJ131089:LMJ131094 LWF131089:LWF131094 MGB131089:MGB131094 MPX131089:MPX131094 MZT131089:MZT131094 NJP131089:NJP131094 NTL131089:NTL131094 ODH131089:ODH131094 OND131089:OND131094 OWZ131089:OWZ131094 PGV131089:PGV131094 PQR131089:PQR131094 QAN131089:QAN131094 QKJ131089:QKJ131094 QUF131089:QUF131094 REB131089:REB131094 RNX131089:RNX131094 RXT131089:RXT131094 SHP131089:SHP131094 SRL131089:SRL131094 TBH131089:TBH131094 TLD131089:TLD131094 TUZ131089:TUZ131094 UEV131089:UEV131094 UOR131089:UOR131094 UYN131089:UYN131094 VIJ131089:VIJ131094 VSF131089:VSF131094 WCB131089:WCB131094 WLX131089:WLX131094 WVT131089:WVT131094 L196625:L196630 JH196625:JH196630 TD196625:TD196630 ACZ196625:ACZ196630 AMV196625:AMV196630 AWR196625:AWR196630 BGN196625:BGN196630 BQJ196625:BQJ196630 CAF196625:CAF196630 CKB196625:CKB196630 CTX196625:CTX196630 DDT196625:DDT196630 DNP196625:DNP196630 DXL196625:DXL196630 EHH196625:EHH196630 ERD196625:ERD196630 FAZ196625:FAZ196630 FKV196625:FKV196630 FUR196625:FUR196630 GEN196625:GEN196630 GOJ196625:GOJ196630 GYF196625:GYF196630 HIB196625:HIB196630 HRX196625:HRX196630 IBT196625:IBT196630 ILP196625:ILP196630 IVL196625:IVL196630 JFH196625:JFH196630 JPD196625:JPD196630 JYZ196625:JYZ196630 KIV196625:KIV196630 KSR196625:KSR196630 LCN196625:LCN196630 LMJ196625:LMJ196630 LWF196625:LWF196630 MGB196625:MGB196630 MPX196625:MPX196630 MZT196625:MZT196630 NJP196625:NJP196630 NTL196625:NTL196630 ODH196625:ODH196630 OND196625:OND196630 OWZ196625:OWZ196630 PGV196625:PGV196630 PQR196625:PQR196630 QAN196625:QAN196630 QKJ196625:QKJ196630 QUF196625:QUF196630 REB196625:REB196630 RNX196625:RNX196630 RXT196625:RXT196630 SHP196625:SHP196630 SRL196625:SRL196630 TBH196625:TBH196630 TLD196625:TLD196630 TUZ196625:TUZ196630 UEV196625:UEV196630 UOR196625:UOR196630 UYN196625:UYN196630 VIJ196625:VIJ196630 VSF196625:VSF196630 WCB196625:WCB196630 WLX196625:WLX196630 WVT196625:WVT196630 L262161:L262166 JH262161:JH262166 TD262161:TD262166 ACZ262161:ACZ262166 AMV262161:AMV262166 AWR262161:AWR262166 BGN262161:BGN262166 BQJ262161:BQJ262166 CAF262161:CAF262166 CKB262161:CKB262166 CTX262161:CTX262166 DDT262161:DDT262166 DNP262161:DNP262166 DXL262161:DXL262166 EHH262161:EHH262166 ERD262161:ERD262166 FAZ262161:FAZ262166 FKV262161:FKV262166 FUR262161:FUR262166 GEN262161:GEN262166 GOJ262161:GOJ262166 GYF262161:GYF262166 HIB262161:HIB262166 HRX262161:HRX262166 IBT262161:IBT262166 ILP262161:ILP262166 IVL262161:IVL262166 JFH262161:JFH262166 JPD262161:JPD262166 JYZ262161:JYZ262166 KIV262161:KIV262166 KSR262161:KSR262166 LCN262161:LCN262166 LMJ262161:LMJ262166 LWF262161:LWF262166 MGB262161:MGB262166 MPX262161:MPX262166 MZT262161:MZT262166 NJP262161:NJP262166 NTL262161:NTL262166 ODH262161:ODH262166 OND262161:OND262166 OWZ262161:OWZ262166 PGV262161:PGV262166 PQR262161:PQR262166 QAN262161:QAN262166 QKJ262161:QKJ262166 QUF262161:QUF262166 REB262161:REB262166 RNX262161:RNX262166 RXT262161:RXT262166 SHP262161:SHP262166 SRL262161:SRL262166 TBH262161:TBH262166 TLD262161:TLD262166 TUZ262161:TUZ262166 UEV262161:UEV262166 UOR262161:UOR262166 UYN262161:UYN262166 VIJ262161:VIJ262166 VSF262161:VSF262166 WCB262161:WCB262166 WLX262161:WLX262166 WVT262161:WVT262166 L327697:L327702 JH327697:JH327702 TD327697:TD327702 ACZ327697:ACZ327702 AMV327697:AMV327702 AWR327697:AWR327702 BGN327697:BGN327702 BQJ327697:BQJ327702 CAF327697:CAF327702 CKB327697:CKB327702 CTX327697:CTX327702 DDT327697:DDT327702 DNP327697:DNP327702 DXL327697:DXL327702 EHH327697:EHH327702 ERD327697:ERD327702 FAZ327697:FAZ327702 FKV327697:FKV327702 FUR327697:FUR327702 GEN327697:GEN327702 GOJ327697:GOJ327702 GYF327697:GYF327702 HIB327697:HIB327702 HRX327697:HRX327702 IBT327697:IBT327702 ILP327697:ILP327702 IVL327697:IVL327702 JFH327697:JFH327702 JPD327697:JPD327702 JYZ327697:JYZ327702 KIV327697:KIV327702 KSR327697:KSR327702 LCN327697:LCN327702 LMJ327697:LMJ327702 LWF327697:LWF327702 MGB327697:MGB327702 MPX327697:MPX327702 MZT327697:MZT327702 NJP327697:NJP327702 NTL327697:NTL327702 ODH327697:ODH327702 OND327697:OND327702 OWZ327697:OWZ327702 PGV327697:PGV327702 PQR327697:PQR327702 QAN327697:QAN327702 QKJ327697:QKJ327702 QUF327697:QUF327702 REB327697:REB327702 RNX327697:RNX327702 RXT327697:RXT327702 SHP327697:SHP327702 SRL327697:SRL327702 TBH327697:TBH327702 TLD327697:TLD327702 TUZ327697:TUZ327702 UEV327697:UEV327702 UOR327697:UOR327702 UYN327697:UYN327702 VIJ327697:VIJ327702 VSF327697:VSF327702 WCB327697:WCB327702 WLX327697:WLX327702 WVT327697:WVT327702 L393233:L393238 JH393233:JH393238 TD393233:TD393238 ACZ393233:ACZ393238 AMV393233:AMV393238 AWR393233:AWR393238 BGN393233:BGN393238 BQJ393233:BQJ393238 CAF393233:CAF393238 CKB393233:CKB393238 CTX393233:CTX393238 DDT393233:DDT393238 DNP393233:DNP393238 DXL393233:DXL393238 EHH393233:EHH393238 ERD393233:ERD393238 FAZ393233:FAZ393238 FKV393233:FKV393238 FUR393233:FUR393238 GEN393233:GEN393238 GOJ393233:GOJ393238 GYF393233:GYF393238 HIB393233:HIB393238 HRX393233:HRX393238 IBT393233:IBT393238 ILP393233:ILP393238 IVL393233:IVL393238 JFH393233:JFH393238 JPD393233:JPD393238 JYZ393233:JYZ393238 KIV393233:KIV393238 KSR393233:KSR393238 LCN393233:LCN393238 LMJ393233:LMJ393238 LWF393233:LWF393238 MGB393233:MGB393238 MPX393233:MPX393238 MZT393233:MZT393238 NJP393233:NJP393238 NTL393233:NTL393238 ODH393233:ODH393238 OND393233:OND393238 OWZ393233:OWZ393238 PGV393233:PGV393238 PQR393233:PQR393238 QAN393233:QAN393238 QKJ393233:QKJ393238 QUF393233:QUF393238 REB393233:REB393238 RNX393233:RNX393238 RXT393233:RXT393238 SHP393233:SHP393238 SRL393233:SRL393238 TBH393233:TBH393238 TLD393233:TLD393238 TUZ393233:TUZ393238 UEV393233:UEV393238 UOR393233:UOR393238 UYN393233:UYN393238 VIJ393233:VIJ393238 VSF393233:VSF393238 WCB393233:WCB393238 WLX393233:WLX393238 WVT393233:WVT393238 L458769:L458774 JH458769:JH458774 TD458769:TD458774 ACZ458769:ACZ458774 AMV458769:AMV458774 AWR458769:AWR458774 BGN458769:BGN458774 BQJ458769:BQJ458774 CAF458769:CAF458774 CKB458769:CKB458774 CTX458769:CTX458774 DDT458769:DDT458774 DNP458769:DNP458774 DXL458769:DXL458774 EHH458769:EHH458774 ERD458769:ERD458774 FAZ458769:FAZ458774 FKV458769:FKV458774 FUR458769:FUR458774 GEN458769:GEN458774 GOJ458769:GOJ458774 GYF458769:GYF458774 HIB458769:HIB458774 HRX458769:HRX458774 IBT458769:IBT458774 ILP458769:ILP458774 IVL458769:IVL458774 JFH458769:JFH458774 JPD458769:JPD458774 JYZ458769:JYZ458774 KIV458769:KIV458774 KSR458769:KSR458774 LCN458769:LCN458774 LMJ458769:LMJ458774 LWF458769:LWF458774 MGB458769:MGB458774 MPX458769:MPX458774 MZT458769:MZT458774 NJP458769:NJP458774 NTL458769:NTL458774 ODH458769:ODH458774 OND458769:OND458774 OWZ458769:OWZ458774 PGV458769:PGV458774 PQR458769:PQR458774 QAN458769:QAN458774 QKJ458769:QKJ458774 QUF458769:QUF458774 REB458769:REB458774 RNX458769:RNX458774 RXT458769:RXT458774 SHP458769:SHP458774 SRL458769:SRL458774 TBH458769:TBH458774 TLD458769:TLD458774 TUZ458769:TUZ458774 UEV458769:UEV458774 UOR458769:UOR458774 UYN458769:UYN458774 VIJ458769:VIJ458774 VSF458769:VSF458774 WCB458769:WCB458774 WLX458769:WLX458774 WVT458769:WVT458774 L524305:L524310 JH524305:JH524310 TD524305:TD524310 ACZ524305:ACZ524310 AMV524305:AMV524310 AWR524305:AWR524310 BGN524305:BGN524310 BQJ524305:BQJ524310 CAF524305:CAF524310 CKB524305:CKB524310 CTX524305:CTX524310 DDT524305:DDT524310 DNP524305:DNP524310 DXL524305:DXL524310 EHH524305:EHH524310 ERD524305:ERD524310 FAZ524305:FAZ524310 FKV524305:FKV524310 FUR524305:FUR524310 GEN524305:GEN524310 GOJ524305:GOJ524310 GYF524305:GYF524310 HIB524305:HIB524310 HRX524305:HRX524310 IBT524305:IBT524310 ILP524305:ILP524310 IVL524305:IVL524310 JFH524305:JFH524310 JPD524305:JPD524310 JYZ524305:JYZ524310 KIV524305:KIV524310 KSR524305:KSR524310 LCN524305:LCN524310 LMJ524305:LMJ524310 LWF524305:LWF524310 MGB524305:MGB524310 MPX524305:MPX524310 MZT524305:MZT524310 NJP524305:NJP524310 NTL524305:NTL524310 ODH524305:ODH524310 OND524305:OND524310 OWZ524305:OWZ524310 PGV524305:PGV524310 PQR524305:PQR524310 QAN524305:QAN524310 QKJ524305:QKJ524310 QUF524305:QUF524310 REB524305:REB524310 RNX524305:RNX524310 RXT524305:RXT524310 SHP524305:SHP524310 SRL524305:SRL524310 TBH524305:TBH524310 TLD524305:TLD524310 TUZ524305:TUZ524310 UEV524305:UEV524310 UOR524305:UOR524310 UYN524305:UYN524310 VIJ524305:VIJ524310 VSF524305:VSF524310 WCB524305:WCB524310 WLX524305:WLX524310 WVT524305:WVT524310 L589841:L589846 JH589841:JH589846 TD589841:TD589846 ACZ589841:ACZ589846 AMV589841:AMV589846 AWR589841:AWR589846 BGN589841:BGN589846 BQJ589841:BQJ589846 CAF589841:CAF589846 CKB589841:CKB589846 CTX589841:CTX589846 DDT589841:DDT589846 DNP589841:DNP589846 DXL589841:DXL589846 EHH589841:EHH589846 ERD589841:ERD589846 FAZ589841:FAZ589846 FKV589841:FKV589846 FUR589841:FUR589846 GEN589841:GEN589846 GOJ589841:GOJ589846 GYF589841:GYF589846 HIB589841:HIB589846 HRX589841:HRX589846 IBT589841:IBT589846 ILP589841:ILP589846 IVL589841:IVL589846 JFH589841:JFH589846 JPD589841:JPD589846 JYZ589841:JYZ589846 KIV589841:KIV589846 KSR589841:KSR589846 LCN589841:LCN589846 LMJ589841:LMJ589846 LWF589841:LWF589846 MGB589841:MGB589846 MPX589841:MPX589846 MZT589841:MZT589846 NJP589841:NJP589846 NTL589841:NTL589846 ODH589841:ODH589846 OND589841:OND589846 OWZ589841:OWZ589846 PGV589841:PGV589846 PQR589841:PQR589846 QAN589841:QAN589846 QKJ589841:QKJ589846 QUF589841:QUF589846 REB589841:REB589846 RNX589841:RNX589846 RXT589841:RXT589846 SHP589841:SHP589846 SRL589841:SRL589846 TBH589841:TBH589846 TLD589841:TLD589846 TUZ589841:TUZ589846 UEV589841:UEV589846 UOR589841:UOR589846 UYN589841:UYN589846 VIJ589841:VIJ589846 VSF589841:VSF589846 WCB589841:WCB589846 WLX589841:WLX589846 WVT589841:WVT589846 L655377:L655382 JH655377:JH655382 TD655377:TD655382 ACZ655377:ACZ655382 AMV655377:AMV655382 AWR655377:AWR655382 BGN655377:BGN655382 BQJ655377:BQJ655382 CAF655377:CAF655382 CKB655377:CKB655382 CTX655377:CTX655382 DDT655377:DDT655382 DNP655377:DNP655382 DXL655377:DXL655382 EHH655377:EHH655382 ERD655377:ERD655382 FAZ655377:FAZ655382 FKV655377:FKV655382 FUR655377:FUR655382 GEN655377:GEN655382 GOJ655377:GOJ655382 GYF655377:GYF655382 HIB655377:HIB655382 HRX655377:HRX655382 IBT655377:IBT655382 ILP655377:ILP655382 IVL655377:IVL655382 JFH655377:JFH655382 JPD655377:JPD655382 JYZ655377:JYZ655382 KIV655377:KIV655382 KSR655377:KSR655382 LCN655377:LCN655382 LMJ655377:LMJ655382 LWF655377:LWF655382 MGB655377:MGB655382 MPX655377:MPX655382 MZT655377:MZT655382 NJP655377:NJP655382 NTL655377:NTL655382 ODH655377:ODH655382 OND655377:OND655382 OWZ655377:OWZ655382 PGV655377:PGV655382 PQR655377:PQR655382 QAN655377:QAN655382 QKJ655377:QKJ655382 QUF655377:QUF655382 REB655377:REB655382 RNX655377:RNX655382 RXT655377:RXT655382 SHP655377:SHP655382 SRL655377:SRL655382 TBH655377:TBH655382 TLD655377:TLD655382 TUZ655377:TUZ655382 UEV655377:UEV655382 UOR655377:UOR655382 UYN655377:UYN655382 VIJ655377:VIJ655382 VSF655377:VSF655382 WCB655377:WCB655382 WLX655377:WLX655382 WVT655377:WVT655382 L720913:L720918 JH720913:JH720918 TD720913:TD720918 ACZ720913:ACZ720918 AMV720913:AMV720918 AWR720913:AWR720918 BGN720913:BGN720918 BQJ720913:BQJ720918 CAF720913:CAF720918 CKB720913:CKB720918 CTX720913:CTX720918 DDT720913:DDT720918 DNP720913:DNP720918 DXL720913:DXL720918 EHH720913:EHH720918 ERD720913:ERD720918 FAZ720913:FAZ720918 FKV720913:FKV720918 FUR720913:FUR720918 GEN720913:GEN720918 GOJ720913:GOJ720918 GYF720913:GYF720918 HIB720913:HIB720918 HRX720913:HRX720918 IBT720913:IBT720918 ILP720913:ILP720918 IVL720913:IVL720918 JFH720913:JFH720918 JPD720913:JPD720918 JYZ720913:JYZ720918 KIV720913:KIV720918 KSR720913:KSR720918 LCN720913:LCN720918 LMJ720913:LMJ720918 LWF720913:LWF720918 MGB720913:MGB720918 MPX720913:MPX720918 MZT720913:MZT720918 NJP720913:NJP720918 NTL720913:NTL720918 ODH720913:ODH720918 OND720913:OND720918 OWZ720913:OWZ720918 PGV720913:PGV720918 PQR720913:PQR720918 QAN720913:QAN720918 QKJ720913:QKJ720918 QUF720913:QUF720918 REB720913:REB720918 RNX720913:RNX720918 RXT720913:RXT720918 SHP720913:SHP720918 SRL720913:SRL720918 TBH720913:TBH720918 TLD720913:TLD720918 TUZ720913:TUZ720918 UEV720913:UEV720918 UOR720913:UOR720918 UYN720913:UYN720918 VIJ720913:VIJ720918 VSF720913:VSF720918 WCB720913:WCB720918 WLX720913:WLX720918 WVT720913:WVT720918 L786449:L786454 JH786449:JH786454 TD786449:TD786454 ACZ786449:ACZ786454 AMV786449:AMV786454 AWR786449:AWR786454 BGN786449:BGN786454 BQJ786449:BQJ786454 CAF786449:CAF786454 CKB786449:CKB786454 CTX786449:CTX786454 DDT786449:DDT786454 DNP786449:DNP786454 DXL786449:DXL786454 EHH786449:EHH786454 ERD786449:ERD786454 FAZ786449:FAZ786454 FKV786449:FKV786454 FUR786449:FUR786454 GEN786449:GEN786454 GOJ786449:GOJ786454 GYF786449:GYF786454 HIB786449:HIB786454 HRX786449:HRX786454 IBT786449:IBT786454 ILP786449:ILP786454 IVL786449:IVL786454 JFH786449:JFH786454 JPD786449:JPD786454 JYZ786449:JYZ786454 KIV786449:KIV786454 KSR786449:KSR786454 LCN786449:LCN786454 LMJ786449:LMJ786454 LWF786449:LWF786454 MGB786449:MGB786454 MPX786449:MPX786454 MZT786449:MZT786454 NJP786449:NJP786454 NTL786449:NTL786454 ODH786449:ODH786454 OND786449:OND786454 OWZ786449:OWZ786454 PGV786449:PGV786454 PQR786449:PQR786454 QAN786449:QAN786454 QKJ786449:QKJ786454 QUF786449:QUF786454 REB786449:REB786454 RNX786449:RNX786454 RXT786449:RXT786454 SHP786449:SHP786454 SRL786449:SRL786454 TBH786449:TBH786454 TLD786449:TLD786454 TUZ786449:TUZ786454 UEV786449:UEV786454 UOR786449:UOR786454 UYN786449:UYN786454 VIJ786449:VIJ786454 VSF786449:VSF786454 WCB786449:WCB786454 WLX786449:WLX786454 WVT786449:WVT786454 L851985:L851990 JH851985:JH851990 TD851985:TD851990 ACZ851985:ACZ851990 AMV851985:AMV851990 AWR851985:AWR851990 BGN851985:BGN851990 BQJ851985:BQJ851990 CAF851985:CAF851990 CKB851985:CKB851990 CTX851985:CTX851990 DDT851985:DDT851990 DNP851985:DNP851990 DXL851985:DXL851990 EHH851985:EHH851990 ERD851985:ERD851990 FAZ851985:FAZ851990 FKV851985:FKV851990 FUR851985:FUR851990 GEN851985:GEN851990 GOJ851985:GOJ851990 GYF851985:GYF851990 HIB851985:HIB851990 HRX851985:HRX851990 IBT851985:IBT851990 ILP851985:ILP851990 IVL851985:IVL851990 JFH851985:JFH851990 JPD851985:JPD851990 JYZ851985:JYZ851990 KIV851985:KIV851990 KSR851985:KSR851990 LCN851985:LCN851990 LMJ851985:LMJ851990 LWF851985:LWF851990 MGB851985:MGB851990 MPX851985:MPX851990 MZT851985:MZT851990 NJP851985:NJP851990 NTL851985:NTL851990 ODH851985:ODH851990 OND851985:OND851990 OWZ851985:OWZ851990 PGV851985:PGV851990 PQR851985:PQR851990 QAN851985:QAN851990 QKJ851985:QKJ851990 QUF851985:QUF851990 REB851985:REB851990 RNX851985:RNX851990 RXT851985:RXT851990 SHP851985:SHP851990 SRL851985:SRL851990 TBH851985:TBH851990 TLD851985:TLD851990 TUZ851985:TUZ851990 UEV851985:UEV851990 UOR851985:UOR851990 UYN851985:UYN851990 VIJ851985:VIJ851990 VSF851985:VSF851990 WCB851985:WCB851990 WLX851985:WLX851990 WVT851985:WVT851990 L917521:L917526 JH917521:JH917526 TD917521:TD917526 ACZ917521:ACZ917526 AMV917521:AMV917526 AWR917521:AWR917526 BGN917521:BGN917526 BQJ917521:BQJ917526 CAF917521:CAF917526 CKB917521:CKB917526 CTX917521:CTX917526 DDT917521:DDT917526 DNP917521:DNP917526 DXL917521:DXL917526 EHH917521:EHH917526 ERD917521:ERD917526 FAZ917521:FAZ917526 FKV917521:FKV917526 FUR917521:FUR917526 GEN917521:GEN917526 GOJ917521:GOJ917526 GYF917521:GYF917526 HIB917521:HIB917526 HRX917521:HRX917526 IBT917521:IBT917526 ILP917521:ILP917526 IVL917521:IVL917526 JFH917521:JFH917526 JPD917521:JPD917526 JYZ917521:JYZ917526 KIV917521:KIV917526 KSR917521:KSR917526 LCN917521:LCN917526 LMJ917521:LMJ917526 LWF917521:LWF917526 MGB917521:MGB917526 MPX917521:MPX917526 MZT917521:MZT917526 NJP917521:NJP917526 NTL917521:NTL917526 ODH917521:ODH917526 OND917521:OND917526 OWZ917521:OWZ917526 PGV917521:PGV917526 PQR917521:PQR917526 QAN917521:QAN917526 QKJ917521:QKJ917526 QUF917521:QUF917526 REB917521:REB917526 RNX917521:RNX917526 RXT917521:RXT917526 SHP917521:SHP917526 SRL917521:SRL917526 TBH917521:TBH917526 TLD917521:TLD917526 TUZ917521:TUZ917526 UEV917521:UEV917526 UOR917521:UOR917526 UYN917521:UYN917526 VIJ917521:VIJ917526 VSF917521:VSF917526 WCB917521:WCB917526 WLX917521:WLX917526 WVT917521:WVT917526 L983057:L983062 JH983057:JH983062 TD983057:TD983062 ACZ983057:ACZ983062 AMV983057:AMV983062 AWR983057:AWR983062 BGN983057:BGN983062 BQJ983057:BQJ983062 CAF983057:CAF983062 CKB983057:CKB983062 CTX983057:CTX983062 DDT983057:DDT983062 DNP983057:DNP983062 DXL983057:DXL983062 EHH983057:EHH983062 ERD983057:ERD983062 FAZ983057:FAZ983062 FKV983057:FKV983062 FUR983057:FUR983062 GEN983057:GEN983062 GOJ983057:GOJ983062 GYF983057:GYF983062 HIB983057:HIB983062 HRX983057:HRX983062 IBT983057:IBT983062 ILP983057:ILP983062 IVL983057:IVL983062 JFH983057:JFH983062 JPD983057:JPD983062 JYZ983057:JYZ983062 KIV983057:KIV983062 KSR983057:KSR983062 LCN983057:LCN983062 LMJ983057:LMJ983062 LWF983057:LWF983062 MGB983057:MGB983062 MPX983057:MPX983062 MZT983057:MZT983062 NJP983057:NJP983062 NTL983057:NTL983062 ODH983057:ODH983062 OND983057:OND983062 OWZ983057:OWZ983062 PGV983057:PGV983062 PQR983057:PQR983062 QAN983057:QAN983062 QKJ983057:QKJ983062 QUF983057:QUF983062 REB983057:REB983062 RNX983057:RNX983062 RXT983057:RXT983062 SHP983057:SHP983062 SRL983057:SRL983062 TBH983057:TBH983062 TLD983057:TLD983062 TUZ983057:TUZ983062 UEV983057:UEV983062 UOR983057:UOR983062 UYN983057:UYN983062 VIJ983057:VIJ983062 VSF983057:VSF983062 WCB983057:WCB983062 WLX983057:WLX983062 WVT983057:WVT983062</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pageSetUpPr fitToPage="1"/>
  </sheetPr>
  <dimension ref="A1:L44"/>
  <sheetViews>
    <sheetView showGridLines="0" view="pageBreakPreview" zoomScale="80" zoomScaleNormal="75" zoomScaleSheetLayoutView="100" workbookViewId="0">
      <selection activeCell="AP18" sqref="AP18"/>
    </sheetView>
  </sheetViews>
  <sheetFormatPr baseColWidth="10" defaultColWidth="12" defaultRowHeight="13.8"/>
  <cols>
    <col min="1" max="16384" width="12" style="242"/>
  </cols>
  <sheetData>
    <row r="1" spans="1:12" ht="23.25" customHeight="1">
      <c r="A1" s="594"/>
      <c r="B1" s="594"/>
      <c r="C1" s="594"/>
      <c r="D1" s="601" t="s">
        <v>306</v>
      </c>
      <c r="E1" s="601"/>
      <c r="F1" s="601"/>
      <c r="G1" s="601"/>
      <c r="H1" s="601"/>
      <c r="I1" s="601"/>
      <c r="J1" s="417" t="s">
        <v>220</v>
      </c>
      <c r="K1" s="417"/>
      <c r="L1" s="417"/>
    </row>
    <row r="2" spans="1:12" ht="23.25" customHeight="1" thickBot="1">
      <c r="A2" s="595"/>
      <c r="B2" s="595"/>
      <c r="C2" s="595"/>
      <c r="D2" s="602"/>
      <c r="E2" s="602"/>
      <c r="F2" s="602"/>
      <c r="G2" s="602"/>
      <c r="H2" s="602"/>
      <c r="I2" s="602"/>
      <c r="J2" s="600"/>
      <c r="K2" s="600"/>
      <c r="L2" s="600"/>
    </row>
    <row r="3" spans="1:12" ht="8.25" customHeight="1">
      <c r="A3" s="268"/>
      <c r="B3" s="267"/>
      <c r="C3" s="267"/>
      <c r="D3" s="266"/>
      <c r="E3" s="266"/>
      <c r="F3" s="266"/>
      <c r="G3" s="266"/>
      <c r="H3" s="266"/>
      <c r="I3" s="266"/>
      <c r="J3" s="265"/>
      <c r="K3" s="265"/>
      <c r="L3" s="264"/>
    </row>
    <row r="4" spans="1:12" s="261" customFormat="1" ht="14.25" customHeight="1">
      <c r="A4" s="617" t="s">
        <v>178</v>
      </c>
      <c r="B4" s="618"/>
      <c r="C4" s="603" t="str">
        <f>+'Quick Response'!F4</f>
        <v>NMA Santa Perpetua</v>
      </c>
      <c r="D4" s="603"/>
      <c r="E4" s="618" t="s">
        <v>177</v>
      </c>
      <c r="F4" s="618"/>
      <c r="G4" s="634" t="str">
        <f>'Quick Response'!M4</f>
        <v>AVOCarbon Tunsia</v>
      </c>
      <c r="H4" s="634"/>
      <c r="I4" s="621" t="s">
        <v>305</v>
      </c>
      <c r="J4" s="263" t="s">
        <v>304</v>
      </c>
      <c r="K4" s="263" t="s">
        <v>303</v>
      </c>
      <c r="L4" s="262"/>
    </row>
    <row r="5" spans="1:12" s="261" customFormat="1" ht="14.25" customHeight="1">
      <c r="A5" s="617" t="s">
        <v>170</v>
      </c>
      <c r="B5" s="618"/>
      <c r="C5" s="603" t="str">
        <f>'Quick Response'!F6</f>
        <v>NMAS/2025/006</v>
      </c>
      <c r="D5" s="603"/>
      <c r="E5" s="618" t="s">
        <v>169</v>
      </c>
      <c r="F5" s="618"/>
      <c r="G5" s="603">
        <f>'Quick Response'!M6</f>
        <v>0</v>
      </c>
      <c r="H5" s="603"/>
      <c r="I5" s="622"/>
      <c r="J5" s="263" t="s">
        <v>302</v>
      </c>
      <c r="K5" s="263" t="s">
        <v>301</v>
      </c>
      <c r="L5" s="262"/>
    </row>
    <row r="6" spans="1:12" s="261" customFormat="1" ht="14.25" customHeight="1">
      <c r="A6" s="617" t="s">
        <v>300</v>
      </c>
      <c r="B6" s="618"/>
      <c r="C6" s="613">
        <f>'Quick Response'!V4</f>
        <v>45946</v>
      </c>
      <c r="D6" s="613"/>
      <c r="E6" s="620" t="s">
        <v>299</v>
      </c>
      <c r="F6" s="620"/>
      <c r="G6" s="619"/>
      <c r="H6" s="619"/>
      <c r="I6" s="622"/>
      <c r="J6" s="263" t="s">
        <v>298</v>
      </c>
      <c r="K6" s="263" t="s">
        <v>297</v>
      </c>
      <c r="L6" s="262"/>
    </row>
    <row r="7" spans="1:12" ht="7.5" customHeight="1" thickBot="1">
      <c r="A7" s="260"/>
      <c r="B7" s="259"/>
      <c r="C7" s="259"/>
      <c r="D7" s="258"/>
      <c r="E7" s="258"/>
      <c r="F7" s="258"/>
      <c r="G7" s="258"/>
      <c r="H7" s="258"/>
      <c r="I7" s="259"/>
      <c r="J7" s="259"/>
      <c r="K7" s="258"/>
      <c r="L7" s="257"/>
    </row>
    <row r="8" spans="1:12" ht="18.75" customHeight="1" thickBot="1">
      <c r="A8" s="607" t="s">
        <v>296</v>
      </c>
      <c r="B8" s="608"/>
      <c r="C8" s="608"/>
      <c r="D8" s="608"/>
      <c r="E8" s="608"/>
      <c r="F8" s="609"/>
      <c r="G8" s="604" t="s">
        <v>295</v>
      </c>
      <c r="H8" s="605"/>
      <c r="I8" s="605"/>
      <c r="J8" s="605"/>
      <c r="K8" s="605"/>
      <c r="L8" s="606"/>
    </row>
    <row r="9" spans="1:12" s="254" customFormat="1">
      <c r="A9" s="632" t="s">
        <v>294</v>
      </c>
      <c r="B9" s="633"/>
      <c r="C9" s="633"/>
      <c r="D9" s="633"/>
      <c r="E9" s="633"/>
      <c r="F9" s="256"/>
      <c r="G9" s="596" t="s">
        <v>293</v>
      </c>
      <c r="H9" s="596"/>
      <c r="I9" s="596"/>
      <c r="J9" s="596"/>
      <c r="K9" s="596"/>
      <c r="L9" s="597"/>
    </row>
    <row r="10" spans="1:12" s="254" customFormat="1">
      <c r="A10" s="610" t="str">
        <f>'Quick Response'!R13</f>
        <v>Motor doesn't run at customer line</v>
      </c>
      <c r="B10" s="611"/>
      <c r="C10" s="611"/>
      <c r="D10" s="611"/>
      <c r="E10" s="611"/>
      <c r="F10" s="612"/>
      <c r="G10" s="598"/>
      <c r="H10" s="598"/>
      <c r="I10" s="598"/>
      <c r="J10" s="598"/>
      <c r="K10" s="598"/>
      <c r="L10" s="599"/>
    </row>
    <row r="11" spans="1:12" s="254" customFormat="1">
      <c r="A11" s="614" t="s">
        <v>292</v>
      </c>
      <c r="B11" s="615"/>
      <c r="C11" s="615"/>
      <c r="D11" s="616"/>
      <c r="E11" s="616"/>
      <c r="F11" s="255"/>
      <c r="G11" s="598"/>
      <c r="H11" s="598"/>
      <c r="I11" s="598"/>
      <c r="J11" s="598"/>
      <c r="K11" s="598"/>
      <c r="L11" s="599"/>
    </row>
    <row r="12" spans="1:12" s="254" customFormat="1">
      <c r="A12" s="610" t="str">
        <f>'Quick Response'!R15</f>
        <v>Lack of functionality</v>
      </c>
      <c r="B12" s="611"/>
      <c r="C12" s="611"/>
      <c r="D12" s="611"/>
      <c r="E12" s="611"/>
      <c r="F12" s="612"/>
      <c r="G12" s="598"/>
      <c r="H12" s="598"/>
      <c r="I12" s="598"/>
      <c r="J12" s="598"/>
      <c r="K12" s="598"/>
      <c r="L12" s="599"/>
    </row>
    <row r="13" spans="1:12" s="254" customFormat="1">
      <c r="A13" s="614" t="s">
        <v>291</v>
      </c>
      <c r="B13" s="615"/>
      <c r="C13" s="615"/>
      <c r="D13" s="616"/>
      <c r="E13" s="616"/>
      <c r="F13" s="255"/>
      <c r="G13" s="598"/>
      <c r="H13" s="598"/>
      <c r="I13" s="598"/>
      <c r="J13" s="598"/>
      <c r="K13" s="598"/>
      <c r="L13" s="599"/>
    </row>
    <row r="14" spans="1:12" s="254" customFormat="1">
      <c r="A14" s="610">
        <f>'Quick Response'!R17</f>
        <v>45930</v>
      </c>
      <c r="B14" s="611"/>
      <c r="C14" s="611"/>
      <c r="D14" s="611"/>
      <c r="E14" s="611"/>
      <c r="F14" s="612"/>
      <c r="G14" s="598"/>
      <c r="H14" s="598"/>
      <c r="I14" s="598"/>
      <c r="J14" s="598"/>
      <c r="K14" s="598"/>
      <c r="L14" s="599"/>
    </row>
    <row r="15" spans="1:12" s="254" customFormat="1">
      <c r="A15" s="614" t="s">
        <v>290</v>
      </c>
      <c r="B15" s="615"/>
      <c r="C15" s="615"/>
      <c r="D15" s="616"/>
      <c r="E15" s="616"/>
      <c r="F15" s="255"/>
      <c r="G15" s="598"/>
      <c r="H15" s="598"/>
      <c r="I15" s="598"/>
      <c r="J15" s="598"/>
      <c r="K15" s="598"/>
      <c r="L15" s="599"/>
    </row>
    <row r="16" spans="1:12" s="254" customFormat="1">
      <c r="A16" s="610" t="str">
        <f>'Quick Response'!R18</f>
        <v>Operator</v>
      </c>
      <c r="B16" s="611"/>
      <c r="C16" s="611"/>
      <c r="D16" s="611"/>
      <c r="E16" s="611"/>
      <c r="F16" s="612"/>
      <c r="G16" s="598"/>
      <c r="H16" s="598"/>
      <c r="I16" s="598"/>
      <c r="J16" s="598"/>
      <c r="K16" s="598"/>
      <c r="L16" s="599"/>
    </row>
    <row r="17" spans="1:12" s="254" customFormat="1">
      <c r="A17" s="614" t="s">
        <v>289</v>
      </c>
      <c r="B17" s="615"/>
      <c r="C17" s="615"/>
      <c r="D17" s="616"/>
      <c r="E17" s="616"/>
      <c r="F17" s="255"/>
      <c r="G17" s="598"/>
      <c r="H17" s="598"/>
      <c r="I17" s="598"/>
      <c r="J17" s="598"/>
      <c r="K17" s="598"/>
      <c r="L17" s="599"/>
    </row>
    <row r="18" spans="1:12" s="254" customFormat="1">
      <c r="A18" s="610" t="str">
        <f>'Quick Response'!R19</f>
        <v>Customer Fan System Assembly Line</v>
      </c>
      <c r="B18" s="611"/>
      <c r="C18" s="611"/>
      <c r="D18" s="611"/>
      <c r="E18" s="611"/>
      <c r="F18" s="612"/>
      <c r="G18" s="598"/>
      <c r="H18" s="598"/>
      <c r="I18" s="598"/>
      <c r="J18" s="598"/>
      <c r="K18" s="598"/>
      <c r="L18" s="599"/>
    </row>
    <row r="19" spans="1:12" s="254" customFormat="1">
      <c r="A19" s="614" t="s">
        <v>288</v>
      </c>
      <c r="B19" s="615"/>
      <c r="C19" s="615"/>
      <c r="D19" s="616"/>
      <c r="E19" s="616"/>
      <c r="F19" s="255"/>
      <c r="G19" s="598"/>
      <c r="H19" s="598"/>
      <c r="I19" s="598"/>
      <c r="J19" s="598"/>
      <c r="K19" s="598"/>
      <c r="L19" s="599"/>
    </row>
    <row r="20" spans="1:12" s="254" customFormat="1">
      <c r="A20" s="610" t="str">
        <f>'Quick Response'!R20</f>
        <v xml:space="preserve">Electrical Test </v>
      </c>
      <c r="B20" s="611"/>
      <c r="C20" s="611"/>
      <c r="D20" s="611"/>
      <c r="E20" s="611"/>
      <c r="F20" s="612"/>
      <c r="G20" s="598"/>
      <c r="H20" s="598"/>
      <c r="I20" s="598"/>
      <c r="J20" s="598"/>
      <c r="K20" s="598"/>
      <c r="L20" s="599"/>
    </row>
    <row r="21" spans="1:12" s="254" customFormat="1">
      <c r="A21" s="614" t="s">
        <v>287</v>
      </c>
      <c r="B21" s="615"/>
      <c r="C21" s="615"/>
      <c r="D21" s="616"/>
      <c r="E21" s="616"/>
      <c r="F21" s="255"/>
      <c r="G21" s="598"/>
      <c r="H21" s="598"/>
      <c r="I21" s="598"/>
      <c r="J21" s="598"/>
      <c r="K21" s="598"/>
      <c r="L21" s="599"/>
    </row>
    <row r="22" spans="1:12" s="254" customFormat="1">
      <c r="A22" s="610">
        <f>'Quick Response'!R21</f>
        <v>2</v>
      </c>
      <c r="B22" s="611"/>
      <c r="C22" s="611"/>
      <c r="D22" s="611"/>
      <c r="E22" s="611"/>
      <c r="F22" s="612"/>
      <c r="G22" s="598"/>
      <c r="H22" s="598"/>
      <c r="I22" s="598"/>
      <c r="J22" s="598"/>
      <c r="K22" s="598"/>
      <c r="L22" s="599"/>
    </row>
    <row r="23" spans="1:12" ht="14.4" thickBot="1">
      <c r="A23" s="623"/>
      <c r="B23" s="624"/>
      <c r="C23" s="624"/>
      <c r="D23" s="625"/>
      <c r="E23" s="625"/>
      <c r="F23" s="253"/>
      <c r="G23" s="598"/>
      <c r="H23" s="598"/>
      <c r="I23" s="598"/>
      <c r="J23" s="598"/>
      <c r="K23" s="598"/>
      <c r="L23" s="599"/>
    </row>
    <row r="24" spans="1:12" s="252" customFormat="1" ht="17.399999999999999">
      <c r="A24" s="626" t="s">
        <v>286</v>
      </c>
      <c r="B24" s="627"/>
      <c r="C24" s="627"/>
      <c r="D24" s="627"/>
      <c r="E24" s="627"/>
      <c r="F24" s="627"/>
      <c r="G24" s="627"/>
      <c r="H24" s="627"/>
      <c r="I24" s="627"/>
      <c r="J24" s="627"/>
      <c r="K24" s="627"/>
      <c r="L24" s="628"/>
    </row>
    <row r="25" spans="1:12" s="252" customFormat="1" ht="18" thickBot="1">
      <c r="A25" s="629" t="s">
        <v>285</v>
      </c>
      <c r="B25" s="630"/>
      <c r="C25" s="630"/>
      <c r="D25" s="630"/>
      <c r="E25" s="630"/>
      <c r="F25" s="630"/>
      <c r="G25" s="629" t="s">
        <v>284</v>
      </c>
      <c r="H25" s="630"/>
      <c r="I25" s="630"/>
      <c r="J25" s="630"/>
      <c r="K25" s="630"/>
      <c r="L25" s="631"/>
    </row>
    <row r="26" spans="1:12" s="252" customFormat="1" ht="36.75" customHeight="1">
      <c r="A26" s="573" t="s">
        <v>283</v>
      </c>
      <c r="B26" s="574"/>
      <c r="C26" s="574"/>
      <c r="D26" s="574"/>
      <c r="E26" s="574"/>
      <c r="F26" s="575"/>
      <c r="G26" s="574" t="s">
        <v>282</v>
      </c>
      <c r="H26" s="574"/>
      <c r="I26" s="574"/>
      <c r="J26" s="574"/>
      <c r="K26" s="574"/>
      <c r="L26" s="575"/>
    </row>
    <row r="27" spans="1:12" ht="275.25" customHeight="1" thickBot="1">
      <c r="A27" s="588"/>
      <c r="B27" s="589"/>
      <c r="C27" s="589"/>
      <c r="D27" s="589"/>
      <c r="E27" s="589"/>
      <c r="F27" s="590"/>
      <c r="G27" s="588"/>
      <c r="H27" s="589"/>
      <c r="I27" s="589"/>
      <c r="J27" s="589"/>
      <c r="K27" s="589"/>
      <c r="L27" s="590"/>
    </row>
    <row r="28" spans="1:12" ht="17.399999999999999">
      <c r="A28" s="582" t="s">
        <v>281</v>
      </c>
      <c r="B28" s="583"/>
      <c r="C28" s="583"/>
      <c r="D28" s="583"/>
      <c r="E28" s="583"/>
      <c r="F28" s="583"/>
      <c r="G28" s="583"/>
      <c r="H28" s="583"/>
      <c r="I28" s="583"/>
      <c r="J28" s="583"/>
      <c r="K28" s="583"/>
      <c r="L28" s="584"/>
    </row>
    <row r="29" spans="1:12" s="252" customFormat="1" ht="45" customHeight="1" thickBot="1">
      <c r="A29" s="576" t="s">
        <v>280</v>
      </c>
      <c r="B29" s="577"/>
      <c r="C29" s="577"/>
      <c r="D29" s="578"/>
      <c r="E29" s="579" t="s">
        <v>279</v>
      </c>
      <c r="F29" s="580"/>
      <c r="G29" s="580"/>
      <c r="H29" s="581"/>
      <c r="I29" s="579" t="s">
        <v>278</v>
      </c>
      <c r="J29" s="580"/>
      <c r="K29" s="580"/>
      <c r="L29" s="581"/>
    </row>
    <row r="30" spans="1:12" ht="24.9" customHeight="1">
      <c r="A30" s="585" t="s">
        <v>277</v>
      </c>
      <c r="B30" s="585"/>
      <c r="C30" s="585"/>
      <c r="D30" s="585"/>
      <c r="E30" s="585" t="s">
        <v>276</v>
      </c>
      <c r="F30" s="585"/>
      <c r="G30" s="585"/>
      <c r="H30" s="585"/>
      <c r="I30" s="585" t="s">
        <v>275</v>
      </c>
      <c r="J30" s="585"/>
      <c r="K30" s="585"/>
      <c r="L30" s="585"/>
    </row>
    <row r="31" spans="1:12" ht="24.9" customHeight="1">
      <c r="A31" s="586"/>
      <c r="B31" s="586"/>
      <c r="C31" s="586"/>
      <c r="D31" s="586"/>
      <c r="E31" s="586"/>
      <c r="F31" s="586"/>
      <c r="G31" s="586"/>
      <c r="H31" s="586"/>
      <c r="I31" s="586"/>
      <c r="J31" s="586"/>
      <c r="K31" s="586"/>
      <c r="L31" s="586"/>
    </row>
    <row r="32" spans="1:12" ht="24.9" customHeight="1">
      <c r="A32" s="586"/>
      <c r="B32" s="586"/>
      <c r="C32" s="586"/>
      <c r="D32" s="586"/>
      <c r="E32" s="586"/>
      <c r="F32" s="586"/>
      <c r="G32" s="586"/>
      <c r="H32" s="586"/>
      <c r="I32" s="586"/>
      <c r="J32" s="586"/>
      <c r="K32" s="586"/>
      <c r="L32" s="586"/>
    </row>
    <row r="33" spans="1:12" ht="24.9" customHeight="1">
      <c r="A33" s="586"/>
      <c r="B33" s="586"/>
      <c r="C33" s="586"/>
      <c r="D33" s="586"/>
      <c r="E33" s="586"/>
      <c r="F33" s="586"/>
      <c r="G33" s="586"/>
      <c r="H33" s="586"/>
      <c r="I33" s="586"/>
      <c r="J33" s="586"/>
      <c r="K33" s="586"/>
      <c r="L33" s="586"/>
    </row>
    <row r="34" spans="1:12" ht="24.9" customHeight="1">
      <c r="A34" s="586"/>
      <c r="B34" s="586"/>
      <c r="C34" s="586"/>
      <c r="D34" s="586"/>
      <c r="E34" s="586"/>
      <c r="F34" s="586"/>
      <c r="G34" s="586"/>
      <c r="H34" s="586"/>
      <c r="I34" s="586"/>
      <c r="J34" s="586"/>
      <c r="K34" s="586"/>
      <c r="L34" s="586"/>
    </row>
    <row r="35" spans="1:12" ht="24.9" customHeight="1">
      <c r="A35" s="586"/>
      <c r="B35" s="586"/>
      <c r="C35" s="586"/>
      <c r="D35" s="586"/>
      <c r="E35" s="586"/>
      <c r="F35" s="586"/>
      <c r="G35" s="586"/>
      <c r="H35" s="586"/>
      <c r="I35" s="586"/>
      <c r="J35" s="586"/>
      <c r="K35" s="586"/>
      <c r="L35" s="586"/>
    </row>
    <row r="36" spans="1:12" ht="24.9" customHeight="1">
      <c r="A36" s="586"/>
      <c r="B36" s="586"/>
      <c r="C36" s="586"/>
      <c r="D36" s="586"/>
      <c r="E36" s="586"/>
      <c r="F36" s="586"/>
      <c r="G36" s="586"/>
      <c r="H36" s="586"/>
      <c r="I36" s="586"/>
      <c r="J36" s="586"/>
      <c r="K36" s="586"/>
      <c r="L36" s="586"/>
    </row>
    <row r="37" spans="1:12" ht="26.25" customHeight="1" thickBot="1">
      <c r="A37" s="587"/>
      <c r="B37" s="587"/>
      <c r="C37" s="587"/>
      <c r="D37" s="587"/>
      <c r="E37" s="587"/>
      <c r="F37" s="587"/>
      <c r="G37" s="587"/>
      <c r="H37" s="587"/>
      <c r="I37" s="587"/>
      <c r="J37" s="587"/>
      <c r="K37" s="587"/>
      <c r="L37" s="587"/>
    </row>
    <row r="38" spans="1:12" ht="18" customHeight="1" thickBot="1">
      <c r="A38" s="565" t="s">
        <v>274</v>
      </c>
      <c r="B38" s="566"/>
      <c r="C38" s="566"/>
      <c r="D38" s="566"/>
      <c r="E38" s="566"/>
      <c r="F38" s="566"/>
      <c r="G38" s="566"/>
      <c r="H38" s="566"/>
      <c r="I38" s="566"/>
      <c r="J38" s="566"/>
      <c r="K38" s="566"/>
      <c r="L38" s="567"/>
    </row>
    <row r="39" spans="1:12" ht="101.4" thickBot="1">
      <c r="A39" s="251" t="s">
        <v>273</v>
      </c>
      <c r="B39" s="250" t="s">
        <v>272</v>
      </c>
      <c r="C39" s="250" t="s">
        <v>271</v>
      </c>
      <c r="D39" s="250" t="s">
        <v>270</v>
      </c>
      <c r="E39" s="250" t="s">
        <v>269</v>
      </c>
      <c r="F39" s="250" t="s">
        <v>268</v>
      </c>
      <c r="G39" s="250" t="s">
        <v>267</v>
      </c>
      <c r="H39" s="250" t="s">
        <v>266</v>
      </c>
      <c r="I39" s="250" t="s">
        <v>265</v>
      </c>
      <c r="J39" s="250" t="s">
        <v>264</v>
      </c>
      <c r="K39" s="249" t="s">
        <v>263</v>
      </c>
      <c r="L39" s="248" t="s">
        <v>262</v>
      </c>
    </row>
    <row r="40" spans="1:12" ht="14.4" thickBot="1">
      <c r="A40" s="247"/>
      <c r="B40" s="244"/>
      <c r="C40" s="244"/>
      <c r="D40" s="244"/>
      <c r="E40" s="244"/>
      <c r="F40" s="244"/>
      <c r="G40" s="244"/>
      <c r="H40" s="246"/>
      <c r="I40" s="245"/>
      <c r="J40" s="244"/>
      <c r="K40" s="244"/>
      <c r="L40" s="243"/>
    </row>
    <row r="41" spans="1:12" ht="18" customHeight="1" thickBot="1">
      <c r="A41" s="591" t="s">
        <v>261</v>
      </c>
      <c r="B41" s="592"/>
      <c r="C41" s="592"/>
      <c r="D41" s="592"/>
      <c r="E41" s="592"/>
      <c r="F41" s="592"/>
      <c r="G41" s="592"/>
      <c r="H41" s="592"/>
      <c r="I41" s="592"/>
      <c r="J41" s="592"/>
      <c r="K41" s="592"/>
      <c r="L41" s="593"/>
    </row>
    <row r="42" spans="1:12" ht="21.75" customHeight="1" thickBot="1">
      <c r="A42" s="568" t="s">
        <v>260</v>
      </c>
      <c r="B42" s="569"/>
      <c r="C42" s="570"/>
      <c r="D42" s="571"/>
      <c r="E42" s="571"/>
      <c r="F42" s="571"/>
      <c r="G42" s="571"/>
      <c r="H42" s="571"/>
      <c r="I42" s="571"/>
      <c r="J42" s="571"/>
      <c r="K42" s="571"/>
      <c r="L42" s="572"/>
    </row>
    <row r="43" spans="1:12" ht="21.75" customHeight="1" thickBot="1">
      <c r="A43" s="568" t="s">
        <v>259</v>
      </c>
      <c r="B43" s="569"/>
      <c r="C43" s="570"/>
      <c r="D43" s="571"/>
      <c r="E43" s="571"/>
      <c r="F43" s="571"/>
      <c r="G43" s="571"/>
      <c r="H43" s="571"/>
      <c r="I43" s="571"/>
      <c r="J43" s="571"/>
      <c r="K43" s="571"/>
      <c r="L43" s="572"/>
    </row>
    <row r="44" spans="1:12" ht="21.75" customHeight="1" thickBot="1">
      <c r="A44" s="568" t="s">
        <v>258</v>
      </c>
      <c r="B44" s="569"/>
      <c r="C44" s="570"/>
      <c r="D44" s="571"/>
      <c r="E44" s="571"/>
      <c r="F44" s="571"/>
      <c r="G44" s="571"/>
      <c r="H44" s="571"/>
      <c r="I44" s="571"/>
      <c r="J44" s="571"/>
      <c r="K44" s="571"/>
      <c r="L44" s="572"/>
    </row>
  </sheetData>
  <mergeCells count="58">
    <mergeCell ref="I4:I6"/>
    <mergeCell ref="A23:E23"/>
    <mergeCell ref="A20:F20"/>
    <mergeCell ref="A24:L24"/>
    <mergeCell ref="A25:F25"/>
    <mergeCell ref="G25:L25"/>
    <mergeCell ref="A9:E9"/>
    <mergeCell ref="A18:F18"/>
    <mergeCell ref="G4:H4"/>
    <mergeCell ref="G5:H5"/>
    <mergeCell ref="A22:F22"/>
    <mergeCell ref="A19:E19"/>
    <mergeCell ref="A11:E11"/>
    <mergeCell ref="A13:E13"/>
    <mergeCell ref="A17:E17"/>
    <mergeCell ref="A16:F16"/>
    <mergeCell ref="A15:E15"/>
    <mergeCell ref="E4:F4"/>
    <mergeCell ref="E5:F5"/>
    <mergeCell ref="E6:F6"/>
    <mergeCell ref="C5:D5"/>
    <mergeCell ref="A1:C2"/>
    <mergeCell ref="G9:L23"/>
    <mergeCell ref="J1:L2"/>
    <mergeCell ref="D1:I2"/>
    <mergeCell ref="C4:D4"/>
    <mergeCell ref="G8:L8"/>
    <mergeCell ref="A8:F8"/>
    <mergeCell ref="A10:F10"/>
    <mergeCell ref="C6:D6"/>
    <mergeCell ref="A21:E21"/>
    <mergeCell ref="A6:B6"/>
    <mergeCell ref="A12:F12"/>
    <mergeCell ref="A14:F14"/>
    <mergeCell ref="A4:B4"/>
    <mergeCell ref="A5:B5"/>
    <mergeCell ref="G6:H6"/>
    <mergeCell ref="A44:B44"/>
    <mergeCell ref="C44:L44"/>
    <mergeCell ref="A41:L41"/>
    <mergeCell ref="A42:B42"/>
    <mergeCell ref="C42:L42"/>
    <mergeCell ref="A38:L38"/>
    <mergeCell ref="A43:B43"/>
    <mergeCell ref="C43:L43"/>
    <mergeCell ref="A26:F26"/>
    <mergeCell ref="G26:L26"/>
    <mergeCell ref="A29:D29"/>
    <mergeCell ref="E29:H29"/>
    <mergeCell ref="I29:L29"/>
    <mergeCell ref="A28:L28"/>
    <mergeCell ref="E30:H37"/>
    <mergeCell ref="I30:L37"/>
    <mergeCell ref="A30:D37"/>
    <mergeCell ref="A27:C27"/>
    <mergeCell ref="D27:F27"/>
    <mergeCell ref="G27:I27"/>
    <mergeCell ref="J27:L27"/>
  </mergeCells>
  <printOptions horizontalCentered="1"/>
  <pageMargins left="0.39370078740157483" right="0.39370078740157483" top="0.39370078740157483" bottom="0.39370078740157483" header="0.19685039370078741" footer="0.19685039370078741"/>
  <pageSetup paperSize="9" scale="66" orientation="portrait" r:id="rId1"/>
  <headerFooter alignWithMargins="0">
    <oddFooter>&amp;L&amp;8&amp;F&amp;C&amp;8Edition 1 - 2015.11.1&amp;R&amp;8Printed &amp;D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169" r:id="rId4" name="Check Box 1">
              <controlPr defaultSize="0" autoFill="0" autoLine="0" autoPict="0">
                <anchor moveWithCells="1">
                  <from>
                    <xdr:col>10</xdr:col>
                    <xdr:colOff>769620</xdr:colOff>
                    <xdr:row>3</xdr:row>
                    <xdr:rowOff>0</xdr:rowOff>
                  </from>
                  <to>
                    <xdr:col>11</xdr:col>
                    <xdr:colOff>304800</xdr:colOff>
                    <xdr:row>4</xdr:row>
                    <xdr:rowOff>45720</xdr:rowOff>
                  </to>
                </anchor>
              </controlPr>
            </control>
          </mc:Choice>
        </mc:AlternateContent>
        <mc:AlternateContent xmlns:mc="http://schemas.openxmlformats.org/markup-compatibility/2006">
          <mc:Choice Requires="x14">
            <control shapeId="7170" r:id="rId5" name="Check Box 2">
              <controlPr defaultSize="0" autoFill="0" autoLine="0" autoPict="0">
                <anchor moveWithCells="1">
                  <from>
                    <xdr:col>10</xdr:col>
                    <xdr:colOff>769620</xdr:colOff>
                    <xdr:row>4</xdr:row>
                    <xdr:rowOff>0</xdr:rowOff>
                  </from>
                  <to>
                    <xdr:col>11</xdr:col>
                    <xdr:colOff>304800</xdr:colOff>
                    <xdr:row>5</xdr:row>
                    <xdr:rowOff>38100</xdr:rowOff>
                  </to>
                </anchor>
              </controlPr>
            </control>
          </mc:Choice>
        </mc:AlternateContent>
        <mc:AlternateContent xmlns:mc="http://schemas.openxmlformats.org/markup-compatibility/2006">
          <mc:Choice Requires="x14">
            <control shapeId="7171" r:id="rId6" name="Check Box 3">
              <controlPr defaultSize="0" autoFill="0" autoLine="0" autoPict="0">
                <anchor moveWithCells="1">
                  <from>
                    <xdr:col>10</xdr:col>
                    <xdr:colOff>769620</xdr:colOff>
                    <xdr:row>4</xdr:row>
                    <xdr:rowOff>175260</xdr:rowOff>
                  </from>
                  <to>
                    <xdr:col>11</xdr:col>
                    <xdr:colOff>304800</xdr:colOff>
                    <xdr:row>6</xdr:row>
                    <xdr:rowOff>30480</xdr:rowOff>
                  </to>
                </anchor>
              </controlPr>
            </control>
          </mc:Choice>
        </mc:AlternateContent>
        <mc:AlternateContent xmlns:mc="http://schemas.openxmlformats.org/markup-compatibility/2006">
          <mc:Choice Requires="x14">
            <control shapeId="7172" r:id="rId7" name="Check Box 4">
              <controlPr defaultSize="0" autoFill="0" autoLine="0" autoPict="0">
                <anchor moveWithCells="1">
                  <from>
                    <xdr:col>9</xdr:col>
                    <xdr:colOff>784860</xdr:colOff>
                    <xdr:row>2</xdr:row>
                    <xdr:rowOff>99060</xdr:rowOff>
                  </from>
                  <to>
                    <xdr:col>10</xdr:col>
                    <xdr:colOff>327660</xdr:colOff>
                    <xdr:row>4</xdr:row>
                    <xdr:rowOff>38100</xdr:rowOff>
                  </to>
                </anchor>
              </controlPr>
            </control>
          </mc:Choice>
        </mc:AlternateContent>
        <mc:AlternateContent xmlns:mc="http://schemas.openxmlformats.org/markup-compatibility/2006">
          <mc:Choice Requires="x14">
            <control shapeId="7173" r:id="rId8" name="Check Box 5">
              <controlPr defaultSize="0" autoFill="0" autoLine="0" autoPict="0">
                <anchor moveWithCells="1">
                  <from>
                    <xdr:col>9</xdr:col>
                    <xdr:colOff>784860</xdr:colOff>
                    <xdr:row>3</xdr:row>
                    <xdr:rowOff>175260</xdr:rowOff>
                  </from>
                  <to>
                    <xdr:col>10</xdr:col>
                    <xdr:colOff>327660</xdr:colOff>
                    <xdr:row>5</xdr:row>
                    <xdr:rowOff>38100</xdr:rowOff>
                  </to>
                </anchor>
              </controlPr>
            </control>
          </mc:Choice>
        </mc:AlternateContent>
        <mc:AlternateContent xmlns:mc="http://schemas.openxmlformats.org/markup-compatibility/2006">
          <mc:Choice Requires="x14">
            <control shapeId="7174" r:id="rId9" name="Check Box 6">
              <controlPr defaultSize="0" autoFill="0" autoLine="0" autoPict="0">
                <anchor moveWithCells="1">
                  <from>
                    <xdr:col>9</xdr:col>
                    <xdr:colOff>784860</xdr:colOff>
                    <xdr:row>4</xdr:row>
                    <xdr:rowOff>175260</xdr:rowOff>
                  </from>
                  <to>
                    <xdr:col>10</xdr:col>
                    <xdr:colOff>327660</xdr:colOff>
                    <xdr:row>6</xdr:row>
                    <xdr:rowOff>30480</xdr:rowOff>
                  </to>
                </anchor>
              </controlPr>
            </control>
          </mc:Choice>
        </mc:AlternateContent>
        <mc:AlternateContent xmlns:mc="http://schemas.openxmlformats.org/markup-compatibility/2006">
          <mc:Choice Requires="x14">
            <control shapeId="7175" r:id="rId10" name="Check Box 7">
              <controlPr defaultSize="0" autoFill="0" autoLine="0" autoPict="0">
                <anchor moveWithCells="1">
                  <from>
                    <xdr:col>10</xdr:col>
                    <xdr:colOff>769620</xdr:colOff>
                    <xdr:row>4</xdr:row>
                    <xdr:rowOff>175260</xdr:rowOff>
                  </from>
                  <to>
                    <xdr:col>11</xdr:col>
                    <xdr:colOff>266700</xdr:colOff>
                    <xdr:row>6</xdr:row>
                    <xdr:rowOff>30480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Arkusz6">
    <pageSetUpPr fitToPage="1"/>
  </sheetPr>
  <dimension ref="A1:AK89"/>
  <sheetViews>
    <sheetView view="pageBreakPreview" zoomScaleNormal="100" zoomScaleSheetLayoutView="100" workbookViewId="0">
      <selection activeCell="AE78" sqref="AE78"/>
    </sheetView>
  </sheetViews>
  <sheetFormatPr baseColWidth="10" defaultColWidth="4.33203125" defaultRowHeight="10.199999999999999"/>
  <cols>
    <col min="1" max="1" width="1.44140625" style="46" customWidth="1"/>
    <col min="2" max="24" width="4.33203125" style="46" customWidth="1"/>
    <col min="25" max="25" width="1.44140625" style="46" customWidth="1"/>
    <col min="26" max="16384" width="4.33203125" style="46"/>
  </cols>
  <sheetData>
    <row r="1" spans="1:26" ht="12.75" customHeight="1">
      <c r="A1" s="365"/>
      <c r="B1" s="365"/>
      <c r="C1" s="365"/>
      <c r="D1" s="365"/>
      <c r="E1" s="365"/>
      <c r="F1" s="365"/>
      <c r="G1" s="365"/>
      <c r="H1" s="365"/>
      <c r="I1" s="365"/>
      <c r="J1" s="418" t="s">
        <v>183</v>
      </c>
      <c r="K1" s="418"/>
      <c r="L1" s="418"/>
      <c r="M1" s="418"/>
      <c r="N1" s="418"/>
      <c r="O1" s="418"/>
      <c r="P1" s="418"/>
      <c r="Q1" s="418"/>
      <c r="R1" s="365" t="s">
        <v>182</v>
      </c>
      <c r="S1" s="365"/>
      <c r="T1" s="365"/>
      <c r="U1" s="365"/>
      <c r="V1" s="365"/>
      <c r="W1" s="365"/>
      <c r="X1" s="365"/>
      <c r="Y1" s="365"/>
    </row>
    <row r="2" spans="1:26">
      <c r="A2" s="365"/>
      <c r="B2" s="365"/>
      <c r="C2" s="365"/>
      <c r="D2" s="365"/>
      <c r="E2" s="365"/>
      <c r="F2" s="365"/>
      <c r="G2" s="365"/>
      <c r="H2" s="365"/>
      <c r="I2" s="365"/>
      <c r="J2" s="418"/>
      <c r="K2" s="418"/>
      <c r="L2" s="418"/>
      <c r="M2" s="418"/>
      <c r="N2" s="418"/>
      <c r="O2" s="418"/>
      <c r="P2" s="418"/>
      <c r="Q2" s="418"/>
      <c r="R2" s="365"/>
      <c r="S2" s="365"/>
      <c r="T2" s="365"/>
      <c r="U2" s="365"/>
      <c r="V2" s="365"/>
      <c r="W2" s="365"/>
      <c r="X2" s="365"/>
      <c r="Y2" s="365"/>
    </row>
    <row r="3" spans="1:26" ht="10.8" thickBot="1">
      <c r="A3" s="365"/>
      <c r="B3" s="365"/>
      <c r="C3" s="365"/>
      <c r="D3" s="365"/>
      <c r="E3" s="365"/>
      <c r="F3" s="365"/>
      <c r="G3" s="365"/>
      <c r="H3" s="365"/>
      <c r="I3" s="365"/>
      <c r="J3" s="419"/>
      <c r="K3" s="419"/>
      <c r="L3" s="419"/>
      <c r="M3" s="419"/>
      <c r="N3" s="419"/>
      <c r="O3" s="419"/>
      <c r="P3" s="419"/>
      <c r="Q3" s="419"/>
      <c r="R3" s="365"/>
      <c r="S3" s="365"/>
      <c r="T3" s="365"/>
      <c r="U3" s="365"/>
      <c r="V3" s="365"/>
      <c r="W3" s="365"/>
      <c r="X3" s="365"/>
      <c r="Y3" s="365"/>
    </row>
    <row r="4" spans="1:26">
      <c r="A4" s="88" t="s">
        <v>178</v>
      </c>
      <c r="B4" s="86"/>
      <c r="C4" s="86"/>
      <c r="D4" s="86"/>
      <c r="E4" s="86"/>
      <c r="F4" s="458" t="str">
        <f>'Quick Response'!F4</f>
        <v>NMA Santa Perpetua</v>
      </c>
      <c r="G4" s="458"/>
      <c r="H4" s="458"/>
      <c r="I4" s="458"/>
      <c r="J4" s="458"/>
      <c r="K4" s="87" t="s">
        <v>177</v>
      </c>
      <c r="L4" s="86"/>
      <c r="M4" s="458" t="str">
        <f>'Quick Response'!M4</f>
        <v>AVOCarbon Tunsia</v>
      </c>
      <c r="N4" s="458"/>
      <c r="O4" s="458"/>
      <c r="P4" s="458"/>
      <c r="Q4" s="458"/>
      <c r="R4" s="86"/>
      <c r="S4" s="87" t="s">
        <v>176</v>
      </c>
      <c r="T4" s="86"/>
      <c r="U4" s="86"/>
      <c r="V4" s="463">
        <f>'Quick Response'!V4</f>
        <v>45946</v>
      </c>
      <c r="W4" s="463"/>
      <c r="X4" s="463"/>
      <c r="Y4" s="464"/>
    </row>
    <row r="5" spans="1:26">
      <c r="A5" s="85" t="s">
        <v>174</v>
      </c>
      <c r="B5" s="83"/>
      <c r="C5" s="83"/>
      <c r="D5" s="83"/>
      <c r="E5" s="83"/>
      <c r="F5" s="459" t="str">
        <f>'Quick Response'!F5</f>
        <v>Alfons Lledó</v>
      </c>
      <c r="G5" s="459"/>
      <c r="H5" s="459"/>
      <c r="I5" s="459"/>
      <c r="J5" s="459"/>
      <c r="K5" s="84" t="s">
        <v>173</v>
      </c>
      <c r="L5" s="83"/>
      <c r="M5" s="459">
        <f>'Quick Response'!M5</f>
        <v>0</v>
      </c>
      <c r="N5" s="459"/>
      <c r="O5" s="459"/>
      <c r="P5" s="459"/>
      <c r="Q5" s="459"/>
      <c r="R5" s="83"/>
      <c r="S5" s="84" t="s">
        <v>340</v>
      </c>
      <c r="T5" s="83"/>
      <c r="U5" s="83"/>
      <c r="V5" s="421"/>
      <c r="W5" s="421"/>
      <c r="X5" s="421"/>
      <c r="Y5" s="422"/>
    </row>
    <row r="6" spans="1:26" ht="10.8" thickBot="1">
      <c r="A6" s="82" t="s">
        <v>170</v>
      </c>
      <c r="B6" s="79"/>
      <c r="C6" s="79"/>
      <c r="D6" s="79"/>
      <c r="E6" s="79"/>
      <c r="F6" s="465" t="str">
        <f>'Quick Response'!F6</f>
        <v>NMAS/2025/006</v>
      </c>
      <c r="G6" s="465"/>
      <c r="H6" s="465"/>
      <c r="I6" s="465"/>
      <c r="J6" s="465"/>
      <c r="K6" s="81" t="s">
        <v>169</v>
      </c>
      <c r="L6" s="79"/>
      <c r="M6" s="465">
        <f>'Quick Response'!M6</f>
        <v>0</v>
      </c>
      <c r="N6" s="465"/>
      <c r="O6" s="465"/>
      <c r="P6" s="465"/>
      <c r="Q6" s="465"/>
      <c r="R6" s="79"/>
      <c r="S6" s="80" t="s">
        <v>339</v>
      </c>
      <c r="T6" s="79"/>
      <c r="U6" s="79"/>
      <c r="V6" s="425"/>
      <c r="W6" s="425"/>
      <c r="X6" s="425"/>
      <c r="Y6" s="426"/>
    </row>
    <row r="7" spans="1:26" ht="10.8" thickBot="1"/>
    <row r="8" spans="1:26" ht="13.8">
      <c r="A8" s="666" t="s">
        <v>338</v>
      </c>
      <c r="B8" s="667"/>
      <c r="C8" s="667"/>
      <c r="D8" s="667"/>
      <c r="E8" s="667"/>
      <c r="F8" s="667"/>
      <c r="G8" s="667"/>
      <c r="H8" s="667"/>
      <c r="I8" s="667"/>
      <c r="J8" s="667"/>
      <c r="K8" s="667"/>
      <c r="L8" s="667"/>
      <c r="M8" s="667"/>
      <c r="N8" s="667"/>
      <c r="O8" s="667"/>
      <c r="P8" s="667"/>
      <c r="Q8" s="667"/>
      <c r="R8" s="667"/>
      <c r="S8" s="667"/>
      <c r="T8" s="667"/>
      <c r="U8" s="667"/>
      <c r="V8" s="667"/>
      <c r="W8" s="667"/>
      <c r="X8" s="667"/>
      <c r="Y8" s="668"/>
    </row>
    <row r="9" spans="1:26" ht="13.5" customHeight="1" thickBot="1">
      <c r="A9" s="283"/>
      <c r="B9" s="279"/>
      <c r="C9" s="279"/>
      <c r="D9" s="279"/>
      <c r="E9" s="279"/>
      <c r="F9" s="279"/>
      <c r="G9" s="279"/>
      <c r="H9" s="279"/>
      <c r="I9" s="279"/>
      <c r="J9" s="279"/>
      <c r="K9" s="279"/>
      <c r="L9" s="282"/>
      <c r="M9" s="282"/>
      <c r="N9" s="281"/>
      <c r="O9" s="281"/>
      <c r="P9" s="281"/>
      <c r="Q9" s="279"/>
      <c r="R9" s="279"/>
      <c r="S9" s="280" t="s">
        <v>337</v>
      </c>
      <c r="T9" s="665" t="s">
        <v>336</v>
      </c>
      <c r="U9" s="665"/>
      <c r="V9" s="665"/>
      <c r="W9" s="279"/>
      <c r="X9" s="279"/>
      <c r="Y9" s="278"/>
    </row>
    <row r="10" spans="1:26" ht="7.5" customHeight="1" thickBot="1">
      <c r="B10" s="47"/>
      <c r="D10" s="47"/>
      <c r="F10" s="47"/>
      <c r="H10" s="47"/>
      <c r="J10" s="47"/>
      <c r="L10" s="47"/>
      <c r="N10" s="47"/>
      <c r="P10" s="47"/>
      <c r="R10" s="47"/>
      <c r="T10" s="47"/>
      <c r="V10" s="47"/>
      <c r="X10" s="47"/>
      <c r="Z10" s="47"/>
    </row>
    <row r="11" spans="1:26" ht="13.8" thickBot="1">
      <c r="A11" s="59" t="s">
        <v>335</v>
      </c>
      <c r="B11" s="57"/>
      <c r="C11" s="57"/>
      <c r="D11" s="57"/>
      <c r="E11" s="57"/>
      <c r="F11" s="57"/>
      <c r="G11" s="57"/>
      <c r="H11" s="57"/>
      <c r="I11" s="57"/>
      <c r="J11" s="57"/>
      <c r="K11" s="57"/>
      <c r="L11" s="57"/>
      <c r="M11" s="58" t="s">
        <v>129</v>
      </c>
      <c r="N11" s="57"/>
      <c r="O11" s="57"/>
      <c r="P11" s="57"/>
      <c r="Q11" s="58" t="s">
        <v>128</v>
      </c>
      <c r="R11" s="57"/>
      <c r="S11" s="57"/>
      <c r="T11" s="57"/>
      <c r="U11" s="58" t="s">
        <v>331</v>
      </c>
      <c r="V11" s="57"/>
      <c r="W11" s="57"/>
      <c r="X11" s="57"/>
      <c r="Y11" s="56"/>
    </row>
    <row r="12" spans="1:26">
      <c r="A12" s="52"/>
      <c r="B12" s="53" t="s">
        <v>330</v>
      </c>
      <c r="Y12" s="51"/>
    </row>
    <row r="13" spans="1:26" ht="7.5" customHeight="1">
      <c r="A13" s="52"/>
      <c r="Y13" s="51"/>
    </row>
    <row r="14" spans="1:26">
      <c r="A14" s="52"/>
      <c r="B14" s="53" t="s">
        <v>334</v>
      </c>
      <c r="F14" s="277"/>
      <c r="G14" s="277"/>
      <c r="H14" s="277"/>
      <c r="I14" s="277"/>
      <c r="J14" s="277"/>
      <c r="K14" s="277"/>
      <c r="L14" s="277"/>
      <c r="R14" s="277"/>
      <c r="S14" s="277"/>
      <c r="T14" s="277"/>
      <c r="U14" s="277"/>
      <c r="V14" s="277"/>
      <c r="W14" s="277"/>
      <c r="X14" s="277"/>
      <c r="Y14" s="51"/>
    </row>
    <row r="15" spans="1:26">
      <c r="A15" s="52"/>
      <c r="B15" s="656"/>
      <c r="C15" s="657"/>
      <c r="D15" s="657"/>
      <c r="E15" s="657"/>
      <c r="F15" s="657"/>
      <c r="G15" s="657"/>
      <c r="H15" s="657"/>
      <c r="I15" s="657"/>
      <c r="J15" s="657"/>
      <c r="K15" s="657"/>
      <c r="L15" s="657"/>
      <c r="M15" s="657"/>
      <c r="N15" s="657"/>
      <c r="O15" s="657"/>
      <c r="P15" s="657"/>
      <c r="Q15" s="657"/>
      <c r="R15" s="657"/>
      <c r="S15" s="657"/>
      <c r="T15" s="657"/>
      <c r="U15" s="657"/>
      <c r="V15" s="657"/>
      <c r="W15" s="657"/>
      <c r="X15" s="658"/>
      <c r="Y15" s="51"/>
    </row>
    <row r="16" spans="1:26">
      <c r="A16" s="52"/>
      <c r="B16" s="662"/>
      <c r="C16" s="663"/>
      <c r="D16" s="663"/>
      <c r="E16" s="663"/>
      <c r="F16" s="663"/>
      <c r="G16" s="663"/>
      <c r="H16" s="663"/>
      <c r="I16" s="663"/>
      <c r="J16" s="663"/>
      <c r="K16" s="663"/>
      <c r="L16" s="663"/>
      <c r="M16" s="663"/>
      <c r="N16" s="663"/>
      <c r="O16" s="663"/>
      <c r="P16" s="663"/>
      <c r="Q16" s="663"/>
      <c r="R16" s="663"/>
      <c r="S16" s="663"/>
      <c r="T16" s="663"/>
      <c r="U16" s="663"/>
      <c r="V16" s="663"/>
      <c r="W16" s="663"/>
      <c r="X16" s="664"/>
      <c r="Y16" s="51"/>
    </row>
    <row r="17" spans="1:25">
      <c r="A17" s="52"/>
      <c r="B17" s="662"/>
      <c r="C17" s="663"/>
      <c r="D17" s="663"/>
      <c r="E17" s="663"/>
      <c r="F17" s="663"/>
      <c r="G17" s="663"/>
      <c r="H17" s="663"/>
      <c r="I17" s="663"/>
      <c r="J17" s="663"/>
      <c r="K17" s="663"/>
      <c r="L17" s="663"/>
      <c r="M17" s="663"/>
      <c r="N17" s="663"/>
      <c r="O17" s="663"/>
      <c r="P17" s="663"/>
      <c r="Q17" s="663"/>
      <c r="R17" s="663"/>
      <c r="S17" s="663"/>
      <c r="T17" s="663"/>
      <c r="U17" s="663"/>
      <c r="V17" s="663"/>
      <c r="W17" s="663"/>
      <c r="X17" s="664"/>
      <c r="Y17" s="51"/>
    </row>
    <row r="18" spans="1:25">
      <c r="A18" s="52"/>
      <c r="B18" s="659"/>
      <c r="C18" s="660"/>
      <c r="D18" s="660"/>
      <c r="E18" s="660"/>
      <c r="F18" s="660"/>
      <c r="G18" s="660"/>
      <c r="H18" s="660"/>
      <c r="I18" s="660"/>
      <c r="J18" s="660"/>
      <c r="K18" s="660"/>
      <c r="L18" s="660"/>
      <c r="M18" s="660"/>
      <c r="N18" s="660"/>
      <c r="O18" s="660"/>
      <c r="P18" s="660"/>
      <c r="Q18" s="660"/>
      <c r="R18" s="660"/>
      <c r="S18" s="660"/>
      <c r="T18" s="660"/>
      <c r="U18" s="660"/>
      <c r="V18" s="660"/>
      <c r="W18" s="660"/>
      <c r="X18" s="661"/>
      <c r="Y18" s="51"/>
    </row>
    <row r="19" spans="1:25" ht="7.5" customHeight="1">
      <c r="A19" s="52"/>
      <c r="Y19" s="51"/>
    </row>
    <row r="20" spans="1:25">
      <c r="A20" s="52"/>
      <c r="B20" s="53" t="s">
        <v>333</v>
      </c>
      <c r="Y20" s="51"/>
    </row>
    <row r="21" spans="1:25">
      <c r="A21" s="52"/>
      <c r="B21" s="656"/>
      <c r="C21" s="657"/>
      <c r="D21" s="657"/>
      <c r="E21" s="657"/>
      <c r="F21" s="657"/>
      <c r="G21" s="657"/>
      <c r="H21" s="657"/>
      <c r="I21" s="657"/>
      <c r="J21" s="657"/>
      <c r="K21" s="657"/>
      <c r="L21" s="657"/>
      <c r="M21" s="657"/>
      <c r="N21" s="657"/>
      <c r="O21" s="657"/>
      <c r="P21" s="657"/>
      <c r="Q21" s="657"/>
      <c r="R21" s="657"/>
      <c r="S21" s="657"/>
      <c r="T21" s="657"/>
      <c r="U21" s="657"/>
      <c r="V21" s="657"/>
      <c r="W21" s="657"/>
      <c r="X21" s="658"/>
      <c r="Y21" s="51"/>
    </row>
    <row r="22" spans="1:25">
      <c r="A22" s="52"/>
      <c r="B22" s="659"/>
      <c r="C22" s="660"/>
      <c r="D22" s="660"/>
      <c r="E22" s="660"/>
      <c r="F22" s="660"/>
      <c r="G22" s="660"/>
      <c r="H22" s="660"/>
      <c r="I22" s="660"/>
      <c r="J22" s="660"/>
      <c r="K22" s="660"/>
      <c r="L22" s="660"/>
      <c r="M22" s="660"/>
      <c r="N22" s="660"/>
      <c r="O22" s="660"/>
      <c r="P22" s="660"/>
      <c r="Q22" s="660"/>
      <c r="R22" s="660"/>
      <c r="S22" s="660"/>
      <c r="T22" s="660"/>
      <c r="U22" s="660"/>
      <c r="V22" s="660"/>
      <c r="W22" s="660"/>
      <c r="X22" s="661"/>
      <c r="Y22" s="51"/>
    </row>
    <row r="23" spans="1:25" ht="7.5" customHeight="1" thickBot="1">
      <c r="A23" s="50"/>
      <c r="B23" s="49"/>
      <c r="C23" s="49"/>
      <c r="D23" s="49"/>
      <c r="E23" s="49"/>
      <c r="F23" s="49"/>
      <c r="G23" s="49"/>
      <c r="H23" s="49"/>
      <c r="I23" s="49"/>
      <c r="J23" s="49"/>
      <c r="K23" s="49"/>
      <c r="L23" s="49"/>
      <c r="M23" s="49"/>
      <c r="N23" s="49"/>
      <c r="O23" s="49"/>
      <c r="P23" s="49"/>
      <c r="Q23" s="49"/>
      <c r="R23" s="49"/>
      <c r="S23" s="49"/>
      <c r="T23" s="49"/>
      <c r="U23" s="49"/>
      <c r="V23" s="49"/>
      <c r="W23" s="49"/>
      <c r="X23" s="49"/>
      <c r="Y23" s="48"/>
    </row>
    <row r="24" spans="1:25" ht="10.8" thickBot="1"/>
    <row r="25" spans="1:25" ht="13.8" thickBot="1">
      <c r="A25" s="59" t="s">
        <v>332</v>
      </c>
      <c r="B25" s="57"/>
      <c r="C25" s="57"/>
      <c r="D25" s="57"/>
      <c r="E25" s="57"/>
      <c r="F25" s="57"/>
      <c r="G25" s="57"/>
      <c r="H25" s="57"/>
      <c r="I25" s="57"/>
      <c r="J25" s="57"/>
      <c r="K25" s="57"/>
      <c r="L25" s="57"/>
      <c r="M25" s="58" t="s">
        <v>129</v>
      </c>
      <c r="N25" s="57"/>
      <c r="O25" s="57"/>
      <c r="P25" s="57"/>
      <c r="Q25" s="58" t="s">
        <v>128</v>
      </c>
      <c r="R25" s="57"/>
      <c r="S25" s="57"/>
      <c r="T25" s="57"/>
      <c r="U25" s="58" t="s">
        <v>331</v>
      </c>
      <c r="V25" s="57"/>
      <c r="W25" s="57"/>
      <c r="X25" s="57"/>
      <c r="Y25" s="56"/>
    </row>
    <row r="26" spans="1:25">
      <c r="A26" s="52"/>
      <c r="B26" s="53" t="s">
        <v>330</v>
      </c>
      <c r="Y26" s="51"/>
    </row>
    <row r="27" spans="1:25" ht="7.5" customHeight="1">
      <c r="A27" s="52"/>
      <c r="Y27" s="51"/>
    </row>
    <row r="28" spans="1:25">
      <c r="A28" s="52"/>
      <c r="B28" s="53" t="s">
        <v>329</v>
      </c>
      <c r="F28" s="277"/>
      <c r="G28" s="277"/>
      <c r="H28" s="277"/>
      <c r="I28" s="277"/>
      <c r="J28" s="277"/>
      <c r="K28" s="277"/>
      <c r="L28" s="277"/>
      <c r="R28" s="277"/>
      <c r="S28" s="277"/>
      <c r="T28" s="277"/>
      <c r="U28" s="277"/>
      <c r="V28" s="277"/>
      <c r="W28" s="277"/>
      <c r="X28" s="277"/>
      <c r="Y28" s="51"/>
    </row>
    <row r="29" spans="1:25">
      <c r="A29" s="52"/>
      <c r="B29" s="656"/>
      <c r="C29" s="657"/>
      <c r="D29" s="657"/>
      <c r="E29" s="657"/>
      <c r="F29" s="657"/>
      <c r="G29" s="657"/>
      <c r="H29" s="657"/>
      <c r="I29" s="657"/>
      <c r="J29" s="657"/>
      <c r="K29" s="657"/>
      <c r="L29" s="657"/>
      <c r="M29" s="657"/>
      <c r="N29" s="657"/>
      <c r="O29" s="657"/>
      <c r="P29" s="657"/>
      <c r="Q29" s="657"/>
      <c r="R29" s="657"/>
      <c r="S29" s="657"/>
      <c r="T29" s="657"/>
      <c r="U29" s="657"/>
      <c r="V29" s="657"/>
      <c r="W29" s="657"/>
      <c r="X29" s="658"/>
      <c r="Y29" s="51"/>
    </row>
    <row r="30" spans="1:25">
      <c r="A30" s="52"/>
      <c r="B30" s="662"/>
      <c r="C30" s="663"/>
      <c r="D30" s="663"/>
      <c r="E30" s="663"/>
      <c r="F30" s="663"/>
      <c r="G30" s="663"/>
      <c r="H30" s="663"/>
      <c r="I30" s="663"/>
      <c r="J30" s="663"/>
      <c r="K30" s="663"/>
      <c r="L30" s="663"/>
      <c r="M30" s="663"/>
      <c r="N30" s="663"/>
      <c r="O30" s="663"/>
      <c r="P30" s="663"/>
      <c r="Q30" s="663"/>
      <c r="R30" s="663"/>
      <c r="S30" s="663"/>
      <c r="T30" s="663"/>
      <c r="U30" s="663"/>
      <c r="V30" s="663"/>
      <c r="W30" s="663"/>
      <c r="X30" s="664"/>
      <c r="Y30" s="51"/>
    </row>
    <row r="31" spans="1:25">
      <c r="A31" s="52"/>
      <c r="B31" s="662"/>
      <c r="C31" s="663"/>
      <c r="D31" s="663"/>
      <c r="E31" s="663"/>
      <c r="F31" s="663"/>
      <c r="G31" s="663"/>
      <c r="H31" s="663"/>
      <c r="I31" s="663"/>
      <c r="J31" s="663"/>
      <c r="K31" s="663"/>
      <c r="L31" s="663"/>
      <c r="M31" s="663"/>
      <c r="N31" s="663"/>
      <c r="O31" s="663"/>
      <c r="P31" s="663"/>
      <c r="Q31" s="663"/>
      <c r="R31" s="663"/>
      <c r="S31" s="663"/>
      <c r="T31" s="663"/>
      <c r="U31" s="663"/>
      <c r="V31" s="663"/>
      <c r="W31" s="663"/>
      <c r="X31" s="664"/>
      <c r="Y31" s="51"/>
    </row>
    <row r="32" spans="1:25">
      <c r="A32" s="52"/>
      <c r="B32" s="659"/>
      <c r="C32" s="660"/>
      <c r="D32" s="660"/>
      <c r="E32" s="660"/>
      <c r="F32" s="660"/>
      <c r="G32" s="660"/>
      <c r="H32" s="660"/>
      <c r="I32" s="660"/>
      <c r="J32" s="660"/>
      <c r="K32" s="660"/>
      <c r="L32" s="660"/>
      <c r="M32" s="660"/>
      <c r="N32" s="660"/>
      <c r="O32" s="660"/>
      <c r="P32" s="660"/>
      <c r="Q32" s="660"/>
      <c r="R32" s="660"/>
      <c r="S32" s="660"/>
      <c r="T32" s="660"/>
      <c r="U32" s="660"/>
      <c r="V32" s="660"/>
      <c r="W32" s="660"/>
      <c r="X32" s="661"/>
      <c r="Y32" s="51"/>
    </row>
    <row r="33" spans="1:25" ht="7.5" customHeight="1" thickBot="1">
      <c r="A33" s="50"/>
      <c r="B33" s="49"/>
      <c r="C33" s="49"/>
      <c r="D33" s="49"/>
      <c r="E33" s="49"/>
      <c r="F33" s="49"/>
      <c r="G33" s="49"/>
      <c r="H33" s="49"/>
      <c r="I33" s="49"/>
      <c r="J33" s="49"/>
      <c r="K33" s="49"/>
      <c r="L33" s="49"/>
      <c r="M33" s="49"/>
      <c r="N33" s="49"/>
      <c r="O33" s="49"/>
      <c r="P33" s="49"/>
      <c r="Q33" s="49"/>
      <c r="R33" s="49"/>
      <c r="S33" s="49"/>
      <c r="T33" s="49"/>
      <c r="U33" s="49"/>
      <c r="V33" s="49"/>
      <c r="W33" s="49"/>
      <c r="X33" s="49"/>
      <c r="Y33" s="48"/>
    </row>
    <row r="34" spans="1:25" ht="10.8" thickBot="1"/>
    <row r="35" spans="1:25" ht="13.8" thickBot="1">
      <c r="A35" s="59" t="s">
        <v>328</v>
      </c>
      <c r="B35" s="57"/>
      <c r="C35" s="57"/>
      <c r="D35" s="57"/>
      <c r="E35" s="57"/>
      <c r="F35" s="57"/>
      <c r="G35" s="57"/>
      <c r="H35" s="57"/>
      <c r="I35" s="57"/>
      <c r="J35" s="57"/>
      <c r="K35" s="57"/>
      <c r="L35" s="57"/>
      <c r="M35" s="57"/>
      <c r="N35" s="57"/>
      <c r="O35" s="57"/>
      <c r="P35" s="57"/>
      <c r="Q35" s="57"/>
      <c r="R35" s="57"/>
      <c r="S35" s="57"/>
      <c r="T35" s="57"/>
      <c r="U35" s="57"/>
      <c r="V35" s="57"/>
      <c r="W35" s="57"/>
      <c r="X35" s="57"/>
      <c r="Y35" s="56"/>
    </row>
    <row r="36" spans="1:25" ht="11.25" customHeight="1">
      <c r="A36" s="52"/>
      <c r="B36" s="640" t="s">
        <v>341</v>
      </c>
      <c r="C36" s="640"/>
      <c r="D36" s="640"/>
      <c r="E36" s="640"/>
      <c r="F36" s="640"/>
      <c r="G36" s="640"/>
      <c r="H36" s="640"/>
      <c r="I36" s="640"/>
      <c r="J36" s="640"/>
      <c r="K36" s="640"/>
      <c r="L36" s="640"/>
      <c r="M36" s="640"/>
      <c r="N36" s="640"/>
      <c r="O36" s="640"/>
      <c r="P36" s="638" t="s">
        <v>90</v>
      </c>
      <c r="Q36" s="638"/>
      <c r="R36" s="638"/>
      <c r="S36" s="638" t="s">
        <v>89</v>
      </c>
      <c r="T36" s="638"/>
      <c r="U36" s="638"/>
      <c r="V36" s="638" t="s">
        <v>88</v>
      </c>
      <c r="W36" s="638"/>
      <c r="X36" s="638"/>
      <c r="Y36" s="51"/>
    </row>
    <row r="37" spans="1:25">
      <c r="A37" s="52"/>
      <c r="B37" s="669"/>
      <c r="C37" s="669"/>
      <c r="D37" s="669"/>
      <c r="E37" s="669"/>
      <c r="F37" s="669"/>
      <c r="G37" s="669"/>
      <c r="H37" s="669"/>
      <c r="I37" s="669"/>
      <c r="J37" s="669"/>
      <c r="K37" s="669"/>
      <c r="L37" s="669"/>
      <c r="M37" s="669"/>
      <c r="N37" s="669"/>
      <c r="O37" s="669"/>
      <c r="P37" s="642"/>
      <c r="Q37" s="642"/>
      <c r="R37" s="642"/>
      <c r="S37" s="635"/>
      <c r="T37" s="635"/>
      <c r="U37" s="635"/>
      <c r="V37" s="635"/>
      <c r="W37" s="635"/>
      <c r="X37" s="635"/>
      <c r="Y37" s="51"/>
    </row>
    <row r="38" spans="1:25">
      <c r="A38" s="52"/>
      <c r="B38" s="639"/>
      <c r="C38" s="639"/>
      <c r="D38" s="639"/>
      <c r="E38" s="639"/>
      <c r="F38" s="639"/>
      <c r="G38" s="639"/>
      <c r="H38" s="639"/>
      <c r="I38" s="639"/>
      <c r="J38" s="639"/>
      <c r="K38" s="639"/>
      <c r="L38" s="639"/>
      <c r="M38" s="639"/>
      <c r="N38" s="639"/>
      <c r="O38" s="639"/>
      <c r="P38" s="637"/>
      <c r="Q38" s="637"/>
      <c r="R38" s="637"/>
      <c r="S38" s="636"/>
      <c r="T38" s="636"/>
      <c r="U38" s="636"/>
      <c r="V38" s="636"/>
      <c r="W38" s="636"/>
      <c r="X38" s="636"/>
      <c r="Y38" s="51"/>
    </row>
    <row r="39" spans="1:25">
      <c r="A39" s="52"/>
      <c r="B39" s="639"/>
      <c r="C39" s="639"/>
      <c r="D39" s="639"/>
      <c r="E39" s="639"/>
      <c r="F39" s="639"/>
      <c r="G39" s="639"/>
      <c r="H39" s="639"/>
      <c r="I39" s="639"/>
      <c r="J39" s="639"/>
      <c r="K39" s="639"/>
      <c r="L39" s="639"/>
      <c r="M39" s="639"/>
      <c r="N39" s="639"/>
      <c r="O39" s="639"/>
      <c r="P39" s="637"/>
      <c r="Q39" s="637"/>
      <c r="R39" s="637"/>
      <c r="S39" s="636"/>
      <c r="T39" s="636"/>
      <c r="U39" s="636"/>
      <c r="V39" s="636"/>
      <c r="W39" s="636"/>
      <c r="X39" s="636"/>
      <c r="Y39" s="51"/>
    </row>
    <row r="40" spans="1:25">
      <c r="A40" s="52"/>
      <c r="B40" s="639"/>
      <c r="C40" s="639"/>
      <c r="D40" s="639"/>
      <c r="E40" s="639"/>
      <c r="F40" s="639"/>
      <c r="G40" s="639"/>
      <c r="H40" s="639"/>
      <c r="I40" s="639"/>
      <c r="J40" s="639"/>
      <c r="K40" s="639"/>
      <c r="L40" s="639"/>
      <c r="M40" s="639"/>
      <c r="N40" s="639"/>
      <c r="O40" s="639"/>
      <c r="P40" s="637"/>
      <c r="Q40" s="637"/>
      <c r="R40" s="637"/>
      <c r="S40" s="636"/>
      <c r="T40" s="636"/>
      <c r="U40" s="636"/>
      <c r="V40" s="636"/>
      <c r="W40" s="636"/>
      <c r="X40" s="636"/>
      <c r="Y40" s="51"/>
    </row>
    <row r="41" spans="1:25">
      <c r="A41" s="52"/>
      <c r="B41" s="643"/>
      <c r="C41" s="643"/>
      <c r="D41" s="643"/>
      <c r="E41" s="643"/>
      <c r="F41" s="643"/>
      <c r="G41" s="643"/>
      <c r="H41" s="643"/>
      <c r="I41" s="643"/>
      <c r="J41" s="643"/>
      <c r="K41" s="643"/>
      <c r="L41" s="643"/>
      <c r="M41" s="643"/>
      <c r="N41" s="643"/>
      <c r="O41" s="643"/>
      <c r="P41" s="644"/>
      <c r="Q41" s="644"/>
      <c r="R41" s="644"/>
      <c r="S41" s="641"/>
      <c r="T41" s="641"/>
      <c r="U41" s="641"/>
      <c r="V41" s="641"/>
      <c r="W41" s="641"/>
      <c r="X41" s="641"/>
      <c r="Y41" s="51"/>
    </row>
    <row r="42" spans="1:25">
      <c r="A42" s="52"/>
      <c r="B42" s="285"/>
      <c r="C42" s="285"/>
      <c r="D42" s="285"/>
      <c r="E42" s="285"/>
      <c r="F42" s="285"/>
      <c r="G42" s="285"/>
      <c r="H42" s="285"/>
      <c r="I42" s="285"/>
      <c r="J42" s="285"/>
      <c r="K42" s="285"/>
      <c r="L42" s="285"/>
      <c r="M42" s="285"/>
      <c r="N42" s="285"/>
      <c r="O42" s="285"/>
      <c r="P42" s="286"/>
      <c r="Q42" s="286"/>
      <c r="R42" s="286"/>
      <c r="S42" s="287"/>
      <c r="T42" s="287"/>
      <c r="U42" s="287"/>
      <c r="V42" s="287"/>
      <c r="W42" s="287"/>
      <c r="X42" s="287"/>
      <c r="Y42" s="51"/>
    </row>
    <row r="43" spans="1:25">
      <c r="A43" s="52"/>
      <c r="B43" s="640" t="s">
        <v>342</v>
      </c>
      <c r="C43" s="640"/>
      <c r="D43" s="640"/>
      <c r="E43" s="640"/>
      <c r="F43" s="640"/>
      <c r="G43" s="640"/>
      <c r="H43" s="640"/>
      <c r="I43" s="640"/>
      <c r="J43" s="640"/>
      <c r="K43" s="640"/>
      <c r="L43" s="640"/>
      <c r="M43" s="640"/>
      <c r="N43" s="640"/>
      <c r="O43" s="640"/>
      <c r="P43" s="638" t="s">
        <v>90</v>
      </c>
      <c r="Q43" s="638"/>
      <c r="R43" s="638"/>
      <c r="S43" s="638" t="s">
        <v>89</v>
      </c>
      <c r="T43" s="638"/>
      <c r="U43" s="638"/>
      <c r="V43" s="638" t="s">
        <v>88</v>
      </c>
      <c r="W43" s="638"/>
      <c r="X43" s="638"/>
      <c r="Y43" s="51"/>
    </row>
    <row r="44" spans="1:25">
      <c r="A44" s="52"/>
      <c r="B44" s="639"/>
      <c r="C44" s="639"/>
      <c r="D44" s="639"/>
      <c r="E44" s="639"/>
      <c r="F44" s="639"/>
      <c r="G44" s="639"/>
      <c r="H44" s="639"/>
      <c r="I44" s="639"/>
      <c r="J44" s="639"/>
      <c r="K44" s="639"/>
      <c r="L44" s="639"/>
      <c r="M44" s="639"/>
      <c r="N44" s="639"/>
      <c r="O44" s="639"/>
      <c r="P44" s="637"/>
      <c r="Q44" s="637"/>
      <c r="R44" s="637"/>
      <c r="S44" s="636"/>
      <c r="T44" s="636"/>
      <c r="U44" s="636"/>
      <c r="V44" s="636"/>
      <c r="W44" s="636"/>
      <c r="X44" s="636"/>
      <c r="Y44" s="51"/>
    </row>
    <row r="45" spans="1:25">
      <c r="A45" s="52"/>
      <c r="B45" s="639"/>
      <c r="C45" s="639"/>
      <c r="D45" s="639"/>
      <c r="E45" s="639"/>
      <c r="F45" s="639"/>
      <c r="G45" s="639"/>
      <c r="H45" s="639"/>
      <c r="I45" s="639"/>
      <c r="J45" s="639"/>
      <c r="K45" s="639"/>
      <c r="L45" s="639"/>
      <c r="M45" s="639"/>
      <c r="N45" s="639"/>
      <c r="O45" s="639"/>
      <c r="P45" s="637"/>
      <c r="Q45" s="637"/>
      <c r="R45" s="637"/>
      <c r="S45" s="636"/>
      <c r="T45" s="636"/>
      <c r="U45" s="636"/>
      <c r="V45" s="636"/>
      <c r="W45" s="636"/>
      <c r="X45" s="636"/>
      <c r="Y45" s="51"/>
    </row>
    <row r="46" spans="1:25">
      <c r="A46" s="52"/>
      <c r="B46" s="639"/>
      <c r="C46" s="639"/>
      <c r="D46" s="639"/>
      <c r="E46" s="639"/>
      <c r="F46" s="639"/>
      <c r="G46" s="639"/>
      <c r="H46" s="639"/>
      <c r="I46" s="639"/>
      <c r="J46" s="639"/>
      <c r="K46" s="639"/>
      <c r="L46" s="639"/>
      <c r="M46" s="639"/>
      <c r="N46" s="639"/>
      <c r="O46" s="639"/>
      <c r="P46" s="637"/>
      <c r="Q46" s="637"/>
      <c r="R46" s="637"/>
      <c r="S46" s="636"/>
      <c r="T46" s="636"/>
      <c r="U46" s="636"/>
      <c r="V46" s="636"/>
      <c r="W46" s="636"/>
      <c r="X46" s="636"/>
      <c r="Y46" s="51"/>
    </row>
    <row r="47" spans="1:25">
      <c r="A47" s="52"/>
      <c r="B47" s="639"/>
      <c r="C47" s="639"/>
      <c r="D47" s="639"/>
      <c r="E47" s="639"/>
      <c r="F47" s="639"/>
      <c r="G47" s="639"/>
      <c r="H47" s="639"/>
      <c r="I47" s="639"/>
      <c r="J47" s="639"/>
      <c r="K47" s="639"/>
      <c r="L47" s="639"/>
      <c r="M47" s="639"/>
      <c r="N47" s="639"/>
      <c r="O47" s="639"/>
      <c r="P47" s="637"/>
      <c r="Q47" s="637"/>
      <c r="R47" s="637"/>
      <c r="S47" s="636"/>
      <c r="T47" s="636"/>
      <c r="U47" s="636"/>
      <c r="V47" s="636"/>
      <c r="W47" s="636"/>
      <c r="X47" s="636"/>
      <c r="Y47" s="51"/>
    </row>
    <row r="48" spans="1:25">
      <c r="A48" s="52"/>
      <c r="B48" s="643"/>
      <c r="C48" s="643"/>
      <c r="D48" s="643"/>
      <c r="E48" s="643"/>
      <c r="F48" s="643"/>
      <c r="G48" s="643"/>
      <c r="H48" s="643"/>
      <c r="I48" s="643"/>
      <c r="J48" s="643"/>
      <c r="K48" s="643"/>
      <c r="L48" s="643"/>
      <c r="M48" s="643"/>
      <c r="N48" s="643"/>
      <c r="O48" s="643"/>
      <c r="P48" s="644"/>
      <c r="Q48" s="644"/>
      <c r="R48" s="644"/>
      <c r="S48" s="641"/>
      <c r="T48" s="641"/>
      <c r="U48" s="641"/>
      <c r="V48" s="641"/>
      <c r="W48" s="641"/>
      <c r="X48" s="641"/>
      <c r="Y48" s="51"/>
    </row>
    <row r="49" spans="1:25" ht="6" customHeight="1" thickBot="1">
      <c r="A49" s="50"/>
      <c r="B49" s="49"/>
      <c r="C49" s="49"/>
      <c r="D49" s="49"/>
      <c r="E49" s="49"/>
      <c r="F49" s="49"/>
      <c r="G49" s="49"/>
      <c r="H49" s="49"/>
      <c r="I49" s="49"/>
      <c r="J49" s="49"/>
      <c r="K49" s="49"/>
      <c r="L49" s="49"/>
      <c r="M49" s="49"/>
      <c r="N49" s="49"/>
      <c r="O49" s="49"/>
      <c r="P49" s="49"/>
      <c r="Q49" s="49"/>
      <c r="R49" s="49"/>
      <c r="S49" s="49"/>
      <c r="T49" s="49"/>
      <c r="U49" s="49"/>
      <c r="V49" s="49"/>
      <c r="W49" s="49"/>
      <c r="X49" s="49"/>
      <c r="Y49" s="48"/>
    </row>
    <row r="50" spans="1:25" ht="10.8" thickBot="1"/>
    <row r="51" spans="1:25" ht="13.8" thickBot="1">
      <c r="A51" s="59" t="s">
        <v>327</v>
      </c>
      <c r="B51" s="57"/>
      <c r="C51" s="57"/>
      <c r="D51" s="57"/>
      <c r="E51" s="57"/>
      <c r="F51" s="57"/>
      <c r="G51" s="57"/>
      <c r="H51" s="57"/>
      <c r="I51" s="57"/>
      <c r="J51" s="57"/>
      <c r="K51" s="57"/>
      <c r="L51" s="57"/>
      <c r="M51" s="57"/>
      <c r="N51" s="57"/>
      <c r="O51" s="57"/>
      <c r="P51" s="57"/>
      <c r="Q51" s="57"/>
      <c r="R51" s="57"/>
      <c r="S51" s="57"/>
      <c r="T51" s="57"/>
      <c r="U51" s="57"/>
      <c r="V51" s="57"/>
      <c r="W51" s="57"/>
      <c r="X51" s="57"/>
      <c r="Y51" s="56"/>
    </row>
    <row r="52" spans="1:25">
      <c r="A52" s="52"/>
      <c r="B52" s="640" t="s">
        <v>343</v>
      </c>
      <c r="C52" s="640"/>
      <c r="D52" s="640"/>
      <c r="E52" s="640"/>
      <c r="F52" s="640"/>
      <c r="G52" s="640"/>
      <c r="H52" s="640"/>
      <c r="I52" s="640"/>
      <c r="J52" s="640"/>
      <c r="K52" s="640"/>
      <c r="L52" s="640"/>
      <c r="M52" s="640"/>
      <c r="N52" s="640"/>
      <c r="O52" s="640"/>
      <c r="P52" s="638" t="s">
        <v>90</v>
      </c>
      <c r="Q52" s="638"/>
      <c r="R52" s="638"/>
      <c r="S52" s="638" t="s">
        <v>89</v>
      </c>
      <c r="T52" s="638"/>
      <c r="U52" s="638"/>
      <c r="V52" s="638" t="s">
        <v>88</v>
      </c>
      <c r="W52" s="638"/>
      <c r="X52" s="638"/>
      <c r="Y52" s="51"/>
    </row>
    <row r="53" spans="1:25">
      <c r="A53" s="52"/>
      <c r="B53" s="653"/>
      <c r="C53" s="653"/>
      <c r="D53" s="653"/>
      <c r="E53" s="653"/>
      <c r="F53" s="653"/>
      <c r="G53" s="653"/>
      <c r="H53" s="653"/>
      <c r="I53" s="653"/>
      <c r="J53" s="653"/>
      <c r="K53" s="653"/>
      <c r="L53" s="653"/>
      <c r="M53" s="653"/>
      <c r="N53" s="653"/>
      <c r="O53" s="653"/>
      <c r="P53" s="654"/>
      <c r="Q53" s="654"/>
      <c r="R53" s="654"/>
      <c r="S53" s="655"/>
      <c r="T53" s="655"/>
      <c r="U53" s="655"/>
      <c r="V53" s="655"/>
      <c r="W53" s="655"/>
      <c r="X53" s="655"/>
      <c r="Y53" s="51"/>
    </row>
    <row r="54" spans="1:25">
      <c r="A54" s="52"/>
      <c r="B54" s="650"/>
      <c r="C54" s="650"/>
      <c r="D54" s="650"/>
      <c r="E54" s="650"/>
      <c r="F54" s="650"/>
      <c r="G54" s="650"/>
      <c r="H54" s="650"/>
      <c r="I54" s="650"/>
      <c r="J54" s="650"/>
      <c r="K54" s="650"/>
      <c r="L54" s="650"/>
      <c r="M54" s="650"/>
      <c r="N54" s="650"/>
      <c r="O54" s="650"/>
      <c r="P54" s="651"/>
      <c r="Q54" s="651"/>
      <c r="R54" s="651"/>
      <c r="S54" s="652"/>
      <c r="T54" s="652"/>
      <c r="U54" s="652"/>
      <c r="V54" s="652"/>
      <c r="W54" s="652"/>
      <c r="X54" s="652"/>
      <c r="Y54" s="51"/>
    </row>
    <row r="55" spans="1:25">
      <c r="A55" s="52"/>
      <c r="B55" s="650"/>
      <c r="C55" s="650"/>
      <c r="D55" s="650"/>
      <c r="E55" s="650"/>
      <c r="F55" s="650"/>
      <c r="G55" s="650"/>
      <c r="H55" s="650"/>
      <c r="I55" s="650"/>
      <c r="J55" s="650"/>
      <c r="K55" s="650"/>
      <c r="L55" s="650"/>
      <c r="M55" s="650"/>
      <c r="N55" s="650"/>
      <c r="O55" s="650"/>
      <c r="P55" s="651"/>
      <c r="Q55" s="651"/>
      <c r="R55" s="651"/>
      <c r="S55" s="652"/>
      <c r="T55" s="652"/>
      <c r="U55" s="652"/>
      <c r="V55" s="652"/>
      <c r="W55" s="652"/>
      <c r="X55" s="652"/>
      <c r="Y55" s="51"/>
    </row>
    <row r="56" spans="1:25">
      <c r="A56" s="52"/>
      <c r="B56" s="672"/>
      <c r="C56" s="672"/>
      <c r="D56" s="672"/>
      <c r="E56" s="672"/>
      <c r="F56" s="672"/>
      <c r="G56" s="672"/>
      <c r="H56" s="672"/>
      <c r="I56" s="672"/>
      <c r="J56" s="672"/>
      <c r="K56" s="672"/>
      <c r="L56" s="672"/>
      <c r="M56" s="672"/>
      <c r="N56" s="672"/>
      <c r="O56" s="672"/>
      <c r="P56" s="671"/>
      <c r="Q56" s="671"/>
      <c r="R56" s="671"/>
      <c r="S56" s="670"/>
      <c r="T56" s="670"/>
      <c r="U56" s="670"/>
      <c r="V56" s="670"/>
      <c r="W56" s="670"/>
      <c r="X56" s="670"/>
      <c r="Y56" s="51"/>
    </row>
    <row r="57" spans="1:25">
      <c r="A57" s="52"/>
      <c r="B57" s="285"/>
      <c r="C57" s="285"/>
      <c r="D57" s="285"/>
      <c r="E57" s="285"/>
      <c r="F57" s="285"/>
      <c r="G57" s="285"/>
      <c r="H57" s="285"/>
      <c r="I57" s="285"/>
      <c r="J57" s="285"/>
      <c r="K57" s="285"/>
      <c r="L57" s="285"/>
      <c r="M57" s="285"/>
      <c r="N57" s="285"/>
      <c r="O57" s="285"/>
      <c r="P57" s="286"/>
      <c r="Q57" s="286"/>
      <c r="R57" s="286"/>
      <c r="S57" s="287"/>
      <c r="T57" s="287"/>
      <c r="U57" s="287"/>
      <c r="V57" s="287"/>
      <c r="W57" s="287"/>
      <c r="X57" s="287"/>
      <c r="Y57" s="51"/>
    </row>
    <row r="58" spans="1:25">
      <c r="A58" s="52"/>
      <c r="B58" s="640" t="s">
        <v>344</v>
      </c>
      <c r="C58" s="640"/>
      <c r="D58" s="640"/>
      <c r="E58" s="640"/>
      <c r="F58" s="640"/>
      <c r="G58" s="640"/>
      <c r="H58" s="640"/>
      <c r="I58" s="640"/>
      <c r="J58" s="640"/>
      <c r="K58" s="640"/>
      <c r="L58" s="640"/>
      <c r="M58" s="640"/>
      <c r="N58" s="640"/>
      <c r="O58" s="640"/>
      <c r="P58" s="638" t="s">
        <v>90</v>
      </c>
      <c r="Q58" s="638"/>
      <c r="R58" s="638"/>
      <c r="S58" s="638" t="s">
        <v>89</v>
      </c>
      <c r="T58" s="638"/>
      <c r="U58" s="638"/>
      <c r="V58" s="638" t="s">
        <v>88</v>
      </c>
      <c r="W58" s="638"/>
      <c r="X58" s="638"/>
      <c r="Y58" s="51"/>
    </row>
    <row r="59" spans="1:25">
      <c r="A59" s="52"/>
      <c r="B59" s="650"/>
      <c r="C59" s="650"/>
      <c r="D59" s="650"/>
      <c r="E59" s="650"/>
      <c r="F59" s="650"/>
      <c r="G59" s="650"/>
      <c r="H59" s="650"/>
      <c r="I59" s="650"/>
      <c r="J59" s="650"/>
      <c r="K59" s="650"/>
      <c r="L59" s="650"/>
      <c r="M59" s="650"/>
      <c r="N59" s="650"/>
      <c r="O59" s="650"/>
      <c r="P59" s="651"/>
      <c r="Q59" s="651"/>
      <c r="R59" s="651"/>
      <c r="S59" s="652"/>
      <c r="T59" s="652"/>
      <c r="U59" s="652"/>
      <c r="V59" s="652"/>
      <c r="W59" s="652"/>
      <c r="X59" s="652"/>
      <c r="Y59" s="51"/>
    </row>
    <row r="60" spans="1:25">
      <c r="A60" s="52"/>
      <c r="B60" s="650"/>
      <c r="C60" s="650"/>
      <c r="D60" s="650"/>
      <c r="E60" s="650"/>
      <c r="F60" s="650"/>
      <c r="G60" s="650"/>
      <c r="H60" s="650"/>
      <c r="I60" s="650"/>
      <c r="J60" s="650"/>
      <c r="K60" s="650"/>
      <c r="L60" s="650"/>
      <c r="M60" s="650"/>
      <c r="N60" s="650"/>
      <c r="O60" s="650"/>
      <c r="P60" s="651"/>
      <c r="Q60" s="651"/>
      <c r="R60" s="651"/>
      <c r="S60" s="652"/>
      <c r="T60" s="652"/>
      <c r="U60" s="652"/>
      <c r="V60" s="652"/>
      <c r="W60" s="652"/>
      <c r="X60" s="652"/>
      <c r="Y60" s="51"/>
    </row>
    <row r="61" spans="1:25">
      <c r="A61" s="52"/>
      <c r="B61" s="650"/>
      <c r="C61" s="650"/>
      <c r="D61" s="650"/>
      <c r="E61" s="650"/>
      <c r="F61" s="650"/>
      <c r="G61" s="650"/>
      <c r="H61" s="650"/>
      <c r="I61" s="650"/>
      <c r="J61" s="650"/>
      <c r="K61" s="650"/>
      <c r="L61" s="650"/>
      <c r="M61" s="650"/>
      <c r="N61" s="650"/>
      <c r="O61" s="650"/>
      <c r="P61" s="651"/>
      <c r="Q61" s="651"/>
      <c r="R61" s="651"/>
      <c r="S61" s="652"/>
      <c r="T61" s="652"/>
      <c r="U61" s="652"/>
      <c r="V61" s="652"/>
      <c r="W61" s="652"/>
      <c r="X61" s="652"/>
      <c r="Y61" s="51"/>
    </row>
    <row r="62" spans="1:25">
      <c r="A62" s="52"/>
      <c r="B62" s="672"/>
      <c r="C62" s="672"/>
      <c r="D62" s="672"/>
      <c r="E62" s="672"/>
      <c r="F62" s="672"/>
      <c r="G62" s="672"/>
      <c r="H62" s="672"/>
      <c r="I62" s="672"/>
      <c r="J62" s="672"/>
      <c r="K62" s="672"/>
      <c r="L62" s="672"/>
      <c r="M62" s="672"/>
      <c r="N62" s="672"/>
      <c r="O62" s="672"/>
      <c r="P62" s="671"/>
      <c r="Q62" s="671"/>
      <c r="R62" s="671"/>
      <c r="S62" s="670"/>
      <c r="T62" s="670"/>
      <c r="U62" s="670"/>
      <c r="V62" s="670"/>
      <c r="W62" s="670"/>
      <c r="X62" s="670"/>
      <c r="Y62" s="51"/>
    </row>
    <row r="63" spans="1:25" ht="6" customHeight="1" thickBot="1">
      <c r="A63" s="50"/>
      <c r="B63" s="49"/>
      <c r="C63" s="49"/>
      <c r="D63" s="49"/>
      <c r="E63" s="49"/>
      <c r="F63" s="49"/>
      <c r="G63" s="49"/>
      <c r="H63" s="49"/>
      <c r="I63" s="49"/>
      <c r="J63" s="49"/>
      <c r="K63" s="276"/>
      <c r="L63" s="276"/>
      <c r="M63" s="276"/>
      <c r="N63" s="276"/>
      <c r="O63" s="49"/>
      <c r="P63" s="49"/>
      <c r="Q63" s="49"/>
      <c r="R63" s="49"/>
      <c r="S63" s="49"/>
      <c r="T63" s="276"/>
      <c r="U63" s="276"/>
      <c r="V63" s="276"/>
      <c r="W63" s="276"/>
      <c r="X63" s="49"/>
      <c r="Y63" s="48"/>
    </row>
    <row r="64" spans="1:25" ht="10.8" thickBot="1"/>
    <row r="65" spans="1:25" ht="13.8" thickBot="1">
      <c r="A65" s="59" t="s">
        <v>345</v>
      </c>
      <c r="B65" s="301"/>
      <c r="C65" s="301"/>
      <c r="D65" s="301"/>
      <c r="E65" s="301"/>
      <c r="F65" s="301"/>
      <c r="G65" s="301"/>
      <c r="H65" s="301"/>
      <c r="I65" s="301"/>
      <c r="J65" s="57"/>
      <c r="K65" s="57"/>
      <c r="L65" s="57"/>
      <c r="M65" s="57"/>
      <c r="N65" s="57"/>
      <c r="O65" s="57"/>
      <c r="P65" s="57"/>
      <c r="Q65" s="57"/>
      <c r="R65" s="57"/>
      <c r="S65" s="57"/>
      <c r="T65" s="57"/>
      <c r="U65" s="57"/>
      <c r="V65" s="57"/>
      <c r="W65" s="57"/>
      <c r="X65" s="57"/>
      <c r="Y65" s="56"/>
    </row>
    <row r="66" spans="1:25">
      <c r="A66" s="52"/>
      <c r="B66" s="53" t="s">
        <v>326</v>
      </c>
      <c r="M66" s="53" t="s">
        <v>325</v>
      </c>
      <c r="Y66" s="51"/>
    </row>
    <row r="67" spans="1:25">
      <c r="A67" s="52"/>
      <c r="F67" s="638" t="s">
        <v>90</v>
      </c>
      <c r="G67" s="638"/>
      <c r="H67" s="638" t="s">
        <v>89</v>
      </c>
      <c r="I67" s="638"/>
      <c r="J67" s="638" t="s">
        <v>88</v>
      </c>
      <c r="K67" s="638"/>
      <c r="L67" s="53"/>
      <c r="M67" s="656"/>
      <c r="N67" s="657"/>
      <c r="O67" s="657"/>
      <c r="P67" s="657"/>
      <c r="Q67" s="657"/>
      <c r="R67" s="657"/>
      <c r="S67" s="657"/>
      <c r="T67" s="657"/>
      <c r="U67" s="657"/>
      <c r="V67" s="657"/>
      <c r="W67" s="657"/>
      <c r="X67" s="658"/>
      <c r="Y67" s="51"/>
    </row>
    <row r="68" spans="1:25">
      <c r="A68" s="52"/>
      <c r="B68" s="46" t="s">
        <v>324</v>
      </c>
      <c r="F68" s="688"/>
      <c r="G68" s="688"/>
      <c r="H68" s="689"/>
      <c r="I68" s="689"/>
      <c r="J68" s="689"/>
      <c r="K68" s="689"/>
      <c r="M68" s="659"/>
      <c r="N68" s="660"/>
      <c r="O68" s="660"/>
      <c r="P68" s="660"/>
      <c r="Q68" s="660"/>
      <c r="R68" s="660"/>
      <c r="S68" s="660"/>
      <c r="T68" s="660"/>
      <c r="U68" s="660"/>
      <c r="V68" s="660"/>
      <c r="W68" s="660"/>
      <c r="X68" s="661"/>
      <c r="Y68" s="51"/>
    </row>
    <row r="69" spans="1:25" ht="11.25" customHeight="1">
      <c r="A69" s="52"/>
      <c r="B69" s="46" t="s">
        <v>323</v>
      </c>
      <c r="F69" s="311"/>
      <c r="G69" s="311"/>
      <c r="H69" s="673"/>
      <c r="I69" s="673"/>
      <c r="J69" s="673"/>
      <c r="K69" s="673"/>
      <c r="Y69" s="51"/>
    </row>
    <row r="70" spans="1:25">
      <c r="A70" s="52"/>
      <c r="B70" s="46" t="s">
        <v>322</v>
      </c>
      <c r="F70" s="311"/>
      <c r="G70" s="311"/>
      <c r="H70" s="673"/>
      <c r="I70" s="673"/>
      <c r="J70" s="673"/>
      <c r="K70" s="673"/>
      <c r="M70" s="53" t="s">
        <v>321</v>
      </c>
      <c r="S70" s="271"/>
      <c r="T70" s="271"/>
      <c r="U70" s="271"/>
      <c r="V70" s="271"/>
      <c r="W70" s="271"/>
      <c r="X70" s="271"/>
      <c r="Y70" s="51"/>
    </row>
    <row r="71" spans="1:25">
      <c r="A71" s="52"/>
      <c r="B71" s="46" t="s">
        <v>320</v>
      </c>
      <c r="F71" s="311"/>
      <c r="G71" s="311"/>
      <c r="H71" s="673"/>
      <c r="I71" s="673"/>
      <c r="J71" s="673"/>
      <c r="K71" s="673"/>
      <c r="M71" s="275" t="s">
        <v>104</v>
      </c>
      <c r="N71" s="674"/>
      <c r="O71" s="675"/>
      <c r="P71" s="676"/>
      <c r="Q71" s="274"/>
      <c r="R71" s="273" t="s">
        <v>319</v>
      </c>
      <c r="S71" s="677"/>
      <c r="T71" s="678"/>
      <c r="U71" s="678"/>
      <c r="V71" s="678"/>
      <c r="W71" s="678"/>
      <c r="X71" s="679"/>
      <c r="Y71" s="51"/>
    </row>
    <row r="72" spans="1:25">
      <c r="A72" s="52"/>
      <c r="B72" s="46" t="s">
        <v>318</v>
      </c>
      <c r="F72" s="311"/>
      <c r="G72" s="311"/>
      <c r="H72" s="673"/>
      <c r="I72" s="673"/>
      <c r="J72" s="673"/>
      <c r="K72" s="673"/>
      <c r="M72" s="46" t="s">
        <v>317</v>
      </c>
      <c r="V72" s="271"/>
      <c r="W72" s="271"/>
      <c r="X72" s="271"/>
      <c r="Y72" s="51"/>
    </row>
    <row r="73" spans="1:25">
      <c r="A73" s="52"/>
      <c r="B73" s="46" t="s">
        <v>316</v>
      </c>
      <c r="F73" s="311"/>
      <c r="G73" s="311"/>
      <c r="H73" s="673"/>
      <c r="I73" s="673"/>
      <c r="J73" s="673"/>
      <c r="K73" s="673"/>
      <c r="M73" s="656"/>
      <c r="N73" s="657"/>
      <c r="O73" s="657"/>
      <c r="P73" s="657"/>
      <c r="Q73" s="657"/>
      <c r="R73" s="657"/>
      <c r="S73" s="657"/>
      <c r="T73" s="657"/>
      <c r="U73" s="657"/>
      <c r="V73" s="657"/>
      <c r="W73" s="657"/>
      <c r="X73" s="658"/>
      <c r="Y73" s="51"/>
    </row>
    <row r="74" spans="1:25">
      <c r="A74" s="52"/>
      <c r="B74" s="46" t="s">
        <v>315</v>
      </c>
      <c r="F74" s="311"/>
      <c r="G74" s="311"/>
      <c r="H74" s="673"/>
      <c r="I74" s="673"/>
      <c r="J74" s="673"/>
      <c r="K74" s="673"/>
      <c r="M74" s="662"/>
      <c r="N74" s="663"/>
      <c r="O74" s="663"/>
      <c r="P74" s="663"/>
      <c r="Q74" s="663"/>
      <c r="R74" s="663"/>
      <c r="S74" s="663"/>
      <c r="T74" s="663"/>
      <c r="U74" s="663"/>
      <c r="V74" s="663"/>
      <c r="W74" s="663"/>
      <c r="X74" s="664"/>
      <c r="Y74" s="51"/>
    </row>
    <row r="75" spans="1:25">
      <c r="A75" s="52"/>
      <c r="B75" s="272" t="s">
        <v>306</v>
      </c>
      <c r="F75" s="311"/>
      <c r="G75" s="311"/>
      <c r="H75" s="673"/>
      <c r="I75" s="673"/>
      <c r="J75" s="673"/>
      <c r="K75" s="673"/>
      <c r="M75" s="659"/>
      <c r="N75" s="660"/>
      <c r="O75" s="660"/>
      <c r="P75" s="660"/>
      <c r="Q75" s="660"/>
      <c r="R75" s="660"/>
      <c r="S75" s="660"/>
      <c r="T75" s="660"/>
      <c r="U75" s="660"/>
      <c r="V75" s="660"/>
      <c r="W75" s="660"/>
      <c r="X75" s="661"/>
      <c r="Y75" s="51"/>
    </row>
    <row r="76" spans="1:25">
      <c r="A76" s="52"/>
      <c r="B76" s="46" t="s">
        <v>113</v>
      </c>
      <c r="C76" s="680"/>
      <c r="D76" s="680"/>
      <c r="E76" s="681"/>
      <c r="F76" s="311"/>
      <c r="G76" s="311"/>
      <c r="H76" s="673"/>
      <c r="I76" s="673"/>
      <c r="J76" s="673"/>
      <c r="K76" s="673"/>
      <c r="Y76" s="51"/>
    </row>
    <row r="77" spans="1:25">
      <c r="A77" s="52"/>
      <c r="B77" s="46" t="s">
        <v>113</v>
      </c>
      <c r="C77" s="680"/>
      <c r="D77" s="680"/>
      <c r="E77" s="681"/>
      <c r="F77" s="311"/>
      <c r="G77" s="311"/>
      <c r="H77" s="673"/>
      <c r="I77" s="673"/>
      <c r="J77" s="673"/>
      <c r="K77" s="673"/>
      <c r="M77" s="53" t="s">
        <v>314</v>
      </c>
      <c r="S77" s="271"/>
      <c r="T77" s="271"/>
      <c r="U77" s="271"/>
      <c r="V77" s="271"/>
      <c r="W77" s="271"/>
      <c r="X77" s="271"/>
      <c r="Y77" s="51"/>
    </row>
    <row r="78" spans="1:25">
      <c r="A78" s="52"/>
      <c r="B78" s="46" t="s">
        <v>113</v>
      </c>
      <c r="C78" s="680"/>
      <c r="D78" s="680"/>
      <c r="E78" s="681"/>
      <c r="F78" s="333"/>
      <c r="G78" s="333"/>
      <c r="H78" s="682"/>
      <c r="I78" s="682"/>
      <c r="J78" s="682"/>
      <c r="K78" s="682"/>
      <c r="M78" s="46" t="s">
        <v>313</v>
      </c>
      <c r="P78" s="435"/>
      <c r="Q78" s="436"/>
      <c r="R78" s="436"/>
      <c r="S78" s="436"/>
      <c r="T78" s="437"/>
      <c r="V78" s="46" t="s">
        <v>104</v>
      </c>
      <c r="W78" s="683"/>
      <c r="X78" s="684"/>
      <c r="Y78" s="51"/>
    </row>
    <row r="79" spans="1:25" ht="7.5" customHeight="1" thickBot="1">
      <c r="A79" s="50"/>
      <c r="B79" s="49"/>
      <c r="C79" s="49"/>
      <c r="D79" s="49"/>
      <c r="E79" s="49"/>
      <c r="F79" s="49"/>
      <c r="G79" s="49"/>
      <c r="H79" s="49"/>
      <c r="I79" s="49"/>
      <c r="J79" s="49"/>
      <c r="K79" s="49"/>
      <c r="L79" s="49"/>
      <c r="M79" s="49"/>
      <c r="N79" s="49"/>
      <c r="O79" s="49"/>
      <c r="P79" s="49"/>
      <c r="Q79" s="49"/>
      <c r="R79" s="49"/>
      <c r="S79" s="49"/>
      <c r="T79" s="49"/>
      <c r="U79" s="49"/>
      <c r="V79" s="49"/>
      <c r="W79" s="49"/>
      <c r="X79" s="49"/>
      <c r="Y79" s="48"/>
    </row>
    <row r="80" spans="1:25" ht="10.8" thickBot="1"/>
    <row r="81" spans="1:37" ht="13.8" thickBot="1">
      <c r="A81" s="685" t="s">
        <v>312</v>
      </c>
      <c r="B81" s="686"/>
      <c r="C81" s="686"/>
      <c r="D81" s="686"/>
      <c r="E81" s="686"/>
      <c r="F81" s="686"/>
      <c r="G81" s="686"/>
      <c r="H81" s="686"/>
      <c r="I81" s="686"/>
      <c r="J81" s="686"/>
      <c r="K81" s="686"/>
      <c r="L81" s="686"/>
      <c r="M81" s="686"/>
      <c r="N81" s="686"/>
      <c r="O81" s="686"/>
      <c r="P81" s="686"/>
      <c r="Q81" s="686"/>
      <c r="R81" s="686"/>
      <c r="S81" s="686"/>
      <c r="T81" s="686"/>
      <c r="U81" s="686"/>
      <c r="V81" s="686"/>
      <c r="W81" s="686"/>
      <c r="X81" s="686"/>
      <c r="Y81" s="687"/>
    </row>
    <row r="82" spans="1:37" ht="7.5" customHeight="1">
      <c r="A82" s="52"/>
      <c r="Y82" s="51"/>
    </row>
    <row r="83" spans="1:37">
      <c r="A83" s="52"/>
      <c r="B83" s="270" t="s">
        <v>347</v>
      </c>
      <c r="C83" s="46" t="s">
        <v>311</v>
      </c>
      <c r="H83" s="270" t="s">
        <v>347</v>
      </c>
      <c r="I83" s="46" t="s">
        <v>309</v>
      </c>
      <c r="Y83" s="51"/>
      <c r="AA83" s="298"/>
      <c r="AB83" s="297">
        <f>IF(B83="done",3,IF(B83="N/A",3,0))</f>
        <v>3</v>
      </c>
      <c r="AC83" s="297">
        <f>IF(B85="done",3,IF(B85="N/A",3,0))</f>
        <v>3</v>
      </c>
      <c r="AD83" s="297">
        <f>IF(H83="done",3,IF(H83="N/A",3,0))</f>
        <v>3</v>
      </c>
      <c r="AE83" s="297">
        <f>IF(H85&gt;=0.9,2,IF(H85&gt;=0.8,1,0))</f>
        <v>0</v>
      </c>
      <c r="AF83" s="297">
        <f>SUM(AB83:AE83)</f>
        <v>9</v>
      </c>
      <c r="AG83" s="297" t="str">
        <f>IF(AF83=11,"8D approved",IF(AF83=10,"8D approved conditionally","8D rejected!"))</f>
        <v>8D rejected!</v>
      </c>
      <c r="AH83" s="297"/>
      <c r="AI83" s="298"/>
      <c r="AJ83" s="298"/>
      <c r="AK83" s="298"/>
    </row>
    <row r="84" spans="1:37">
      <c r="A84" s="52"/>
      <c r="B84" s="290"/>
      <c r="C84" s="291"/>
      <c r="D84" s="291"/>
      <c r="E84" s="291"/>
      <c r="F84" s="290"/>
      <c r="G84" s="291"/>
      <c r="H84" s="291"/>
      <c r="I84" s="291"/>
      <c r="J84" s="291"/>
      <c r="K84" s="291"/>
      <c r="L84" s="290"/>
      <c r="M84" s="291"/>
      <c r="N84" s="291"/>
      <c r="O84" s="291"/>
      <c r="P84" s="291"/>
      <c r="Q84" s="46" t="s">
        <v>135</v>
      </c>
      <c r="R84" s="647" t="str">
        <f>'Quick Response'!F5</f>
        <v>Alfons Lledó</v>
      </c>
      <c r="S84" s="648"/>
      <c r="T84" s="649"/>
      <c r="V84" s="46" t="s">
        <v>104</v>
      </c>
      <c r="W84" s="645"/>
      <c r="X84" s="646"/>
      <c r="Y84" s="51"/>
      <c r="AA84" s="298"/>
      <c r="AB84" s="298"/>
      <c r="AC84" s="298"/>
      <c r="AD84" s="298"/>
      <c r="AE84" s="298"/>
      <c r="AF84" s="298"/>
      <c r="AG84" s="298"/>
      <c r="AH84" s="298"/>
      <c r="AI84" s="298"/>
      <c r="AJ84" s="298"/>
      <c r="AK84" s="298"/>
    </row>
    <row r="85" spans="1:37">
      <c r="A85" s="52"/>
      <c r="B85" s="270" t="s">
        <v>347</v>
      </c>
      <c r="C85" s="46" t="s">
        <v>310</v>
      </c>
      <c r="G85" s="291"/>
      <c r="H85" s="293">
        <f>'8D Eval Nidec'!Percentage</f>
        <v>0</v>
      </c>
      <c r="I85" s="291" t="s">
        <v>346</v>
      </c>
      <c r="J85" s="291"/>
      <c r="K85" s="291"/>
      <c r="L85" s="290"/>
      <c r="M85" s="291"/>
      <c r="N85" s="291"/>
      <c r="O85" s="291"/>
      <c r="P85" s="291"/>
      <c r="Q85" s="291"/>
      <c r="R85" s="290"/>
      <c r="S85" s="290"/>
      <c r="T85" s="290"/>
      <c r="U85" s="291"/>
      <c r="V85" s="291"/>
      <c r="W85" s="292"/>
      <c r="X85" s="292"/>
      <c r="Y85" s="51"/>
    </row>
    <row r="86" spans="1:37" ht="7.5" customHeight="1" thickBot="1">
      <c r="A86" s="52"/>
      <c r="Y86" s="51"/>
    </row>
    <row r="87" spans="1:37" ht="11.25" customHeight="1">
      <c r="A87" s="294"/>
      <c r="B87" s="295"/>
      <c r="C87" s="295"/>
      <c r="D87" s="295"/>
      <c r="E87" s="295"/>
      <c r="F87" s="295"/>
      <c r="G87" s="295"/>
      <c r="H87" s="295"/>
      <c r="I87" s="295"/>
      <c r="J87" s="295"/>
      <c r="K87" s="295"/>
      <c r="L87" s="295"/>
      <c r="M87" s="295"/>
      <c r="N87" s="295"/>
      <c r="O87" s="295"/>
      <c r="P87" s="295"/>
      <c r="Q87" s="295"/>
      <c r="R87" s="295"/>
      <c r="S87" s="295"/>
      <c r="T87" s="295"/>
      <c r="U87" s="295"/>
      <c r="V87" s="295"/>
      <c r="W87" s="295"/>
      <c r="X87" s="295"/>
      <c r="Y87" s="296"/>
    </row>
    <row r="88" spans="1:37">
      <c r="A88" s="52"/>
      <c r="B88" s="53" t="s">
        <v>308</v>
      </c>
      <c r="L88" s="269" t="s">
        <v>307</v>
      </c>
      <c r="M88" s="647"/>
      <c r="N88" s="648"/>
      <c r="O88" s="649"/>
      <c r="Q88" s="46" t="s">
        <v>135</v>
      </c>
      <c r="R88" s="647"/>
      <c r="S88" s="648"/>
      <c r="T88" s="649"/>
      <c r="V88" s="46" t="s">
        <v>104</v>
      </c>
      <c r="W88" s="645"/>
      <c r="X88" s="646"/>
      <c r="Y88" s="51"/>
    </row>
    <row r="89" spans="1:37" ht="7.5" customHeight="1" thickBot="1">
      <c r="A89" s="50"/>
      <c r="B89" s="49"/>
      <c r="C89" s="49"/>
      <c r="D89" s="49"/>
      <c r="E89" s="49"/>
      <c r="F89" s="49"/>
      <c r="G89" s="49"/>
      <c r="H89" s="49"/>
      <c r="I89" s="49"/>
      <c r="J89" s="49"/>
      <c r="K89" s="49"/>
      <c r="L89" s="49"/>
      <c r="M89" s="49"/>
      <c r="N89" s="49"/>
      <c r="O89" s="49"/>
      <c r="P89" s="49"/>
      <c r="Q89" s="49"/>
      <c r="R89" s="49"/>
      <c r="S89" s="49"/>
      <c r="T89" s="49"/>
      <c r="U89" s="49"/>
      <c r="V89" s="49"/>
      <c r="W89" s="49"/>
      <c r="X89" s="49"/>
      <c r="Y89" s="48"/>
    </row>
  </sheetData>
  <sheetProtection selectLockedCells="1"/>
  <mergeCells count="156">
    <mergeCell ref="P61:R61"/>
    <mergeCell ref="S61:U61"/>
    <mergeCell ref="V61:X61"/>
    <mergeCell ref="B62:O62"/>
    <mergeCell ref="P62:R62"/>
    <mergeCell ref="S62:U62"/>
    <mergeCell ref="V62:X62"/>
    <mergeCell ref="A81:Y81"/>
    <mergeCell ref="J70:K70"/>
    <mergeCell ref="F67:G67"/>
    <mergeCell ref="H67:I67"/>
    <mergeCell ref="J67:K67"/>
    <mergeCell ref="F68:G68"/>
    <mergeCell ref="H68:I68"/>
    <mergeCell ref="J68:K68"/>
    <mergeCell ref="F69:G69"/>
    <mergeCell ref="H69:I69"/>
    <mergeCell ref="J69:K69"/>
    <mergeCell ref="M67:X68"/>
    <mergeCell ref="F77:G77"/>
    <mergeCell ref="H77:I77"/>
    <mergeCell ref="J77:K77"/>
    <mergeCell ref="J72:K72"/>
    <mergeCell ref="J73:K73"/>
    <mergeCell ref="W84:X84"/>
    <mergeCell ref="R84:T84"/>
    <mergeCell ref="N71:P71"/>
    <mergeCell ref="S71:X71"/>
    <mergeCell ref="C77:E77"/>
    <mergeCell ref="C78:E78"/>
    <mergeCell ref="F72:G72"/>
    <mergeCell ref="H72:I72"/>
    <mergeCell ref="F73:G73"/>
    <mergeCell ref="J75:K75"/>
    <mergeCell ref="H73:I73"/>
    <mergeCell ref="J71:K71"/>
    <mergeCell ref="C76:E76"/>
    <mergeCell ref="F78:G78"/>
    <mergeCell ref="H78:I78"/>
    <mergeCell ref="J78:K78"/>
    <mergeCell ref="M73:X75"/>
    <mergeCell ref="P78:T78"/>
    <mergeCell ref="W78:X78"/>
    <mergeCell ref="F76:G76"/>
    <mergeCell ref="F71:G71"/>
    <mergeCell ref="H71:I71"/>
    <mergeCell ref="H76:I76"/>
    <mergeCell ref="J76:K76"/>
    <mergeCell ref="F70:G70"/>
    <mergeCell ref="H70:I70"/>
    <mergeCell ref="F74:G74"/>
    <mergeCell ref="H74:I74"/>
    <mergeCell ref="J74:K74"/>
    <mergeCell ref="F75:G75"/>
    <mergeCell ref="H75:I75"/>
    <mergeCell ref="B54:O54"/>
    <mergeCell ref="B59:O59"/>
    <mergeCell ref="B61:O61"/>
    <mergeCell ref="V54:X54"/>
    <mergeCell ref="S56:U56"/>
    <mergeCell ref="V56:X56"/>
    <mergeCell ref="P56:R56"/>
    <mergeCell ref="B56:O56"/>
    <mergeCell ref="B58:O58"/>
    <mergeCell ref="P58:R58"/>
    <mergeCell ref="S58:U58"/>
    <mergeCell ref="V58:X58"/>
    <mergeCell ref="B36:O36"/>
    <mergeCell ref="P36:R36"/>
    <mergeCell ref="P46:R46"/>
    <mergeCell ref="S46:U46"/>
    <mergeCell ref="B47:O47"/>
    <mergeCell ref="P47:R47"/>
    <mergeCell ref="S47:U47"/>
    <mergeCell ref="V47:X47"/>
    <mergeCell ref="B48:O48"/>
    <mergeCell ref="P48:R48"/>
    <mergeCell ref="S48:U48"/>
    <mergeCell ref="V48:X48"/>
    <mergeCell ref="S41:U41"/>
    <mergeCell ref="B37:O37"/>
    <mergeCell ref="B40:O40"/>
    <mergeCell ref="P40:R40"/>
    <mergeCell ref="S40:U40"/>
    <mergeCell ref="V40:X40"/>
    <mergeCell ref="V39:X39"/>
    <mergeCell ref="S39:U39"/>
    <mergeCell ref="B45:O45"/>
    <mergeCell ref="P45:R45"/>
    <mergeCell ref="S45:U45"/>
    <mergeCell ref="V45:X45"/>
    <mergeCell ref="A1:I3"/>
    <mergeCell ref="R1:Y3"/>
    <mergeCell ref="J1:Q3"/>
    <mergeCell ref="M4:Q4"/>
    <mergeCell ref="B21:X22"/>
    <mergeCell ref="B29:X32"/>
    <mergeCell ref="T9:V9"/>
    <mergeCell ref="V5:Y5"/>
    <mergeCell ref="V4:Y4"/>
    <mergeCell ref="V6:Y6"/>
    <mergeCell ref="B15:X18"/>
    <mergeCell ref="F6:J6"/>
    <mergeCell ref="A8:Y8"/>
    <mergeCell ref="F4:J4"/>
    <mergeCell ref="F5:J5"/>
    <mergeCell ref="M5:Q5"/>
    <mergeCell ref="M6:Q6"/>
    <mergeCell ref="W88:X88"/>
    <mergeCell ref="M88:O88"/>
    <mergeCell ref="R88:T88"/>
    <mergeCell ref="B52:O52"/>
    <mergeCell ref="B55:O55"/>
    <mergeCell ref="P55:R55"/>
    <mergeCell ref="S55:U55"/>
    <mergeCell ref="V55:X55"/>
    <mergeCell ref="P52:R52"/>
    <mergeCell ref="S52:U52"/>
    <mergeCell ref="V52:X52"/>
    <mergeCell ref="P59:R59"/>
    <mergeCell ref="S59:U59"/>
    <mergeCell ref="V59:X59"/>
    <mergeCell ref="B60:O60"/>
    <mergeCell ref="P60:R60"/>
    <mergeCell ref="S60:U60"/>
    <mergeCell ref="V60:X60"/>
    <mergeCell ref="B53:O53"/>
    <mergeCell ref="P53:R53"/>
    <mergeCell ref="S53:U53"/>
    <mergeCell ref="V53:X53"/>
    <mergeCell ref="P54:R54"/>
    <mergeCell ref="S54:U54"/>
    <mergeCell ref="V37:X37"/>
    <mergeCell ref="V46:X46"/>
    <mergeCell ref="V38:X38"/>
    <mergeCell ref="P38:R38"/>
    <mergeCell ref="S36:U36"/>
    <mergeCell ref="V36:X36"/>
    <mergeCell ref="S43:U43"/>
    <mergeCell ref="V43:X43"/>
    <mergeCell ref="B38:O38"/>
    <mergeCell ref="S38:U38"/>
    <mergeCell ref="B44:O44"/>
    <mergeCell ref="P44:R44"/>
    <mergeCell ref="S44:U44"/>
    <mergeCell ref="B43:O43"/>
    <mergeCell ref="P43:R43"/>
    <mergeCell ref="B39:O39"/>
    <mergeCell ref="P39:R39"/>
    <mergeCell ref="V41:X41"/>
    <mergeCell ref="P37:R37"/>
    <mergeCell ref="S37:U37"/>
    <mergeCell ref="V44:X44"/>
    <mergeCell ref="B46:O46"/>
    <mergeCell ref="B41:O41"/>
    <mergeCell ref="P41:R41"/>
  </mergeCells>
  <dataValidations count="2">
    <dataValidation type="list" allowBlank="1" showInputMessage="1" showErrorMessage="1" sqref="IX83:IX85 ST83:ST85 ACP83:ACP85 AML83:AML85 AWH83:AWH85 BGD83:BGD85 BPZ83:BPZ85 BZV83:BZV85 CJR83:CJR85 CTN83:CTN85 DDJ83:DDJ85 DNF83:DNF85 DXB83:DXB85 EGX83:EGX85 EQT83:EQT85 FAP83:FAP85 FKL83:FKL85 FUH83:FUH85 GED83:GED85 GNZ83:GNZ85 GXV83:GXV85 HHR83:HHR85 HRN83:HRN85 IBJ83:IBJ85 ILF83:ILF85 IVB83:IVB85 JEX83:JEX85 JOT83:JOT85 JYP83:JYP85 KIL83:KIL85 KSH83:KSH85 LCD83:LCD85 LLZ83:LLZ85 LVV83:LVV85 MFR83:MFR85 MPN83:MPN85 MZJ83:MZJ85 NJF83:NJF85 NTB83:NTB85 OCX83:OCX85 OMT83:OMT85 OWP83:OWP85 PGL83:PGL85 PQH83:PQH85 QAD83:QAD85 QJZ83:QJZ85 QTV83:QTV85 RDR83:RDR85 RNN83:RNN85 RXJ83:RXJ85 SHF83:SHF85 SRB83:SRB85 TAX83:TAX85 TKT83:TKT85 TUP83:TUP85 UEL83:UEL85 UOH83:UOH85 UYD83:UYD85 VHZ83:VHZ85 VRV83:VRV85 WBR83:WBR85 WLN83:WLN85 WVJ83:WVJ85 B65622 IX65622 ST65622 ACP65622 AML65622 AWH65622 BGD65622 BPZ65622 BZV65622 CJR65622 CTN65622 DDJ65622 DNF65622 DXB65622 EGX65622 EQT65622 FAP65622 FKL65622 FUH65622 GED65622 GNZ65622 GXV65622 HHR65622 HRN65622 IBJ65622 ILF65622 IVB65622 JEX65622 JOT65622 JYP65622 KIL65622 KSH65622 LCD65622 LLZ65622 LVV65622 MFR65622 MPN65622 MZJ65622 NJF65622 NTB65622 OCX65622 OMT65622 OWP65622 PGL65622 PQH65622 QAD65622 QJZ65622 QTV65622 RDR65622 RNN65622 RXJ65622 SHF65622 SRB65622 TAX65622 TKT65622 TUP65622 UEL65622 UOH65622 UYD65622 VHZ65622 VRV65622 WBR65622 WLN65622 WVJ65622 B131158 IX131158 ST131158 ACP131158 AML131158 AWH131158 BGD131158 BPZ131158 BZV131158 CJR131158 CTN131158 DDJ131158 DNF131158 DXB131158 EGX131158 EQT131158 FAP131158 FKL131158 FUH131158 GED131158 GNZ131158 GXV131158 HHR131158 HRN131158 IBJ131158 ILF131158 IVB131158 JEX131158 JOT131158 JYP131158 KIL131158 KSH131158 LCD131158 LLZ131158 LVV131158 MFR131158 MPN131158 MZJ131158 NJF131158 NTB131158 OCX131158 OMT131158 OWP131158 PGL131158 PQH131158 QAD131158 QJZ131158 QTV131158 RDR131158 RNN131158 RXJ131158 SHF131158 SRB131158 TAX131158 TKT131158 TUP131158 UEL131158 UOH131158 UYD131158 VHZ131158 VRV131158 WBR131158 WLN131158 WVJ131158 B196694 IX196694 ST196694 ACP196694 AML196694 AWH196694 BGD196694 BPZ196694 BZV196694 CJR196694 CTN196694 DDJ196694 DNF196694 DXB196694 EGX196694 EQT196694 FAP196694 FKL196694 FUH196694 GED196694 GNZ196694 GXV196694 HHR196694 HRN196694 IBJ196694 ILF196694 IVB196694 JEX196694 JOT196694 JYP196694 KIL196694 KSH196694 LCD196694 LLZ196694 LVV196694 MFR196694 MPN196694 MZJ196694 NJF196694 NTB196694 OCX196694 OMT196694 OWP196694 PGL196694 PQH196694 QAD196694 QJZ196694 QTV196694 RDR196694 RNN196694 RXJ196694 SHF196694 SRB196694 TAX196694 TKT196694 TUP196694 UEL196694 UOH196694 UYD196694 VHZ196694 VRV196694 WBR196694 WLN196694 WVJ196694 B262230 IX262230 ST262230 ACP262230 AML262230 AWH262230 BGD262230 BPZ262230 BZV262230 CJR262230 CTN262230 DDJ262230 DNF262230 DXB262230 EGX262230 EQT262230 FAP262230 FKL262230 FUH262230 GED262230 GNZ262230 GXV262230 HHR262230 HRN262230 IBJ262230 ILF262230 IVB262230 JEX262230 JOT262230 JYP262230 KIL262230 KSH262230 LCD262230 LLZ262230 LVV262230 MFR262230 MPN262230 MZJ262230 NJF262230 NTB262230 OCX262230 OMT262230 OWP262230 PGL262230 PQH262230 QAD262230 QJZ262230 QTV262230 RDR262230 RNN262230 RXJ262230 SHF262230 SRB262230 TAX262230 TKT262230 TUP262230 UEL262230 UOH262230 UYD262230 VHZ262230 VRV262230 WBR262230 WLN262230 WVJ262230 B327766 IX327766 ST327766 ACP327766 AML327766 AWH327766 BGD327766 BPZ327766 BZV327766 CJR327766 CTN327766 DDJ327766 DNF327766 DXB327766 EGX327766 EQT327766 FAP327766 FKL327766 FUH327766 GED327766 GNZ327766 GXV327766 HHR327766 HRN327766 IBJ327766 ILF327766 IVB327766 JEX327766 JOT327766 JYP327766 KIL327766 KSH327766 LCD327766 LLZ327766 LVV327766 MFR327766 MPN327766 MZJ327766 NJF327766 NTB327766 OCX327766 OMT327766 OWP327766 PGL327766 PQH327766 QAD327766 QJZ327766 QTV327766 RDR327766 RNN327766 RXJ327766 SHF327766 SRB327766 TAX327766 TKT327766 TUP327766 UEL327766 UOH327766 UYD327766 VHZ327766 VRV327766 WBR327766 WLN327766 WVJ327766 B393302 IX393302 ST393302 ACP393302 AML393302 AWH393302 BGD393302 BPZ393302 BZV393302 CJR393302 CTN393302 DDJ393302 DNF393302 DXB393302 EGX393302 EQT393302 FAP393302 FKL393302 FUH393302 GED393302 GNZ393302 GXV393302 HHR393302 HRN393302 IBJ393302 ILF393302 IVB393302 JEX393302 JOT393302 JYP393302 KIL393302 KSH393302 LCD393302 LLZ393302 LVV393302 MFR393302 MPN393302 MZJ393302 NJF393302 NTB393302 OCX393302 OMT393302 OWP393302 PGL393302 PQH393302 QAD393302 QJZ393302 QTV393302 RDR393302 RNN393302 RXJ393302 SHF393302 SRB393302 TAX393302 TKT393302 TUP393302 UEL393302 UOH393302 UYD393302 VHZ393302 VRV393302 WBR393302 WLN393302 WVJ393302 B458838 IX458838 ST458838 ACP458838 AML458838 AWH458838 BGD458838 BPZ458838 BZV458838 CJR458838 CTN458838 DDJ458838 DNF458838 DXB458838 EGX458838 EQT458838 FAP458838 FKL458838 FUH458838 GED458838 GNZ458838 GXV458838 HHR458838 HRN458838 IBJ458838 ILF458838 IVB458838 JEX458838 JOT458838 JYP458838 KIL458838 KSH458838 LCD458838 LLZ458838 LVV458838 MFR458838 MPN458838 MZJ458838 NJF458838 NTB458838 OCX458838 OMT458838 OWP458838 PGL458838 PQH458838 QAD458838 QJZ458838 QTV458838 RDR458838 RNN458838 RXJ458838 SHF458838 SRB458838 TAX458838 TKT458838 TUP458838 UEL458838 UOH458838 UYD458838 VHZ458838 VRV458838 WBR458838 WLN458838 WVJ458838 B524374 IX524374 ST524374 ACP524374 AML524374 AWH524374 BGD524374 BPZ524374 BZV524374 CJR524374 CTN524374 DDJ524374 DNF524374 DXB524374 EGX524374 EQT524374 FAP524374 FKL524374 FUH524374 GED524374 GNZ524374 GXV524374 HHR524374 HRN524374 IBJ524374 ILF524374 IVB524374 JEX524374 JOT524374 JYP524374 KIL524374 KSH524374 LCD524374 LLZ524374 LVV524374 MFR524374 MPN524374 MZJ524374 NJF524374 NTB524374 OCX524374 OMT524374 OWP524374 PGL524374 PQH524374 QAD524374 QJZ524374 QTV524374 RDR524374 RNN524374 RXJ524374 SHF524374 SRB524374 TAX524374 TKT524374 TUP524374 UEL524374 UOH524374 UYD524374 VHZ524374 VRV524374 WBR524374 WLN524374 WVJ524374 B589910 IX589910 ST589910 ACP589910 AML589910 AWH589910 BGD589910 BPZ589910 BZV589910 CJR589910 CTN589910 DDJ589910 DNF589910 DXB589910 EGX589910 EQT589910 FAP589910 FKL589910 FUH589910 GED589910 GNZ589910 GXV589910 HHR589910 HRN589910 IBJ589910 ILF589910 IVB589910 JEX589910 JOT589910 JYP589910 KIL589910 KSH589910 LCD589910 LLZ589910 LVV589910 MFR589910 MPN589910 MZJ589910 NJF589910 NTB589910 OCX589910 OMT589910 OWP589910 PGL589910 PQH589910 QAD589910 QJZ589910 QTV589910 RDR589910 RNN589910 RXJ589910 SHF589910 SRB589910 TAX589910 TKT589910 TUP589910 UEL589910 UOH589910 UYD589910 VHZ589910 VRV589910 WBR589910 WLN589910 WVJ589910 B655446 IX655446 ST655446 ACP655446 AML655446 AWH655446 BGD655446 BPZ655446 BZV655446 CJR655446 CTN655446 DDJ655446 DNF655446 DXB655446 EGX655446 EQT655446 FAP655446 FKL655446 FUH655446 GED655446 GNZ655446 GXV655446 HHR655446 HRN655446 IBJ655446 ILF655446 IVB655446 JEX655446 JOT655446 JYP655446 KIL655446 KSH655446 LCD655446 LLZ655446 LVV655446 MFR655446 MPN655446 MZJ655446 NJF655446 NTB655446 OCX655446 OMT655446 OWP655446 PGL655446 PQH655446 QAD655446 QJZ655446 QTV655446 RDR655446 RNN655446 RXJ655446 SHF655446 SRB655446 TAX655446 TKT655446 TUP655446 UEL655446 UOH655446 UYD655446 VHZ655446 VRV655446 WBR655446 WLN655446 WVJ655446 B720982 IX720982 ST720982 ACP720982 AML720982 AWH720982 BGD720982 BPZ720982 BZV720982 CJR720982 CTN720982 DDJ720982 DNF720982 DXB720982 EGX720982 EQT720982 FAP720982 FKL720982 FUH720982 GED720982 GNZ720982 GXV720982 HHR720982 HRN720982 IBJ720982 ILF720982 IVB720982 JEX720982 JOT720982 JYP720982 KIL720982 KSH720982 LCD720982 LLZ720982 LVV720982 MFR720982 MPN720982 MZJ720982 NJF720982 NTB720982 OCX720982 OMT720982 OWP720982 PGL720982 PQH720982 QAD720982 QJZ720982 QTV720982 RDR720982 RNN720982 RXJ720982 SHF720982 SRB720982 TAX720982 TKT720982 TUP720982 UEL720982 UOH720982 UYD720982 VHZ720982 VRV720982 WBR720982 WLN720982 WVJ720982 B786518 IX786518 ST786518 ACP786518 AML786518 AWH786518 BGD786518 BPZ786518 BZV786518 CJR786518 CTN786518 DDJ786518 DNF786518 DXB786518 EGX786518 EQT786518 FAP786518 FKL786518 FUH786518 GED786518 GNZ786518 GXV786518 HHR786518 HRN786518 IBJ786518 ILF786518 IVB786518 JEX786518 JOT786518 JYP786518 KIL786518 KSH786518 LCD786518 LLZ786518 LVV786518 MFR786518 MPN786518 MZJ786518 NJF786518 NTB786518 OCX786518 OMT786518 OWP786518 PGL786518 PQH786518 QAD786518 QJZ786518 QTV786518 RDR786518 RNN786518 RXJ786518 SHF786518 SRB786518 TAX786518 TKT786518 TUP786518 UEL786518 UOH786518 UYD786518 VHZ786518 VRV786518 WBR786518 WLN786518 WVJ786518 B852054 IX852054 ST852054 ACP852054 AML852054 AWH852054 BGD852054 BPZ852054 BZV852054 CJR852054 CTN852054 DDJ852054 DNF852054 DXB852054 EGX852054 EQT852054 FAP852054 FKL852054 FUH852054 GED852054 GNZ852054 GXV852054 HHR852054 HRN852054 IBJ852054 ILF852054 IVB852054 JEX852054 JOT852054 JYP852054 KIL852054 KSH852054 LCD852054 LLZ852054 LVV852054 MFR852054 MPN852054 MZJ852054 NJF852054 NTB852054 OCX852054 OMT852054 OWP852054 PGL852054 PQH852054 QAD852054 QJZ852054 QTV852054 RDR852054 RNN852054 RXJ852054 SHF852054 SRB852054 TAX852054 TKT852054 TUP852054 UEL852054 UOH852054 UYD852054 VHZ852054 VRV852054 WBR852054 WLN852054 WVJ852054 B917590 IX917590 ST917590 ACP917590 AML917590 AWH917590 BGD917590 BPZ917590 BZV917590 CJR917590 CTN917590 DDJ917590 DNF917590 DXB917590 EGX917590 EQT917590 FAP917590 FKL917590 FUH917590 GED917590 GNZ917590 GXV917590 HHR917590 HRN917590 IBJ917590 ILF917590 IVB917590 JEX917590 JOT917590 JYP917590 KIL917590 KSH917590 LCD917590 LLZ917590 LVV917590 MFR917590 MPN917590 MZJ917590 NJF917590 NTB917590 OCX917590 OMT917590 OWP917590 PGL917590 PQH917590 QAD917590 QJZ917590 QTV917590 RDR917590 RNN917590 RXJ917590 SHF917590 SRB917590 TAX917590 TKT917590 TUP917590 UEL917590 UOH917590 UYD917590 VHZ917590 VRV917590 WBR917590 WLN917590 WVJ917590 B983126 IX983126 ST983126 ACP983126 AML983126 AWH983126 BGD983126 BPZ983126 BZV983126 CJR983126 CTN983126 DDJ983126 DNF983126 DXB983126 EGX983126 EQT983126 FAP983126 FKL983126 FUH983126 GED983126 GNZ983126 GXV983126 HHR983126 HRN983126 IBJ983126 ILF983126 IVB983126 JEX983126 JOT983126 JYP983126 KIL983126 KSH983126 LCD983126 LLZ983126 LVV983126 MFR983126 MPN983126 MZJ983126 NJF983126 NTB983126 OCX983126 OMT983126 OWP983126 PGL983126 PQH983126 QAD983126 QJZ983126 QTV983126 RDR983126 RNN983126 RXJ983126 SHF983126 SRB983126 TAX983126 TKT983126 TUP983126 UEL983126 UOH983126 UYD983126 VHZ983126 VRV983126 WBR983126 WLN983126 WVJ983126 WVT983126 JB83:JB85 SX83:SX85 ACT83:ACT85 AMP83:AMP85 AWL83:AWL85 BGH83:BGH85 BQD83:BQD85 BZZ83:BZZ85 CJV83:CJV85 CTR83:CTR85 DDN83:DDN85 DNJ83:DNJ85 DXF83:DXF85 EHB83:EHB85 EQX83:EQX85 FAT83:FAT85 FKP83:FKP85 FUL83:FUL85 GEH83:GEH85 GOD83:GOD85 GXZ83:GXZ85 HHV83:HHV85 HRR83:HRR85 IBN83:IBN85 ILJ83:ILJ85 IVF83:IVF85 JFB83:JFB85 JOX83:JOX85 JYT83:JYT85 KIP83:KIP85 KSL83:KSL85 LCH83:LCH85 LMD83:LMD85 LVZ83:LVZ85 MFV83:MFV85 MPR83:MPR85 MZN83:MZN85 NJJ83:NJJ85 NTF83:NTF85 ODB83:ODB85 OMX83:OMX85 OWT83:OWT85 PGP83:PGP85 PQL83:PQL85 QAH83:QAH85 QKD83:QKD85 QTZ83:QTZ85 RDV83:RDV85 RNR83:RNR85 RXN83:RXN85 SHJ83:SHJ85 SRF83:SRF85 TBB83:TBB85 TKX83:TKX85 TUT83:TUT85 UEP83:UEP85 UOL83:UOL85 UYH83:UYH85 VID83:VID85 VRZ83:VRZ85 WBV83:WBV85 WLR83:WLR85 WVN83:WVN85 F65622 JB65622 SX65622 ACT65622 AMP65622 AWL65622 BGH65622 BQD65622 BZZ65622 CJV65622 CTR65622 DDN65622 DNJ65622 DXF65622 EHB65622 EQX65622 FAT65622 FKP65622 FUL65622 GEH65622 GOD65622 GXZ65622 HHV65622 HRR65622 IBN65622 ILJ65622 IVF65622 JFB65622 JOX65622 JYT65622 KIP65622 KSL65622 LCH65622 LMD65622 LVZ65622 MFV65622 MPR65622 MZN65622 NJJ65622 NTF65622 ODB65622 OMX65622 OWT65622 PGP65622 PQL65622 QAH65622 QKD65622 QTZ65622 RDV65622 RNR65622 RXN65622 SHJ65622 SRF65622 TBB65622 TKX65622 TUT65622 UEP65622 UOL65622 UYH65622 VID65622 VRZ65622 WBV65622 WLR65622 WVN65622 F131158 JB131158 SX131158 ACT131158 AMP131158 AWL131158 BGH131158 BQD131158 BZZ131158 CJV131158 CTR131158 DDN131158 DNJ131158 DXF131158 EHB131158 EQX131158 FAT131158 FKP131158 FUL131158 GEH131158 GOD131158 GXZ131158 HHV131158 HRR131158 IBN131158 ILJ131158 IVF131158 JFB131158 JOX131158 JYT131158 KIP131158 KSL131158 LCH131158 LMD131158 LVZ131158 MFV131158 MPR131158 MZN131158 NJJ131158 NTF131158 ODB131158 OMX131158 OWT131158 PGP131158 PQL131158 QAH131158 QKD131158 QTZ131158 RDV131158 RNR131158 RXN131158 SHJ131158 SRF131158 TBB131158 TKX131158 TUT131158 UEP131158 UOL131158 UYH131158 VID131158 VRZ131158 WBV131158 WLR131158 WVN131158 F196694 JB196694 SX196694 ACT196694 AMP196694 AWL196694 BGH196694 BQD196694 BZZ196694 CJV196694 CTR196694 DDN196694 DNJ196694 DXF196694 EHB196694 EQX196694 FAT196694 FKP196694 FUL196694 GEH196694 GOD196694 GXZ196694 HHV196694 HRR196694 IBN196694 ILJ196694 IVF196694 JFB196694 JOX196694 JYT196694 KIP196694 KSL196694 LCH196694 LMD196694 LVZ196694 MFV196694 MPR196694 MZN196694 NJJ196694 NTF196694 ODB196694 OMX196694 OWT196694 PGP196694 PQL196694 QAH196694 QKD196694 QTZ196694 RDV196694 RNR196694 RXN196694 SHJ196694 SRF196694 TBB196694 TKX196694 TUT196694 UEP196694 UOL196694 UYH196694 VID196694 VRZ196694 WBV196694 WLR196694 WVN196694 F262230 JB262230 SX262230 ACT262230 AMP262230 AWL262230 BGH262230 BQD262230 BZZ262230 CJV262230 CTR262230 DDN262230 DNJ262230 DXF262230 EHB262230 EQX262230 FAT262230 FKP262230 FUL262230 GEH262230 GOD262230 GXZ262230 HHV262230 HRR262230 IBN262230 ILJ262230 IVF262230 JFB262230 JOX262230 JYT262230 KIP262230 KSL262230 LCH262230 LMD262230 LVZ262230 MFV262230 MPR262230 MZN262230 NJJ262230 NTF262230 ODB262230 OMX262230 OWT262230 PGP262230 PQL262230 QAH262230 QKD262230 QTZ262230 RDV262230 RNR262230 RXN262230 SHJ262230 SRF262230 TBB262230 TKX262230 TUT262230 UEP262230 UOL262230 UYH262230 VID262230 VRZ262230 WBV262230 WLR262230 WVN262230 F327766 JB327766 SX327766 ACT327766 AMP327766 AWL327766 BGH327766 BQD327766 BZZ327766 CJV327766 CTR327766 DDN327766 DNJ327766 DXF327766 EHB327766 EQX327766 FAT327766 FKP327766 FUL327766 GEH327766 GOD327766 GXZ327766 HHV327766 HRR327766 IBN327766 ILJ327766 IVF327766 JFB327766 JOX327766 JYT327766 KIP327766 KSL327766 LCH327766 LMD327766 LVZ327766 MFV327766 MPR327766 MZN327766 NJJ327766 NTF327766 ODB327766 OMX327766 OWT327766 PGP327766 PQL327766 QAH327766 QKD327766 QTZ327766 RDV327766 RNR327766 RXN327766 SHJ327766 SRF327766 TBB327766 TKX327766 TUT327766 UEP327766 UOL327766 UYH327766 VID327766 VRZ327766 WBV327766 WLR327766 WVN327766 F393302 JB393302 SX393302 ACT393302 AMP393302 AWL393302 BGH393302 BQD393302 BZZ393302 CJV393302 CTR393302 DDN393302 DNJ393302 DXF393302 EHB393302 EQX393302 FAT393302 FKP393302 FUL393302 GEH393302 GOD393302 GXZ393302 HHV393302 HRR393302 IBN393302 ILJ393302 IVF393302 JFB393302 JOX393302 JYT393302 KIP393302 KSL393302 LCH393302 LMD393302 LVZ393302 MFV393302 MPR393302 MZN393302 NJJ393302 NTF393302 ODB393302 OMX393302 OWT393302 PGP393302 PQL393302 QAH393302 QKD393302 QTZ393302 RDV393302 RNR393302 RXN393302 SHJ393302 SRF393302 TBB393302 TKX393302 TUT393302 UEP393302 UOL393302 UYH393302 VID393302 VRZ393302 WBV393302 WLR393302 WVN393302 F458838 JB458838 SX458838 ACT458838 AMP458838 AWL458838 BGH458838 BQD458838 BZZ458838 CJV458838 CTR458838 DDN458838 DNJ458838 DXF458838 EHB458838 EQX458838 FAT458838 FKP458838 FUL458838 GEH458838 GOD458838 GXZ458838 HHV458838 HRR458838 IBN458838 ILJ458838 IVF458838 JFB458838 JOX458838 JYT458838 KIP458838 KSL458838 LCH458838 LMD458838 LVZ458838 MFV458838 MPR458838 MZN458838 NJJ458838 NTF458838 ODB458838 OMX458838 OWT458838 PGP458838 PQL458838 QAH458838 QKD458838 QTZ458838 RDV458838 RNR458838 RXN458838 SHJ458838 SRF458838 TBB458838 TKX458838 TUT458838 UEP458838 UOL458838 UYH458838 VID458838 VRZ458838 WBV458838 WLR458838 WVN458838 F524374 JB524374 SX524374 ACT524374 AMP524374 AWL524374 BGH524374 BQD524374 BZZ524374 CJV524374 CTR524374 DDN524374 DNJ524374 DXF524374 EHB524374 EQX524374 FAT524374 FKP524374 FUL524374 GEH524374 GOD524374 GXZ524374 HHV524374 HRR524374 IBN524374 ILJ524374 IVF524374 JFB524374 JOX524374 JYT524374 KIP524374 KSL524374 LCH524374 LMD524374 LVZ524374 MFV524374 MPR524374 MZN524374 NJJ524374 NTF524374 ODB524374 OMX524374 OWT524374 PGP524374 PQL524374 QAH524374 QKD524374 QTZ524374 RDV524374 RNR524374 RXN524374 SHJ524374 SRF524374 TBB524374 TKX524374 TUT524374 UEP524374 UOL524374 UYH524374 VID524374 VRZ524374 WBV524374 WLR524374 WVN524374 F589910 JB589910 SX589910 ACT589910 AMP589910 AWL589910 BGH589910 BQD589910 BZZ589910 CJV589910 CTR589910 DDN589910 DNJ589910 DXF589910 EHB589910 EQX589910 FAT589910 FKP589910 FUL589910 GEH589910 GOD589910 GXZ589910 HHV589910 HRR589910 IBN589910 ILJ589910 IVF589910 JFB589910 JOX589910 JYT589910 KIP589910 KSL589910 LCH589910 LMD589910 LVZ589910 MFV589910 MPR589910 MZN589910 NJJ589910 NTF589910 ODB589910 OMX589910 OWT589910 PGP589910 PQL589910 QAH589910 QKD589910 QTZ589910 RDV589910 RNR589910 RXN589910 SHJ589910 SRF589910 TBB589910 TKX589910 TUT589910 UEP589910 UOL589910 UYH589910 VID589910 VRZ589910 WBV589910 WLR589910 WVN589910 F655446 JB655446 SX655446 ACT655446 AMP655446 AWL655446 BGH655446 BQD655446 BZZ655446 CJV655446 CTR655446 DDN655446 DNJ655446 DXF655446 EHB655446 EQX655446 FAT655446 FKP655446 FUL655446 GEH655446 GOD655446 GXZ655446 HHV655446 HRR655446 IBN655446 ILJ655446 IVF655446 JFB655446 JOX655446 JYT655446 KIP655446 KSL655446 LCH655446 LMD655446 LVZ655446 MFV655446 MPR655446 MZN655446 NJJ655446 NTF655446 ODB655446 OMX655446 OWT655446 PGP655446 PQL655446 QAH655446 QKD655446 QTZ655446 RDV655446 RNR655446 RXN655446 SHJ655446 SRF655446 TBB655446 TKX655446 TUT655446 UEP655446 UOL655446 UYH655446 VID655446 VRZ655446 WBV655446 WLR655446 WVN655446 F720982 JB720982 SX720982 ACT720982 AMP720982 AWL720982 BGH720982 BQD720982 BZZ720982 CJV720982 CTR720982 DDN720982 DNJ720982 DXF720982 EHB720982 EQX720982 FAT720982 FKP720982 FUL720982 GEH720982 GOD720982 GXZ720982 HHV720982 HRR720982 IBN720982 ILJ720982 IVF720982 JFB720982 JOX720982 JYT720982 KIP720982 KSL720982 LCH720982 LMD720982 LVZ720982 MFV720982 MPR720982 MZN720982 NJJ720982 NTF720982 ODB720982 OMX720982 OWT720982 PGP720982 PQL720982 QAH720982 QKD720982 QTZ720982 RDV720982 RNR720982 RXN720982 SHJ720982 SRF720982 TBB720982 TKX720982 TUT720982 UEP720982 UOL720982 UYH720982 VID720982 VRZ720982 WBV720982 WLR720982 WVN720982 F786518 JB786518 SX786518 ACT786518 AMP786518 AWL786518 BGH786518 BQD786518 BZZ786518 CJV786518 CTR786518 DDN786518 DNJ786518 DXF786518 EHB786518 EQX786518 FAT786518 FKP786518 FUL786518 GEH786518 GOD786518 GXZ786518 HHV786518 HRR786518 IBN786518 ILJ786518 IVF786518 JFB786518 JOX786518 JYT786518 KIP786518 KSL786518 LCH786518 LMD786518 LVZ786518 MFV786518 MPR786518 MZN786518 NJJ786518 NTF786518 ODB786518 OMX786518 OWT786518 PGP786518 PQL786518 QAH786518 QKD786518 QTZ786518 RDV786518 RNR786518 RXN786518 SHJ786518 SRF786518 TBB786518 TKX786518 TUT786518 UEP786518 UOL786518 UYH786518 VID786518 VRZ786518 WBV786518 WLR786518 WVN786518 F852054 JB852054 SX852054 ACT852054 AMP852054 AWL852054 BGH852054 BQD852054 BZZ852054 CJV852054 CTR852054 DDN852054 DNJ852054 DXF852054 EHB852054 EQX852054 FAT852054 FKP852054 FUL852054 GEH852054 GOD852054 GXZ852054 HHV852054 HRR852054 IBN852054 ILJ852054 IVF852054 JFB852054 JOX852054 JYT852054 KIP852054 KSL852054 LCH852054 LMD852054 LVZ852054 MFV852054 MPR852054 MZN852054 NJJ852054 NTF852054 ODB852054 OMX852054 OWT852054 PGP852054 PQL852054 QAH852054 QKD852054 QTZ852054 RDV852054 RNR852054 RXN852054 SHJ852054 SRF852054 TBB852054 TKX852054 TUT852054 UEP852054 UOL852054 UYH852054 VID852054 VRZ852054 WBV852054 WLR852054 WVN852054 F917590 JB917590 SX917590 ACT917590 AMP917590 AWL917590 BGH917590 BQD917590 BZZ917590 CJV917590 CTR917590 DDN917590 DNJ917590 DXF917590 EHB917590 EQX917590 FAT917590 FKP917590 FUL917590 GEH917590 GOD917590 GXZ917590 HHV917590 HRR917590 IBN917590 ILJ917590 IVF917590 JFB917590 JOX917590 JYT917590 KIP917590 KSL917590 LCH917590 LMD917590 LVZ917590 MFV917590 MPR917590 MZN917590 NJJ917590 NTF917590 ODB917590 OMX917590 OWT917590 PGP917590 PQL917590 QAH917590 QKD917590 QTZ917590 RDV917590 RNR917590 RXN917590 SHJ917590 SRF917590 TBB917590 TKX917590 TUT917590 UEP917590 UOL917590 UYH917590 VID917590 VRZ917590 WBV917590 WLR917590 WVN917590 F983126 JB983126 SX983126 ACT983126 AMP983126 AWL983126 BGH983126 BQD983126 BZZ983126 CJV983126 CTR983126 DDN983126 DNJ983126 DXF983126 EHB983126 EQX983126 FAT983126 FKP983126 FUL983126 GEH983126 GOD983126 GXZ983126 HHV983126 HRR983126 IBN983126 ILJ983126 IVF983126 JFB983126 JOX983126 JYT983126 KIP983126 KSL983126 LCH983126 LMD983126 LVZ983126 MFV983126 MPR983126 MZN983126 NJJ983126 NTF983126 ODB983126 OMX983126 OWT983126 PGP983126 PQL983126 QAH983126 QKD983126 QTZ983126 RDV983126 RNR983126 RXN983126 SHJ983126 SRF983126 TBB983126 TKX983126 TUT983126 UEP983126 UOL983126 UYH983126 VID983126 VRZ983126 WBV983126 WLR983126 WVN983126 JH83:JH85 TD83:TD85 ACZ83:ACZ85 AMV83:AMV85 AWR83:AWR85 BGN83:BGN85 BQJ83:BQJ85 CAF83:CAF85 CKB83:CKB85 CTX83:CTX85 DDT83:DDT85 DNP83:DNP85 DXL83:DXL85 EHH83:EHH85 ERD83:ERD85 FAZ83:FAZ85 FKV83:FKV85 FUR83:FUR85 GEN83:GEN85 GOJ83:GOJ85 GYF83:GYF85 HIB83:HIB85 HRX83:HRX85 IBT83:IBT85 ILP83:ILP85 IVL83:IVL85 JFH83:JFH85 JPD83:JPD85 JYZ83:JYZ85 KIV83:KIV85 KSR83:KSR85 LCN83:LCN85 LMJ83:LMJ85 LWF83:LWF85 MGB83:MGB85 MPX83:MPX85 MZT83:MZT85 NJP83:NJP85 NTL83:NTL85 ODH83:ODH85 OND83:OND85 OWZ83:OWZ85 PGV83:PGV85 PQR83:PQR85 QAN83:QAN85 QKJ83:QKJ85 QUF83:QUF85 REB83:REB85 RNX83:RNX85 RXT83:RXT85 SHP83:SHP85 SRL83:SRL85 TBH83:TBH85 TLD83:TLD85 TUZ83:TUZ85 UEV83:UEV85 UOR83:UOR85 UYN83:UYN85 VIJ83:VIJ85 VSF83:VSF85 WCB83:WCB85 WLX83:WLX85 WVT83:WVT85 L65622 JH65622 TD65622 ACZ65622 AMV65622 AWR65622 BGN65622 BQJ65622 CAF65622 CKB65622 CTX65622 DDT65622 DNP65622 DXL65622 EHH65622 ERD65622 FAZ65622 FKV65622 FUR65622 GEN65622 GOJ65622 GYF65622 HIB65622 HRX65622 IBT65622 ILP65622 IVL65622 JFH65622 JPD65622 JYZ65622 KIV65622 KSR65622 LCN65622 LMJ65622 LWF65622 MGB65622 MPX65622 MZT65622 NJP65622 NTL65622 ODH65622 OND65622 OWZ65622 PGV65622 PQR65622 QAN65622 QKJ65622 QUF65622 REB65622 RNX65622 RXT65622 SHP65622 SRL65622 TBH65622 TLD65622 TUZ65622 UEV65622 UOR65622 UYN65622 VIJ65622 VSF65622 WCB65622 WLX65622 WVT65622 L131158 JH131158 TD131158 ACZ131158 AMV131158 AWR131158 BGN131158 BQJ131158 CAF131158 CKB131158 CTX131158 DDT131158 DNP131158 DXL131158 EHH131158 ERD131158 FAZ131158 FKV131158 FUR131158 GEN131158 GOJ131158 GYF131158 HIB131158 HRX131158 IBT131158 ILP131158 IVL131158 JFH131158 JPD131158 JYZ131158 KIV131158 KSR131158 LCN131158 LMJ131158 LWF131158 MGB131158 MPX131158 MZT131158 NJP131158 NTL131158 ODH131158 OND131158 OWZ131158 PGV131158 PQR131158 QAN131158 QKJ131158 QUF131158 REB131158 RNX131158 RXT131158 SHP131158 SRL131158 TBH131158 TLD131158 TUZ131158 UEV131158 UOR131158 UYN131158 VIJ131158 VSF131158 WCB131158 WLX131158 WVT131158 L196694 JH196694 TD196694 ACZ196694 AMV196694 AWR196694 BGN196694 BQJ196694 CAF196694 CKB196694 CTX196694 DDT196694 DNP196694 DXL196694 EHH196694 ERD196694 FAZ196694 FKV196694 FUR196694 GEN196694 GOJ196694 GYF196694 HIB196694 HRX196694 IBT196694 ILP196694 IVL196694 JFH196694 JPD196694 JYZ196694 KIV196694 KSR196694 LCN196694 LMJ196694 LWF196694 MGB196694 MPX196694 MZT196694 NJP196694 NTL196694 ODH196694 OND196694 OWZ196694 PGV196694 PQR196694 QAN196694 QKJ196694 QUF196694 REB196694 RNX196694 RXT196694 SHP196694 SRL196694 TBH196694 TLD196694 TUZ196694 UEV196694 UOR196694 UYN196694 VIJ196694 VSF196694 WCB196694 WLX196694 WVT196694 L262230 JH262230 TD262230 ACZ262230 AMV262230 AWR262230 BGN262230 BQJ262230 CAF262230 CKB262230 CTX262230 DDT262230 DNP262230 DXL262230 EHH262230 ERD262230 FAZ262230 FKV262230 FUR262230 GEN262230 GOJ262230 GYF262230 HIB262230 HRX262230 IBT262230 ILP262230 IVL262230 JFH262230 JPD262230 JYZ262230 KIV262230 KSR262230 LCN262230 LMJ262230 LWF262230 MGB262230 MPX262230 MZT262230 NJP262230 NTL262230 ODH262230 OND262230 OWZ262230 PGV262230 PQR262230 QAN262230 QKJ262230 QUF262230 REB262230 RNX262230 RXT262230 SHP262230 SRL262230 TBH262230 TLD262230 TUZ262230 UEV262230 UOR262230 UYN262230 VIJ262230 VSF262230 WCB262230 WLX262230 WVT262230 L327766 JH327766 TD327766 ACZ327766 AMV327766 AWR327766 BGN327766 BQJ327766 CAF327766 CKB327766 CTX327766 DDT327766 DNP327766 DXL327766 EHH327766 ERD327766 FAZ327766 FKV327766 FUR327766 GEN327766 GOJ327766 GYF327766 HIB327766 HRX327766 IBT327766 ILP327766 IVL327766 JFH327766 JPD327766 JYZ327766 KIV327766 KSR327766 LCN327766 LMJ327766 LWF327766 MGB327766 MPX327766 MZT327766 NJP327766 NTL327766 ODH327766 OND327766 OWZ327766 PGV327766 PQR327766 QAN327766 QKJ327766 QUF327766 REB327766 RNX327766 RXT327766 SHP327766 SRL327766 TBH327766 TLD327766 TUZ327766 UEV327766 UOR327766 UYN327766 VIJ327766 VSF327766 WCB327766 WLX327766 WVT327766 L393302 JH393302 TD393302 ACZ393302 AMV393302 AWR393302 BGN393302 BQJ393302 CAF393302 CKB393302 CTX393302 DDT393302 DNP393302 DXL393302 EHH393302 ERD393302 FAZ393302 FKV393302 FUR393302 GEN393302 GOJ393302 GYF393302 HIB393302 HRX393302 IBT393302 ILP393302 IVL393302 JFH393302 JPD393302 JYZ393302 KIV393302 KSR393302 LCN393302 LMJ393302 LWF393302 MGB393302 MPX393302 MZT393302 NJP393302 NTL393302 ODH393302 OND393302 OWZ393302 PGV393302 PQR393302 QAN393302 QKJ393302 QUF393302 REB393302 RNX393302 RXT393302 SHP393302 SRL393302 TBH393302 TLD393302 TUZ393302 UEV393302 UOR393302 UYN393302 VIJ393302 VSF393302 WCB393302 WLX393302 WVT393302 L458838 JH458838 TD458838 ACZ458838 AMV458838 AWR458838 BGN458838 BQJ458838 CAF458838 CKB458838 CTX458838 DDT458838 DNP458838 DXL458838 EHH458838 ERD458838 FAZ458838 FKV458838 FUR458838 GEN458838 GOJ458838 GYF458838 HIB458838 HRX458838 IBT458838 ILP458838 IVL458838 JFH458838 JPD458838 JYZ458838 KIV458838 KSR458838 LCN458838 LMJ458838 LWF458838 MGB458838 MPX458838 MZT458838 NJP458838 NTL458838 ODH458838 OND458838 OWZ458838 PGV458838 PQR458838 QAN458838 QKJ458838 QUF458838 REB458838 RNX458838 RXT458838 SHP458838 SRL458838 TBH458838 TLD458838 TUZ458838 UEV458838 UOR458838 UYN458838 VIJ458838 VSF458838 WCB458838 WLX458838 WVT458838 L524374 JH524374 TD524374 ACZ524374 AMV524374 AWR524374 BGN524374 BQJ524374 CAF524374 CKB524374 CTX524374 DDT524374 DNP524374 DXL524374 EHH524374 ERD524374 FAZ524374 FKV524374 FUR524374 GEN524374 GOJ524374 GYF524374 HIB524374 HRX524374 IBT524374 ILP524374 IVL524374 JFH524374 JPD524374 JYZ524374 KIV524374 KSR524374 LCN524374 LMJ524374 LWF524374 MGB524374 MPX524374 MZT524374 NJP524374 NTL524374 ODH524374 OND524374 OWZ524374 PGV524374 PQR524374 QAN524374 QKJ524374 QUF524374 REB524374 RNX524374 RXT524374 SHP524374 SRL524374 TBH524374 TLD524374 TUZ524374 UEV524374 UOR524374 UYN524374 VIJ524374 VSF524374 WCB524374 WLX524374 WVT524374 L589910 JH589910 TD589910 ACZ589910 AMV589910 AWR589910 BGN589910 BQJ589910 CAF589910 CKB589910 CTX589910 DDT589910 DNP589910 DXL589910 EHH589910 ERD589910 FAZ589910 FKV589910 FUR589910 GEN589910 GOJ589910 GYF589910 HIB589910 HRX589910 IBT589910 ILP589910 IVL589910 JFH589910 JPD589910 JYZ589910 KIV589910 KSR589910 LCN589910 LMJ589910 LWF589910 MGB589910 MPX589910 MZT589910 NJP589910 NTL589910 ODH589910 OND589910 OWZ589910 PGV589910 PQR589910 QAN589910 QKJ589910 QUF589910 REB589910 RNX589910 RXT589910 SHP589910 SRL589910 TBH589910 TLD589910 TUZ589910 UEV589910 UOR589910 UYN589910 VIJ589910 VSF589910 WCB589910 WLX589910 WVT589910 L655446 JH655446 TD655446 ACZ655446 AMV655446 AWR655446 BGN655446 BQJ655446 CAF655446 CKB655446 CTX655446 DDT655446 DNP655446 DXL655446 EHH655446 ERD655446 FAZ655446 FKV655446 FUR655446 GEN655446 GOJ655446 GYF655446 HIB655446 HRX655446 IBT655446 ILP655446 IVL655446 JFH655446 JPD655446 JYZ655446 KIV655446 KSR655446 LCN655446 LMJ655446 LWF655446 MGB655446 MPX655446 MZT655446 NJP655446 NTL655446 ODH655446 OND655446 OWZ655446 PGV655446 PQR655446 QAN655446 QKJ655446 QUF655446 REB655446 RNX655446 RXT655446 SHP655446 SRL655446 TBH655446 TLD655446 TUZ655446 UEV655446 UOR655446 UYN655446 VIJ655446 VSF655446 WCB655446 WLX655446 WVT655446 L720982 JH720982 TD720982 ACZ720982 AMV720982 AWR720982 BGN720982 BQJ720982 CAF720982 CKB720982 CTX720982 DDT720982 DNP720982 DXL720982 EHH720982 ERD720982 FAZ720982 FKV720982 FUR720982 GEN720982 GOJ720982 GYF720982 HIB720982 HRX720982 IBT720982 ILP720982 IVL720982 JFH720982 JPD720982 JYZ720982 KIV720982 KSR720982 LCN720982 LMJ720982 LWF720982 MGB720982 MPX720982 MZT720982 NJP720982 NTL720982 ODH720982 OND720982 OWZ720982 PGV720982 PQR720982 QAN720982 QKJ720982 QUF720982 REB720982 RNX720982 RXT720982 SHP720982 SRL720982 TBH720982 TLD720982 TUZ720982 UEV720982 UOR720982 UYN720982 VIJ720982 VSF720982 WCB720982 WLX720982 WVT720982 L786518 JH786518 TD786518 ACZ786518 AMV786518 AWR786518 BGN786518 BQJ786518 CAF786518 CKB786518 CTX786518 DDT786518 DNP786518 DXL786518 EHH786518 ERD786518 FAZ786518 FKV786518 FUR786518 GEN786518 GOJ786518 GYF786518 HIB786518 HRX786518 IBT786518 ILP786518 IVL786518 JFH786518 JPD786518 JYZ786518 KIV786518 KSR786518 LCN786518 LMJ786518 LWF786518 MGB786518 MPX786518 MZT786518 NJP786518 NTL786518 ODH786518 OND786518 OWZ786518 PGV786518 PQR786518 QAN786518 QKJ786518 QUF786518 REB786518 RNX786518 RXT786518 SHP786518 SRL786518 TBH786518 TLD786518 TUZ786518 UEV786518 UOR786518 UYN786518 VIJ786518 VSF786518 WCB786518 WLX786518 WVT786518 L852054 JH852054 TD852054 ACZ852054 AMV852054 AWR852054 BGN852054 BQJ852054 CAF852054 CKB852054 CTX852054 DDT852054 DNP852054 DXL852054 EHH852054 ERD852054 FAZ852054 FKV852054 FUR852054 GEN852054 GOJ852054 GYF852054 HIB852054 HRX852054 IBT852054 ILP852054 IVL852054 JFH852054 JPD852054 JYZ852054 KIV852054 KSR852054 LCN852054 LMJ852054 LWF852054 MGB852054 MPX852054 MZT852054 NJP852054 NTL852054 ODH852054 OND852054 OWZ852054 PGV852054 PQR852054 QAN852054 QKJ852054 QUF852054 REB852054 RNX852054 RXT852054 SHP852054 SRL852054 TBH852054 TLD852054 TUZ852054 UEV852054 UOR852054 UYN852054 VIJ852054 VSF852054 WCB852054 WLX852054 WVT852054 L917590 JH917590 TD917590 ACZ917590 AMV917590 AWR917590 BGN917590 BQJ917590 CAF917590 CKB917590 CTX917590 DDT917590 DNP917590 DXL917590 EHH917590 ERD917590 FAZ917590 FKV917590 FUR917590 GEN917590 GOJ917590 GYF917590 HIB917590 HRX917590 IBT917590 ILP917590 IVL917590 JFH917590 JPD917590 JYZ917590 KIV917590 KSR917590 LCN917590 LMJ917590 LWF917590 MGB917590 MPX917590 MZT917590 NJP917590 NTL917590 ODH917590 OND917590 OWZ917590 PGV917590 PQR917590 QAN917590 QKJ917590 QUF917590 REB917590 RNX917590 RXT917590 SHP917590 SRL917590 TBH917590 TLD917590 TUZ917590 UEV917590 UOR917590 UYN917590 VIJ917590 VSF917590 WCB917590 WLX917590 WVT917590 L983126 JH983126 TD983126 ACZ983126 AMV983126 AWR983126 BGN983126 BQJ983126 CAF983126 CKB983126 CTX983126 DDT983126 DNP983126 DXL983126 EHH983126 ERD983126 FAZ983126 FKV983126 FUR983126 GEN983126 GOJ983126 GYF983126 HIB983126 HRX983126 IBT983126 ILP983126 IVL983126 JFH983126 JPD983126 JYZ983126 KIV983126 KSR983126 LCN983126 LMJ983126 LWF983126 MGB983126 MPX983126 MZT983126 NJP983126 NTL983126 ODH983126 OND983126 OWZ983126 PGV983126 PQR983126 QAN983126 QKJ983126 QUF983126 REB983126 RNX983126 RXT983126 SHP983126 SRL983126 TBH983126 TLD983126 TUZ983126 UEV983126 UOR983126 UYN983126 VIJ983126 VSF983126 WCB983126 WLX983126 B83:B85 F84 H83 L84:L85" xr:uid="{00000000-0002-0000-0600-000000000000}">
      <formula1>"open, done, N/A"</formula1>
    </dataValidation>
    <dataValidation type="list" allowBlank="1" showInputMessage="1" showErrorMessage="1" sqref="M88:O88 JI88:JK88 TE88:TG88 ADA88:ADC88 AMW88:AMY88 AWS88:AWU88 BGO88:BGQ88 BQK88:BQM88 CAG88:CAI88 CKC88:CKE88 CTY88:CUA88 DDU88:DDW88 DNQ88:DNS88 DXM88:DXO88 EHI88:EHK88 ERE88:ERG88 FBA88:FBC88 FKW88:FKY88 FUS88:FUU88 GEO88:GEQ88 GOK88:GOM88 GYG88:GYI88 HIC88:HIE88 HRY88:HSA88 IBU88:IBW88 ILQ88:ILS88 IVM88:IVO88 JFI88:JFK88 JPE88:JPG88 JZA88:JZC88 KIW88:KIY88 KSS88:KSU88 LCO88:LCQ88 LMK88:LMM88 LWG88:LWI88 MGC88:MGE88 MPY88:MQA88 MZU88:MZW88 NJQ88:NJS88 NTM88:NTO88 ODI88:ODK88 ONE88:ONG88 OXA88:OXC88 PGW88:PGY88 PQS88:PQU88 QAO88:QAQ88 QKK88:QKM88 QUG88:QUI88 REC88:REE88 RNY88:ROA88 RXU88:RXW88 SHQ88:SHS88 SRM88:SRO88 TBI88:TBK88 TLE88:TLG88 TVA88:TVC88 UEW88:UEY88 UOS88:UOU88 UYO88:UYQ88 VIK88:VIM88 VSG88:VSI88 WCC88:WCE88 WLY88:WMA88 WVU88:WVW88 M65624:O65624 JI65624:JK65624 TE65624:TG65624 ADA65624:ADC65624 AMW65624:AMY65624 AWS65624:AWU65624 BGO65624:BGQ65624 BQK65624:BQM65624 CAG65624:CAI65624 CKC65624:CKE65624 CTY65624:CUA65624 DDU65624:DDW65624 DNQ65624:DNS65624 DXM65624:DXO65624 EHI65624:EHK65624 ERE65624:ERG65624 FBA65624:FBC65624 FKW65624:FKY65624 FUS65624:FUU65624 GEO65624:GEQ65624 GOK65624:GOM65624 GYG65624:GYI65624 HIC65624:HIE65624 HRY65624:HSA65624 IBU65624:IBW65624 ILQ65624:ILS65624 IVM65624:IVO65624 JFI65624:JFK65624 JPE65624:JPG65624 JZA65624:JZC65624 KIW65624:KIY65624 KSS65624:KSU65624 LCO65624:LCQ65624 LMK65624:LMM65624 LWG65624:LWI65624 MGC65624:MGE65624 MPY65624:MQA65624 MZU65624:MZW65624 NJQ65624:NJS65624 NTM65624:NTO65624 ODI65624:ODK65624 ONE65624:ONG65624 OXA65624:OXC65624 PGW65624:PGY65624 PQS65624:PQU65624 QAO65624:QAQ65624 QKK65624:QKM65624 QUG65624:QUI65624 REC65624:REE65624 RNY65624:ROA65624 RXU65624:RXW65624 SHQ65624:SHS65624 SRM65624:SRO65624 TBI65624:TBK65624 TLE65624:TLG65624 TVA65624:TVC65624 UEW65624:UEY65624 UOS65624:UOU65624 UYO65624:UYQ65624 VIK65624:VIM65624 VSG65624:VSI65624 WCC65624:WCE65624 WLY65624:WMA65624 WVU65624:WVW65624 M131160:O131160 JI131160:JK131160 TE131160:TG131160 ADA131160:ADC131160 AMW131160:AMY131160 AWS131160:AWU131160 BGO131160:BGQ131160 BQK131160:BQM131160 CAG131160:CAI131160 CKC131160:CKE131160 CTY131160:CUA131160 DDU131160:DDW131160 DNQ131160:DNS131160 DXM131160:DXO131160 EHI131160:EHK131160 ERE131160:ERG131160 FBA131160:FBC131160 FKW131160:FKY131160 FUS131160:FUU131160 GEO131160:GEQ131160 GOK131160:GOM131160 GYG131160:GYI131160 HIC131160:HIE131160 HRY131160:HSA131160 IBU131160:IBW131160 ILQ131160:ILS131160 IVM131160:IVO131160 JFI131160:JFK131160 JPE131160:JPG131160 JZA131160:JZC131160 KIW131160:KIY131160 KSS131160:KSU131160 LCO131160:LCQ131160 LMK131160:LMM131160 LWG131160:LWI131160 MGC131160:MGE131160 MPY131160:MQA131160 MZU131160:MZW131160 NJQ131160:NJS131160 NTM131160:NTO131160 ODI131160:ODK131160 ONE131160:ONG131160 OXA131160:OXC131160 PGW131160:PGY131160 PQS131160:PQU131160 QAO131160:QAQ131160 QKK131160:QKM131160 QUG131160:QUI131160 REC131160:REE131160 RNY131160:ROA131160 RXU131160:RXW131160 SHQ131160:SHS131160 SRM131160:SRO131160 TBI131160:TBK131160 TLE131160:TLG131160 TVA131160:TVC131160 UEW131160:UEY131160 UOS131160:UOU131160 UYO131160:UYQ131160 VIK131160:VIM131160 VSG131160:VSI131160 WCC131160:WCE131160 WLY131160:WMA131160 WVU131160:WVW131160 M196696:O196696 JI196696:JK196696 TE196696:TG196696 ADA196696:ADC196696 AMW196696:AMY196696 AWS196696:AWU196696 BGO196696:BGQ196696 BQK196696:BQM196696 CAG196696:CAI196696 CKC196696:CKE196696 CTY196696:CUA196696 DDU196696:DDW196696 DNQ196696:DNS196696 DXM196696:DXO196696 EHI196696:EHK196696 ERE196696:ERG196696 FBA196696:FBC196696 FKW196696:FKY196696 FUS196696:FUU196696 GEO196696:GEQ196696 GOK196696:GOM196696 GYG196696:GYI196696 HIC196696:HIE196696 HRY196696:HSA196696 IBU196696:IBW196696 ILQ196696:ILS196696 IVM196696:IVO196696 JFI196696:JFK196696 JPE196696:JPG196696 JZA196696:JZC196696 KIW196696:KIY196696 KSS196696:KSU196696 LCO196696:LCQ196696 LMK196696:LMM196696 LWG196696:LWI196696 MGC196696:MGE196696 MPY196696:MQA196696 MZU196696:MZW196696 NJQ196696:NJS196696 NTM196696:NTO196696 ODI196696:ODK196696 ONE196696:ONG196696 OXA196696:OXC196696 PGW196696:PGY196696 PQS196696:PQU196696 QAO196696:QAQ196696 QKK196696:QKM196696 QUG196696:QUI196696 REC196696:REE196696 RNY196696:ROA196696 RXU196696:RXW196696 SHQ196696:SHS196696 SRM196696:SRO196696 TBI196696:TBK196696 TLE196696:TLG196696 TVA196696:TVC196696 UEW196696:UEY196696 UOS196696:UOU196696 UYO196696:UYQ196696 VIK196696:VIM196696 VSG196696:VSI196696 WCC196696:WCE196696 WLY196696:WMA196696 WVU196696:WVW196696 M262232:O262232 JI262232:JK262232 TE262232:TG262232 ADA262232:ADC262232 AMW262232:AMY262232 AWS262232:AWU262232 BGO262232:BGQ262232 BQK262232:BQM262232 CAG262232:CAI262232 CKC262232:CKE262232 CTY262232:CUA262232 DDU262232:DDW262232 DNQ262232:DNS262232 DXM262232:DXO262232 EHI262232:EHK262232 ERE262232:ERG262232 FBA262232:FBC262232 FKW262232:FKY262232 FUS262232:FUU262232 GEO262232:GEQ262232 GOK262232:GOM262232 GYG262232:GYI262232 HIC262232:HIE262232 HRY262232:HSA262232 IBU262232:IBW262232 ILQ262232:ILS262232 IVM262232:IVO262232 JFI262232:JFK262232 JPE262232:JPG262232 JZA262232:JZC262232 KIW262232:KIY262232 KSS262232:KSU262232 LCO262232:LCQ262232 LMK262232:LMM262232 LWG262232:LWI262232 MGC262232:MGE262232 MPY262232:MQA262232 MZU262232:MZW262232 NJQ262232:NJS262232 NTM262232:NTO262232 ODI262232:ODK262232 ONE262232:ONG262232 OXA262232:OXC262232 PGW262232:PGY262232 PQS262232:PQU262232 QAO262232:QAQ262232 QKK262232:QKM262232 QUG262232:QUI262232 REC262232:REE262232 RNY262232:ROA262232 RXU262232:RXW262232 SHQ262232:SHS262232 SRM262232:SRO262232 TBI262232:TBK262232 TLE262232:TLG262232 TVA262232:TVC262232 UEW262232:UEY262232 UOS262232:UOU262232 UYO262232:UYQ262232 VIK262232:VIM262232 VSG262232:VSI262232 WCC262232:WCE262232 WLY262232:WMA262232 WVU262232:WVW262232 M327768:O327768 JI327768:JK327768 TE327768:TG327768 ADA327768:ADC327768 AMW327768:AMY327768 AWS327768:AWU327768 BGO327768:BGQ327768 BQK327768:BQM327768 CAG327768:CAI327768 CKC327768:CKE327768 CTY327768:CUA327768 DDU327768:DDW327768 DNQ327768:DNS327768 DXM327768:DXO327768 EHI327768:EHK327768 ERE327768:ERG327768 FBA327768:FBC327768 FKW327768:FKY327768 FUS327768:FUU327768 GEO327768:GEQ327768 GOK327768:GOM327768 GYG327768:GYI327768 HIC327768:HIE327768 HRY327768:HSA327768 IBU327768:IBW327768 ILQ327768:ILS327768 IVM327768:IVO327768 JFI327768:JFK327768 JPE327768:JPG327768 JZA327768:JZC327768 KIW327768:KIY327768 KSS327768:KSU327768 LCO327768:LCQ327768 LMK327768:LMM327768 LWG327768:LWI327768 MGC327768:MGE327768 MPY327768:MQA327768 MZU327768:MZW327768 NJQ327768:NJS327768 NTM327768:NTO327768 ODI327768:ODK327768 ONE327768:ONG327768 OXA327768:OXC327768 PGW327768:PGY327768 PQS327768:PQU327768 QAO327768:QAQ327768 QKK327768:QKM327768 QUG327768:QUI327768 REC327768:REE327768 RNY327768:ROA327768 RXU327768:RXW327768 SHQ327768:SHS327768 SRM327768:SRO327768 TBI327768:TBK327768 TLE327768:TLG327768 TVA327768:TVC327768 UEW327768:UEY327768 UOS327768:UOU327768 UYO327768:UYQ327768 VIK327768:VIM327768 VSG327768:VSI327768 WCC327768:WCE327768 WLY327768:WMA327768 WVU327768:WVW327768 M393304:O393304 JI393304:JK393304 TE393304:TG393304 ADA393304:ADC393304 AMW393304:AMY393304 AWS393304:AWU393304 BGO393304:BGQ393304 BQK393304:BQM393304 CAG393304:CAI393304 CKC393304:CKE393304 CTY393304:CUA393304 DDU393304:DDW393304 DNQ393304:DNS393304 DXM393304:DXO393304 EHI393304:EHK393304 ERE393304:ERG393304 FBA393304:FBC393304 FKW393304:FKY393304 FUS393304:FUU393304 GEO393304:GEQ393304 GOK393304:GOM393304 GYG393304:GYI393304 HIC393304:HIE393304 HRY393304:HSA393304 IBU393304:IBW393304 ILQ393304:ILS393304 IVM393304:IVO393304 JFI393304:JFK393304 JPE393304:JPG393304 JZA393304:JZC393304 KIW393304:KIY393304 KSS393304:KSU393304 LCO393304:LCQ393304 LMK393304:LMM393304 LWG393304:LWI393304 MGC393304:MGE393304 MPY393304:MQA393304 MZU393304:MZW393304 NJQ393304:NJS393304 NTM393304:NTO393304 ODI393304:ODK393304 ONE393304:ONG393304 OXA393304:OXC393304 PGW393304:PGY393304 PQS393304:PQU393304 QAO393304:QAQ393304 QKK393304:QKM393304 QUG393304:QUI393304 REC393304:REE393304 RNY393304:ROA393304 RXU393304:RXW393304 SHQ393304:SHS393304 SRM393304:SRO393304 TBI393304:TBK393304 TLE393304:TLG393304 TVA393304:TVC393304 UEW393304:UEY393304 UOS393304:UOU393304 UYO393304:UYQ393304 VIK393304:VIM393304 VSG393304:VSI393304 WCC393304:WCE393304 WLY393304:WMA393304 WVU393304:WVW393304 M458840:O458840 JI458840:JK458840 TE458840:TG458840 ADA458840:ADC458840 AMW458840:AMY458840 AWS458840:AWU458840 BGO458840:BGQ458840 BQK458840:BQM458840 CAG458840:CAI458840 CKC458840:CKE458840 CTY458840:CUA458840 DDU458840:DDW458840 DNQ458840:DNS458840 DXM458840:DXO458840 EHI458840:EHK458840 ERE458840:ERG458840 FBA458840:FBC458840 FKW458840:FKY458840 FUS458840:FUU458840 GEO458840:GEQ458840 GOK458840:GOM458840 GYG458840:GYI458840 HIC458840:HIE458840 HRY458840:HSA458840 IBU458840:IBW458840 ILQ458840:ILS458840 IVM458840:IVO458840 JFI458840:JFK458840 JPE458840:JPG458840 JZA458840:JZC458840 KIW458840:KIY458840 KSS458840:KSU458840 LCO458840:LCQ458840 LMK458840:LMM458840 LWG458840:LWI458840 MGC458840:MGE458840 MPY458840:MQA458840 MZU458840:MZW458840 NJQ458840:NJS458840 NTM458840:NTO458840 ODI458840:ODK458840 ONE458840:ONG458840 OXA458840:OXC458840 PGW458840:PGY458840 PQS458840:PQU458840 QAO458840:QAQ458840 QKK458840:QKM458840 QUG458840:QUI458840 REC458840:REE458840 RNY458840:ROA458840 RXU458840:RXW458840 SHQ458840:SHS458840 SRM458840:SRO458840 TBI458840:TBK458840 TLE458840:TLG458840 TVA458840:TVC458840 UEW458840:UEY458840 UOS458840:UOU458840 UYO458840:UYQ458840 VIK458840:VIM458840 VSG458840:VSI458840 WCC458840:WCE458840 WLY458840:WMA458840 WVU458840:WVW458840 M524376:O524376 JI524376:JK524376 TE524376:TG524376 ADA524376:ADC524376 AMW524376:AMY524376 AWS524376:AWU524376 BGO524376:BGQ524376 BQK524376:BQM524376 CAG524376:CAI524376 CKC524376:CKE524376 CTY524376:CUA524376 DDU524376:DDW524376 DNQ524376:DNS524376 DXM524376:DXO524376 EHI524376:EHK524376 ERE524376:ERG524376 FBA524376:FBC524376 FKW524376:FKY524376 FUS524376:FUU524376 GEO524376:GEQ524376 GOK524376:GOM524376 GYG524376:GYI524376 HIC524376:HIE524376 HRY524376:HSA524376 IBU524376:IBW524376 ILQ524376:ILS524376 IVM524376:IVO524376 JFI524376:JFK524376 JPE524376:JPG524376 JZA524376:JZC524376 KIW524376:KIY524376 KSS524376:KSU524376 LCO524376:LCQ524376 LMK524376:LMM524376 LWG524376:LWI524376 MGC524376:MGE524376 MPY524376:MQA524376 MZU524376:MZW524376 NJQ524376:NJS524376 NTM524376:NTO524376 ODI524376:ODK524376 ONE524376:ONG524376 OXA524376:OXC524376 PGW524376:PGY524376 PQS524376:PQU524376 QAO524376:QAQ524376 QKK524376:QKM524376 QUG524376:QUI524376 REC524376:REE524376 RNY524376:ROA524376 RXU524376:RXW524376 SHQ524376:SHS524376 SRM524376:SRO524376 TBI524376:TBK524376 TLE524376:TLG524376 TVA524376:TVC524376 UEW524376:UEY524376 UOS524376:UOU524376 UYO524376:UYQ524376 VIK524376:VIM524376 VSG524376:VSI524376 WCC524376:WCE524376 WLY524376:WMA524376 WVU524376:WVW524376 M589912:O589912 JI589912:JK589912 TE589912:TG589912 ADA589912:ADC589912 AMW589912:AMY589912 AWS589912:AWU589912 BGO589912:BGQ589912 BQK589912:BQM589912 CAG589912:CAI589912 CKC589912:CKE589912 CTY589912:CUA589912 DDU589912:DDW589912 DNQ589912:DNS589912 DXM589912:DXO589912 EHI589912:EHK589912 ERE589912:ERG589912 FBA589912:FBC589912 FKW589912:FKY589912 FUS589912:FUU589912 GEO589912:GEQ589912 GOK589912:GOM589912 GYG589912:GYI589912 HIC589912:HIE589912 HRY589912:HSA589912 IBU589912:IBW589912 ILQ589912:ILS589912 IVM589912:IVO589912 JFI589912:JFK589912 JPE589912:JPG589912 JZA589912:JZC589912 KIW589912:KIY589912 KSS589912:KSU589912 LCO589912:LCQ589912 LMK589912:LMM589912 LWG589912:LWI589912 MGC589912:MGE589912 MPY589912:MQA589912 MZU589912:MZW589912 NJQ589912:NJS589912 NTM589912:NTO589912 ODI589912:ODK589912 ONE589912:ONG589912 OXA589912:OXC589912 PGW589912:PGY589912 PQS589912:PQU589912 QAO589912:QAQ589912 QKK589912:QKM589912 QUG589912:QUI589912 REC589912:REE589912 RNY589912:ROA589912 RXU589912:RXW589912 SHQ589912:SHS589912 SRM589912:SRO589912 TBI589912:TBK589912 TLE589912:TLG589912 TVA589912:TVC589912 UEW589912:UEY589912 UOS589912:UOU589912 UYO589912:UYQ589912 VIK589912:VIM589912 VSG589912:VSI589912 WCC589912:WCE589912 WLY589912:WMA589912 WVU589912:WVW589912 M655448:O655448 JI655448:JK655448 TE655448:TG655448 ADA655448:ADC655448 AMW655448:AMY655448 AWS655448:AWU655448 BGO655448:BGQ655448 BQK655448:BQM655448 CAG655448:CAI655448 CKC655448:CKE655448 CTY655448:CUA655448 DDU655448:DDW655448 DNQ655448:DNS655448 DXM655448:DXO655448 EHI655448:EHK655448 ERE655448:ERG655448 FBA655448:FBC655448 FKW655448:FKY655448 FUS655448:FUU655448 GEO655448:GEQ655448 GOK655448:GOM655448 GYG655448:GYI655448 HIC655448:HIE655448 HRY655448:HSA655448 IBU655448:IBW655448 ILQ655448:ILS655448 IVM655448:IVO655448 JFI655448:JFK655448 JPE655448:JPG655448 JZA655448:JZC655448 KIW655448:KIY655448 KSS655448:KSU655448 LCO655448:LCQ655448 LMK655448:LMM655448 LWG655448:LWI655448 MGC655448:MGE655448 MPY655448:MQA655448 MZU655448:MZW655448 NJQ655448:NJS655448 NTM655448:NTO655448 ODI655448:ODK655448 ONE655448:ONG655448 OXA655448:OXC655448 PGW655448:PGY655448 PQS655448:PQU655448 QAO655448:QAQ655448 QKK655448:QKM655448 QUG655448:QUI655448 REC655448:REE655448 RNY655448:ROA655448 RXU655448:RXW655448 SHQ655448:SHS655448 SRM655448:SRO655448 TBI655448:TBK655448 TLE655448:TLG655448 TVA655448:TVC655448 UEW655448:UEY655448 UOS655448:UOU655448 UYO655448:UYQ655448 VIK655448:VIM655448 VSG655448:VSI655448 WCC655448:WCE655448 WLY655448:WMA655448 WVU655448:WVW655448 M720984:O720984 JI720984:JK720984 TE720984:TG720984 ADA720984:ADC720984 AMW720984:AMY720984 AWS720984:AWU720984 BGO720984:BGQ720984 BQK720984:BQM720984 CAG720984:CAI720984 CKC720984:CKE720984 CTY720984:CUA720984 DDU720984:DDW720984 DNQ720984:DNS720984 DXM720984:DXO720984 EHI720984:EHK720984 ERE720984:ERG720984 FBA720984:FBC720984 FKW720984:FKY720984 FUS720984:FUU720984 GEO720984:GEQ720984 GOK720984:GOM720984 GYG720984:GYI720984 HIC720984:HIE720984 HRY720984:HSA720984 IBU720984:IBW720984 ILQ720984:ILS720984 IVM720984:IVO720984 JFI720984:JFK720984 JPE720984:JPG720984 JZA720984:JZC720984 KIW720984:KIY720984 KSS720984:KSU720984 LCO720984:LCQ720984 LMK720984:LMM720984 LWG720984:LWI720984 MGC720984:MGE720984 MPY720984:MQA720984 MZU720984:MZW720984 NJQ720984:NJS720984 NTM720984:NTO720984 ODI720984:ODK720984 ONE720984:ONG720984 OXA720984:OXC720984 PGW720984:PGY720984 PQS720984:PQU720984 QAO720984:QAQ720984 QKK720984:QKM720984 QUG720984:QUI720984 REC720984:REE720984 RNY720984:ROA720984 RXU720984:RXW720984 SHQ720984:SHS720984 SRM720984:SRO720984 TBI720984:TBK720984 TLE720984:TLG720984 TVA720984:TVC720984 UEW720984:UEY720984 UOS720984:UOU720984 UYO720984:UYQ720984 VIK720984:VIM720984 VSG720984:VSI720984 WCC720984:WCE720984 WLY720984:WMA720984 WVU720984:WVW720984 M786520:O786520 JI786520:JK786520 TE786520:TG786520 ADA786520:ADC786520 AMW786520:AMY786520 AWS786520:AWU786520 BGO786520:BGQ786520 BQK786520:BQM786520 CAG786520:CAI786520 CKC786520:CKE786520 CTY786520:CUA786520 DDU786520:DDW786520 DNQ786520:DNS786520 DXM786520:DXO786520 EHI786520:EHK786520 ERE786520:ERG786520 FBA786520:FBC786520 FKW786520:FKY786520 FUS786520:FUU786520 GEO786520:GEQ786520 GOK786520:GOM786520 GYG786520:GYI786520 HIC786520:HIE786520 HRY786520:HSA786520 IBU786520:IBW786520 ILQ786520:ILS786520 IVM786520:IVO786520 JFI786520:JFK786520 JPE786520:JPG786520 JZA786520:JZC786520 KIW786520:KIY786520 KSS786520:KSU786520 LCO786520:LCQ786520 LMK786520:LMM786520 LWG786520:LWI786520 MGC786520:MGE786520 MPY786520:MQA786520 MZU786520:MZW786520 NJQ786520:NJS786520 NTM786520:NTO786520 ODI786520:ODK786520 ONE786520:ONG786520 OXA786520:OXC786520 PGW786520:PGY786520 PQS786520:PQU786520 QAO786520:QAQ786520 QKK786520:QKM786520 QUG786520:QUI786520 REC786520:REE786520 RNY786520:ROA786520 RXU786520:RXW786520 SHQ786520:SHS786520 SRM786520:SRO786520 TBI786520:TBK786520 TLE786520:TLG786520 TVA786520:TVC786520 UEW786520:UEY786520 UOS786520:UOU786520 UYO786520:UYQ786520 VIK786520:VIM786520 VSG786520:VSI786520 WCC786520:WCE786520 WLY786520:WMA786520 WVU786520:WVW786520 M852056:O852056 JI852056:JK852056 TE852056:TG852056 ADA852056:ADC852056 AMW852056:AMY852056 AWS852056:AWU852056 BGO852056:BGQ852056 BQK852056:BQM852056 CAG852056:CAI852056 CKC852056:CKE852056 CTY852056:CUA852056 DDU852056:DDW852056 DNQ852056:DNS852056 DXM852056:DXO852056 EHI852056:EHK852056 ERE852056:ERG852056 FBA852056:FBC852056 FKW852056:FKY852056 FUS852056:FUU852056 GEO852056:GEQ852056 GOK852056:GOM852056 GYG852056:GYI852056 HIC852056:HIE852056 HRY852056:HSA852056 IBU852056:IBW852056 ILQ852056:ILS852056 IVM852056:IVO852056 JFI852056:JFK852056 JPE852056:JPG852056 JZA852056:JZC852056 KIW852056:KIY852056 KSS852056:KSU852056 LCO852056:LCQ852056 LMK852056:LMM852056 LWG852056:LWI852056 MGC852056:MGE852056 MPY852056:MQA852056 MZU852056:MZW852056 NJQ852056:NJS852056 NTM852056:NTO852056 ODI852056:ODK852056 ONE852056:ONG852056 OXA852056:OXC852056 PGW852056:PGY852056 PQS852056:PQU852056 QAO852056:QAQ852056 QKK852056:QKM852056 QUG852056:QUI852056 REC852056:REE852056 RNY852056:ROA852056 RXU852056:RXW852056 SHQ852056:SHS852056 SRM852056:SRO852056 TBI852056:TBK852056 TLE852056:TLG852056 TVA852056:TVC852056 UEW852056:UEY852056 UOS852056:UOU852056 UYO852056:UYQ852056 VIK852056:VIM852056 VSG852056:VSI852056 WCC852056:WCE852056 WLY852056:WMA852056 WVU852056:WVW852056 M917592:O917592 JI917592:JK917592 TE917592:TG917592 ADA917592:ADC917592 AMW917592:AMY917592 AWS917592:AWU917592 BGO917592:BGQ917592 BQK917592:BQM917592 CAG917592:CAI917592 CKC917592:CKE917592 CTY917592:CUA917592 DDU917592:DDW917592 DNQ917592:DNS917592 DXM917592:DXO917592 EHI917592:EHK917592 ERE917592:ERG917592 FBA917592:FBC917592 FKW917592:FKY917592 FUS917592:FUU917592 GEO917592:GEQ917592 GOK917592:GOM917592 GYG917592:GYI917592 HIC917592:HIE917592 HRY917592:HSA917592 IBU917592:IBW917592 ILQ917592:ILS917592 IVM917592:IVO917592 JFI917592:JFK917592 JPE917592:JPG917592 JZA917592:JZC917592 KIW917592:KIY917592 KSS917592:KSU917592 LCO917592:LCQ917592 LMK917592:LMM917592 LWG917592:LWI917592 MGC917592:MGE917592 MPY917592:MQA917592 MZU917592:MZW917592 NJQ917592:NJS917592 NTM917592:NTO917592 ODI917592:ODK917592 ONE917592:ONG917592 OXA917592:OXC917592 PGW917592:PGY917592 PQS917592:PQU917592 QAO917592:QAQ917592 QKK917592:QKM917592 QUG917592:QUI917592 REC917592:REE917592 RNY917592:ROA917592 RXU917592:RXW917592 SHQ917592:SHS917592 SRM917592:SRO917592 TBI917592:TBK917592 TLE917592:TLG917592 TVA917592:TVC917592 UEW917592:UEY917592 UOS917592:UOU917592 UYO917592:UYQ917592 VIK917592:VIM917592 VSG917592:VSI917592 WCC917592:WCE917592 WLY917592:WMA917592 WVU917592:WVW917592 M983128:O983128 JI983128:JK983128 TE983128:TG983128 ADA983128:ADC983128 AMW983128:AMY983128 AWS983128:AWU983128 BGO983128:BGQ983128 BQK983128:BQM983128 CAG983128:CAI983128 CKC983128:CKE983128 CTY983128:CUA983128 DDU983128:DDW983128 DNQ983128:DNS983128 DXM983128:DXO983128 EHI983128:EHK983128 ERE983128:ERG983128 FBA983128:FBC983128 FKW983128:FKY983128 FUS983128:FUU983128 GEO983128:GEQ983128 GOK983128:GOM983128 GYG983128:GYI983128 HIC983128:HIE983128 HRY983128:HSA983128 IBU983128:IBW983128 ILQ983128:ILS983128 IVM983128:IVO983128 JFI983128:JFK983128 JPE983128:JPG983128 JZA983128:JZC983128 KIW983128:KIY983128 KSS983128:KSU983128 LCO983128:LCQ983128 LMK983128:LMM983128 LWG983128:LWI983128 MGC983128:MGE983128 MPY983128:MQA983128 MZU983128:MZW983128 NJQ983128:NJS983128 NTM983128:NTO983128 ODI983128:ODK983128 ONE983128:ONG983128 OXA983128:OXC983128 PGW983128:PGY983128 PQS983128:PQU983128 QAO983128:QAQ983128 QKK983128:QKM983128 QUG983128:QUI983128 REC983128:REE983128 RNY983128:ROA983128 RXU983128:RXW983128 SHQ983128:SHS983128 SRM983128:SRO983128 TBI983128:TBK983128 TLE983128:TLG983128 TVA983128:TVC983128 UEW983128:UEY983128 UOS983128:UOU983128 UYO983128:UYQ983128 VIK983128:VIM983128 VSG983128:VSI983128 WCC983128:WCE983128 WLY983128:WMA983128 WVU983128:WVW983128" xr:uid="{00000000-0002-0000-0600-000001000000}">
      <formula1>"8D approved, 8D unapproved, not required"</formula1>
    </dataValidation>
  </dataValidations>
  <hyperlinks>
    <hyperlink ref="B75" location="LLC!A1" display="Lesson Learned Card" xr:uid="{00000000-0004-0000-0600-000000000000}"/>
    <hyperlink ref="M11" location="Ishikawa!A1" display="Ishikawa" xr:uid="{00000000-0004-0000-0600-000001000000}"/>
    <hyperlink ref="Q11" location="FTA!A1" display="FTA" xr:uid="{00000000-0004-0000-0600-000002000000}"/>
    <hyperlink ref="U11" location="'5 why''s'!A1" display="5 why's" xr:uid="{00000000-0004-0000-0600-000003000000}"/>
    <hyperlink ref="M25" location="Ishikawa!A1" display="Ishikawa" xr:uid="{00000000-0004-0000-0600-000004000000}"/>
    <hyperlink ref="Q25" location="FTA!A1" display="FTA" xr:uid="{00000000-0004-0000-0600-000005000000}"/>
    <hyperlink ref="U25" location="'5 why''s'!A1" display="5 why's" xr:uid="{00000000-0004-0000-0600-000006000000}"/>
  </hyperlinks>
  <printOptions horizontalCentered="1"/>
  <pageMargins left="0.59055118110236227" right="0.39370078740157483" top="0.39370078740157483" bottom="0.39370078740157483" header="0.39370078740157483" footer="0.19685039370078741"/>
  <pageSetup paperSize="9" scale="86" orientation="portrait" r:id="rId1"/>
  <headerFooter alignWithMargins="0">
    <oddFooter>&amp;L&amp;8&amp;F&amp;C&amp;8Edition 1 - 2015.11.1&amp;R&amp;8Print &amp;D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6" r:id="rId4" name="Button 4">
              <controlPr defaultSize="0" print="0" autoFill="0" autoPict="0" macro="[0]!BUTTON_CHECK">
                <anchor moveWithCells="1" sizeWithCells="1">
                  <from>
                    <xdr:col>12</xdr:col>
                    <xdr:colOff>0</xdr:colOff>
                    <xdr:row>82</xdr:row>
                    <xdr:rowOff>0</xdr:rowOff>
                  </from>
                  <to>
                    <xdr:col>15</xdr:col>
                    <xdr:colOff>0</xdr:colOff>
                    <xdr:row>85</xdr:row>
                    <xdr:rowOff>7620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pageSetUpPr fitToPage="1"/>
  </sheetPr>
  <dimension ref="A1:Y49"/>
  <sheetViews>
    <sheetView showGridLines="0" view="pageBreakPreview" zoomScale="85" zoomScaleNormal="85" zoomScaleSheetLayoutView="85" workbookViewId="0">
      <selection activeCell="N5" sqref="N5:P5"/>
    </sheetView>
  </sheetViews>
  <sheetFormatPr baseColWidth="10" defaultColWidth="9.109375" defaultRowHeight="13.2"/>
  <cols>
    <col min="1" max="1" width="3.6640625" style="1" customWidth="1"/>
    <col min="2" max="3" width="6.6640625" style="2" customWidth="1"/>
    <col min="4" max="4" width="15.33203125" style="1" customWidth="1"/>
    <col min="5" max="5" width="16.33203125" style="1" customWidth="1"/>
    <col min="6" max="6" width="8.6640625" style="1" customWidth="1"/>
    <col min="7" max="7" width="13.109375" style="1" customWidth="1"/>
    <col min="8" max="8" width="16.44140625" style="1" customWidth="1"/>
    <col min="9" max="9" width="6.44140625" style="1" customWidth="1"/>
    <col min="10" max="10" width="13.109375" style="1" customWidth="1"/>
    <col min="11" max="11" width="26.109375" style="1" customWidth="1"/>
    <col min="12" max="12" width="7.6640625" style="1" customWidth="1"/>
    <col min="13" max="13" width="15.88671875" style="1" customWidth="1"/>
    <col min="14" max="14" width="21.109375" style="1" customWidth="1"/>
    <col min="15" max="15" width="5.6640625" style="1" customWidth="1"/>
    <col min="16" max="16" width="7.5546875" style="1" customWidth="1"/>
    <col min="17" max="17" width="3.6640625" style="1" customWidth="1"/>
    <col min="18" max="16384" width="9.109375" style="1"/>
  </cols>
  <sheetData>
    <row r="1" spans="1:25" ht="12.75" customHeight="1">
      <c r="A1" s="8"/>
      <c r="B1" s="7"/>
      <c r="C1" s="7"/>
      <c r="D1" s="6"/>
      <c r="E1" s="6"/>
      <c r="F1" s="6"/>
      <c r="G1" s="6"/>
      <c r="H1" s="6"/>
      <c r="I1" s="6"/>
      <c r="J1" s="6"/>
      <c r="K1" s="6"/>
      <c r="L1" s="6"/>
      <c r="M1" s="6"/>
      <c r="N1" s="6"/>
      <c r="O1" s="6"/>
      <c r="P1" s="6"/>
      <c r="Q1" s="5"/>
    </row>
    <row r="2" spans="1:25" s="9" customFormat="1" ht="54.9" customHeight="1">
      <c r="A2" s="20"/>
      <c r="B2" s="690" t="s">
        <v>81</v>
      </c>
      <c r="C2" s="691"/>
      <c r="D2" s="692"/>
      <c r="E2" s="692"/>
      <c r="F2" s="692"/>
      <c r="G2" s="692"/>
      <c r="H2" s="692"/>
      <c r="I2" s="692"/>
      <c r="J2" s="692"/>
      <c r="K2" s="692"/>
      <c r="L2" s="692"/>
      <c r="M2" s="692"/>
      <c r="N2" s="692"/>
      <c r="O2" s="692"/>
      <c r="P2" s="693"/>
      <c r="Q2" s="15"/>
      <c r="Y2" s="9" t="s">
        <v>70</v>
      </c>
    </row>
    <row r="3" spans="1:25" s="9" customFormat="1" ht="54.9" customHeight="1">
      <c r="A3" s="20"/>
      <c r="B3" s="42"/>
      <c r="C3" s="42"/>
      <c r="D3" s="41"/>
      <c r="E3" s="41"/>
      <c r="F3" s="41"/>
      <c r="G3" s="41"/>
      <c r="H3" s="41"/>
      <c r="I3" s="41"/>
      <c r="J3" s="41"/>
      <c r="K3" s="41"/>
      <c r="L3" s="41"/>
      <c r="M3" s="41"/>
      <c r="N3" s="41"/>
      <c r="O3" s="41"/>
      <c r="P3" s="41"/>
      <c r="Q3" s="15"/>
      <c r="Y3" s="9" t="s">
        <v>80</v>
      </c>
    </row>
    <row r="4" spans="1:25" s="9" customFormat="1" ht="12" customHeight="1">
      <c r="A4" s="20"/>
      <c r="B4" s="42"/>
      <c r="C4" s="42"/>
      <c r="D4" s="41"/>
      <c r="E4" s="41"/>
      <c r="F4" s="41"/>
      <c r="G4" s="41"/>
      <c r="H4" s="41"/>
      <c r="I4" s="41"/>
      <c r="J4" s="41"/>
      <c r="K4" s="41"/>
      <c r="L4" s="41"/>
      <c r="M4" s="41"/>
      <c r="N4" s="41"/>
      <c r="O4" s="41"/>
      <c r="P4" s="41"/>
      <c r="Q4" s="15"/>
    </row>
    <row r="5" spans="1:25" ht="36" customHeight="1">
      <c r="A5" s="31"/>
      <c r="B5" s="694" t="s">
        <v>79</v>
      </c>
      <c r="C5" s="695"/>
      <c r="D5" s="696"/>
      <c r="E5" s="43" t="s">
        <v>9</v>
      </c>
      <c r="F5" s="694" t="s">
        <v>78</v>
      </c>
      <c r="G5" s="696"/>
      <c r="H5" s="43" t="s">
        <v>9</v>
      </c>
      <c r="I5" s="697" t="s">
        <v>77</v>
      </c>
      <c r="J5" s="698"/>
      <c r="K5" s="43" t="s">
        <v>9</v>
      </c>
      <c r="L5" s="694" t="s">
        <v>76</v>
      </c>
      <c r="M5" s="696"/>
      <c r="N5" s="699"/>
      <c r="O5" s="699"/>
      <c r="P5" s="699"/>
      <c r="Q5" s="3"/>
    </row>
    <row r="6" spans="1:25" s="9" customFormat="1" ht="3.75" customHeight="1">
      <c r="A6" s="20"/>
      <c r="B6" s="42"/>
      <c r="C6" s="42"/>
      <c r="D6" s="41"/>
      <c r="E6" s="41"/>
      <c r="F6" s="41"/>
      <c r="G6" s="41"/>
      <c r="H6" s="41"/>
      <c r="I6" s="41"/>
      <c r="J6" s="41"/>
      <c r="K6" s="41"/>
      <c r="L6" s="41"/>
      <c r="M6" s="41"/>
      <c r="N6" s="41"/>
      <c r="O6" s="41"/>
      <c r="P6" s="41"/>
      <c r="Q6" s="15"/>
    </row>
    <row r="7" spans="1:25" s="9" customFormat="1" ht="12" customHeight="1">
      <c r="A7" s="20"/>
      <c r="B7" s="702" t="s">
        <v>75</v>
      </c>
      <c r="C7" s="702"/>
      <c r="D7" s="702"/>
      <c r="E7" s="703" t="s">
        <v>9</v>
      </c>
      <c r="F7" s="699" t="s">
        <v>74</v>
      </c>
      <c r="G7" s="699"/>
      <c r="H7" s="703" t="s">
        <v>9</v>
      </c>
      <c r="I7" s="699" t="s">
        <v>73</v>
      </c>
      <c r="J7" s="699"/>
      <c r="K7" s="703" t="s">
        <v>9</v>
      </c>
      <c r="L7" s="711" t="s">
        <v>72</v>
      </c>
      <c r="M7" s="712"/>
      <c r="N7" s="40" t="s">
        <v>71</v>
      </c>
      <c r="O7" s="719" t="s">
        <v>70</v>
      </c>
      <c r="P7" s="720"/>
      <c r="Q7" s="15"/>
    </row>
    <row r="8" spans="1:25" s="9" customFormat="1" ht="12" customHeight="1">
      <c r="A8" s="20"/>
      <c r="B8" s="702"/>
      <c r="C8" s="702"/>
      <c r="D8" s="702"/>
      <c r="E8" s="703"/>
      <c r="F8" s="699"/>
      <c r="G8" s="699"/>
      <c r="H8" s="703"/>
      <c r="I8" s="699"/>
      <c r="J8" s="699"/>
      <c r="K8" s="703"/>
      <c r="L8" s="713"/>
      <c r="M8" s="714"/>
      <c r="N8" s="39" t="s">
        <v>69</v>
      </c>
      <c r="O8" s="723" t="s">
        <v>70</v>
      </c>
      <c r="P8" s="724"/>
      <c r="Q8" s="15"/>
    </row>
    <row r="9" spans="1:25" ht="12" customHeight="1">
      <c r="A9" s="31"/>
      <c r="B9" s="702"/>
      <c r="C9" s="702"/>
      <c r="D9" s="702"/>
      <c r="E9" s="703"/>
      <c r="F9" s="699"/>
      <c r="G9" s="699"/>
      <c r="H9" s="703"/>
      <c r="I9" s="699"/>
      <c r="J9" s="699"/>
      <c r="K9" s="703"/>
      <c r="L9" s="715"/>
      <c r="M9" s="716"/>
      <c r="N9" s="38" t="s">
        <v>68</v>
      </c>
      <c r="O9" s="717" t="s">
        <v>70</v>
      </c>
      <c r="P9" s="718"/>
      <c r="Q9" s="3"/>
    </row>
    <row r="10" spans="1:25" ht="36" customHeight="1">
      <c r="A10" s="31"/>
      <c r="B10" s="37"/>
      <c r="C10" s="37"/>
      <c r="D10" s="37"/>
      <c r="E10" s="36"/>
      <c r="F10" s="35"/>
      <c r="G10" s="35"/>
      <c r="H10" s="34"/>
      <c r="I10" s="21"/>
      <c r="J10" s="21"/>
      <c r="K10" s="33"/>
      <c r="L10" s="21"/>
      <c r="M10" s="21"/>
      <c r="N10" s="32"/>
      <c r="O10" s="32"/>
      <c r="P10" s="32"/>
      <c r="Q10" s="3"/>
    </row>
    <row r="11" spans="1:25" ht="21.75" customHeight="1">
      <c r="A11" s="31"/>
      <c r="Q11" s="3"/>
    </row>
    <row r="12" spans="1:25" s="9" customFormat="1" ht="30" customHeight="1">
      <c r="A12" s="20"/>
      <c r="B12" s="697" t="s">
        <v>67</v>
      </c>
      <c r="C12" s="698"/>
      <c r="D12" s="726" t="s">
        <v>66</v>
      </c>
      <c r="E12" s="727"/>
      <c r="F12" s="708" t="s">
        <v>65</v>
      </c>
      <c r="G12" s="728"/>
      <c r="H12" s="729"/>
      <c r="I12" s="708" t="s">
        <v>64</v>
      </c>
      <c r="J12" s="728"/>
      <c r="K12" s="729"/>
      <c r="L12" s="708" t="s">
        <v>63</v>
      </c>
      <c r="M12" s="709"/>
      <c r="N12" s="710"/>
      <c r="O12" s="704" t="s">
        <v>62</v>
      </c>
      <c r="P12" s="705"/>
      <c r="Q12" s="15"/>
    </row>
    <row r="13" spans="1:25" s="9" customFormat="1" ht="45" customHeight="1">
      <c r="A13" s="20"/>
      <c r="B13" s="700" t="s">
        <v>61</v>
      </c>
      <c r="C13" s="27" t="s">
        <v>60</v>
      </c>
      <c r="D13" s="706" t="s">
        <v>59</v>
      </c>
      <c r="E13" s="707"/>
      <c r="F13" s="44"/>
      <c r="G13" s="725" t="s">
        <v>7</v>
      </c>
      <c r="H13" s="722"/>
      <c r="I13" s="45"/>
      <c r="J13" s="721" t="s">
        <v>58</v>
      </c>
      <c r="K13" s="722"/>
      <c r="L13" s="45"/>
      <c r="M13" s="721" t="s">
        <v>57</v>
      </c>
      <c r="N13" s="722"/>
      <c r="O13" s="30"/>
      <c r="P13" s="288" t="s">
        <v>10</v>
      </c>
      <c r="Q13" s="15"/>
    </row>
    <row r="14" spans="1:25" s="9" customFormat="1" ht="63" customHeight="1">
      <c r="A14" s="20"/>
      <c r="B14" s="701"/>
      <c r="C14" s="27" t="s">
        <v>56</v>
      </c>
      <c r="D14" s="706" t="s">
        <v>55</v>
      </c>
      <c r="E14" s="707"/>
      <c r="F14" s="44"/>
      <c r="G14" s="725" t="s">
        <v>7</v>
      </c>
      <c r="H14" s="722"/>
      <c r="I14" s="45"/>
      <c r="J14" s="725" t="s">
        <v>54</v>
      </c>
      <c r="K14" s="722"/>
      <c r="L14" s="45"/>
      <c r="M14" s="721" t="s">
        <v>53</v>
      </c>
      <c r="N14" s="722"/>
      <c r="O14" s="26"/>
      <c r="P14" s="289" t="s">
        <v>10</v>
      </c>
      <c r="Q14" s="15"/>
    </row>
    <row r="15" spans="1:25" s="9" customFormat="1" ht="45" customHeight="1">
      <c r="A15" s="20"/>
      <c r="B15" s="740" t="s">
        <v>52</v>
      </c>
      <c r="C15" s="741"/>
      <c r="D15" s="706" t="s">
        <v>51</v>
      </c>
      <c r="E15" s="707"/>
      <c r="F15" s="44"/>
      <c r="G15" s="725" t="s">
        <v>7</v>
      </c>
      <c r="H15" s="722"/>
      <c r="I15" s="45"/>
      <c r="J15" s="725" t="s">
        <v>50</v>
      </c>
      <c r="K15" s="722"/>
      <c r="L15" s="45"/>
      <c r="M15" s="721" t="s">
        <v>49</v>
      </c>
      <c r="N15" s="722"/>
      <c r="O15" s="26"/>
      <c r="P15" s="289" t="s">
        <v>10</v>
      </c>
      <c r="Q15" s="15"/>
    </row>
    <row r="16" spans="1:25" s="9" customFormat="1" ht="45" customHeight="1">
      <c r="A16" s="20"/>
      <c r="B16" s="740" t="s">
        <v>47</v>
      </c>
      <c r="C16" s="741"/>
      <c r="D16" s="706" t="s">
        <v>46</v>
      </c>
      <c r="E16" s="707"/>
      <c r="F16" s="44"/>
      <c r="G16" s="725" t="s">
        <v>7</v>
      </c>
      <c r="H16" s="722"/>
      <c r="I16" s="45"/>
      <c r="J16" s="721" t="s">
        <v>45</v>
      </c>
      <c r="K16" s="722"/>
      <c r="L16" s="45"/>
      <c r="M16" s="725" t="s">
        <v>44</v>
      </c>
      <c r="N16" s="722"/>
      <c r="O16" s="26"/>
      <c r="P16" s="289" t="s">
        <v>48</v>
      </c>
      <c r="Q16" s="15"/>
      <c r="S16" s="29"/>
    </row>
    <row r="17" spans="1:17" s="9" customFormat="1" ht="57" customHeight="1">
      <c r="A17" s="20"/>
      <c r="B17" s="740" t="s">
        <v>43</v>
      </c>
      <c r="C17" s="741"/>
      <c r="D17" s="706" t="s">
        <v>42</v>
      </c>
      <c r="E17" s="707"/>
      <c r="F17" s="44"/>
      <c r="G17" s="725" t="s">
        <v>7</v>
      </c>
      <c r="H17" s="722"/>
      <c r="I17" s="45"/>
      <c r="J17" s="721" t="s">
        <v>41</v>
      </c>
      <c r="K17" s="722"/>
      <c r="L17" s="45"/>
      <c r="M17" s="725" t="s">
        <v>40</v>
      </c>
      <c r="N17" s="722"/>
      <c r="O17" s="26"/>
      <c r="P17" s="289" t="s">
        <v>15</v>
      </c>
      <c r="Q17" s="15"/>
    </row>
    <row r="18" spans="1:17" s="9" customFormat="1" ht="57.75" customHeight="1">
      <c r="A18" s="20"/>
      <c r="B18" s="740" t="s">
        <v>39</v>
      </c>
      <c r="C18" s="741"/>
      <c r="D18" s="706" t="s">
        <v>38</v>
      </c>
      <c r="E18" s="707"/>
      <c r="F18" s="44"/>
      <c r="G18" s="725" t="s">
        <v>7</v>
      </c>
      <c r="H18" s="722"/>
      <c r="I18" s="45"/>
      <c r="J18" s="721" t="s">
        <v>37</v>
      </c>
      <c r="K18" s="722"/>
      <c r="L18" s="45"/>
      <c r="M18" s="725" t="s">
        <v>36</v>
      </c>
      <c r="N18" s="722"/>
      <c r="O18" s="26"/>
      <c r="P18" s="289" t="s">
        <v>15</v>
      </c>
      <c r="Q18" s="15"/>
    </row>
    <row r="19" spans="1:17" s="9" customFormat="1" ht="45" customHeight="1">
      <c r="A19" s="20"/>
      <c r="B19" s="700" t="s">
        <v>35</v>
      </c>
      <c r="C19" s="27" t="s">
        <v>34</v>
      </c>
      <c r="D19" s="706" t="s">
        <v>33</v>
      </c>
      <c r="E19" s="707"/>
      <c r="F19" s="44"/>
      <c r="G19" s="725" t="s">
        <v>7</v>
      </c>
      <c r="H19" s="722"/>
      <c r="I19" s="45"/>
      <c r="J19" s="721" t="s">
        <v>32</v>
      </c>
      <c r="K19" s="722"/>
      <c r="L19" s="45"/>
      <c r="M19" s="721" t="s">
        <v>28</v>
      </c>
      <c r="N19" s="722"/>
      <c r="O19" s="26"/>
      <c r="P19" s="289" t="s">
        <v>15</v>
      </c>
      <c r="Q19" s="15"/>
    </row>
    <row r="20" spans="1:17" s="9" customFormat="1" ht="45" customHeight="1">
      <c r="A20" s="20"/>
      <c r="B20" s="701"/>
      <c r="C20" s="27" t="s">
        <v>31</v>
      </c>
      <c r="D20" s="706" t="s">
        <v>30</v>
      </c>
      <c r="E20" s="707"/>
      <c r="F20" s="44"/>
      <c r="G20" s="725" t="s">
        <v>7</v>
      </c>
      <c r="H20" s="722"/>
      <c r="I20" s="45"/>
      <c r="J20" s="721" t="s">
        <v>29</v>
      </c>
      <c r="K20" s="722"/>
      <c r="L20" s="45"/>
      <c r="M20" s="721" t="s">
        <v>28</v>
      </c>
      <c r="N20" s="722"/>
      <c r="O20" s="26"/>
      <c r="P20" s="289" t="s">
        <v>15</v>
      </c>
      <c r="Q20" s="15"/>
    </row>
    <row r="21" spans="1:17" s="9" customFormat="1" ht="45" customHeight="1">
      <c r="A21" s="20"/>
      <c r="B21" s="700" t="s">
        <v>27</v>
      </c>
      <c r="C21" s="27" t="s">
        <v>26</v>
      </c>
      <c r="D21" s="706" t="s">
        <v>25</v>
      </c>
      <c r="E21" s="707"/>
      <c r="F21" s="44"/>
      <c r="G21" s="725" t="s">
        <v>7</v>
      </c>
      <c r="H21" s="722"/>
      <c r="I21" s="45"/>
      <c r="J21" s="721" t="s">
        <v>22</v>
      </c>
      <c r="K21" s="722"/>
      <c r="L21" s="45"/>
      <c r="M21" s="721" t="s">
        <v>21</v>
      </c>
      <c r="N21" s="722"/>
      <c r="O21" s="26"/>
      <c r="P21" s="289" t="s">
        <v>15</v>
      </c>
      <c r="Q21" s="15"/>
    </row>
    <row r="22" spans="1:17" s="9" customFormat="1" ht="45" customHeight="1">
      <c r="A22" s="20"/>
      <c r="B22" s="701"/>
      <c r="C22" s="27" t="s">
        <v>24</v>
      </c>
      <c r="D22" s="706" t="s">
        <v>23</v>
      </c>
      <c r="E22" s="707"/>
      <c r="F22" s="44"/>
      <c r="G22" s="725" t="s">
        <v>7</v>
      </c>
      <c r="H22" s="722"/>
      <c r="I22" s="45"/>
      <c r="J22" s="721" t="s">
        <v>22</v>
      </c>
      <c r="K22" s="722"/>
      <c r="L22" s="45"/>
      <c r="M22" s="721" t="s">
        <v>21</v>
      </c>
      <c r="N22" s="722"/>
      <c r="O22" s="26"/>
      <c r="P22" s="289" t="s">
        <v>15</v>
      </c>
      <c r="Q22" s="15"/>
    </row>
    <row r="23" spans="1:17" s="9" customFormat="1" ht="45" customHeight="1">
      <c r="A23" s="20"/>
      <c r="B23" s="700" t="s">
        <v>20</v>
      </c>
      <c r="C23" s="27" t="s">
        <v>19</v>
      </c>
      <c r="D23" s="706" t="s">
        <v>18</v>
      </c>
      <c r="E23" s="707"/>
      <c r="F23" s="44"/>
      <c r="G23" s="725" t="s">
        <v>7</v>
      </c>
      <c r="H23" s="722"/>
      <c r="I23" s="45"/>
      <c r="J23" s="721" t="s">
        <v>17</v>
      </c>
      <c r="K23" s="722"/>
      <c r="L23" s="45"/>
      <c r="M23" s="721" t="s">
        <v>16</v>
      </c>
      <c r="N23" s="722"/>
      <c r="O23" s="26"/>
      <c r="P23" s="289" t="s">
        <v>15</v>
      </c>
      <c r="Q23" s="15"/>
    </row>
    <row r="24" spans="1:17" s="9" customFormat="1" ht="45" customHeight="1">
      <c r="A24" s="20"/>
      <c r="B24" s="701"/>
      <c r="C24" s="27" t="s">
        <v>14</v>
      </c>
      <c r="D24" s="706" t="s">
        <v>13</v>
      </c>
      <c r="E24" s="707"/>
      <c r="F24" s="44"/>
      <c r="G24" s="725" t="s">
        <v>7</v>
      </c>
      <c r="H24" s="722"/>
      <c r="I24" s="45"/>
      <c r="J24" s="721" t="s">
        <v>12</v>
      </c>
      <c r="K24" s="722"/>
      <c r="L24" s="45"/>
      <c r="M24" s="721" t="s">
        <v>11</v>
      </c>
      <c r="N24" s="722"/>
      <c r="O24" s="26"/>
      <c r="P24" s="289" t="s">
        <v>10</v>
      </c>
      <c r="Q24" s="15"/>
    </row>
    <row r="25" spans="1:17" s="9" customFormat="1" ht="51" customHeight="1">
      <c r="A25" s="20"/>
      <c r="B25" s="28" t="s">
        <v>9</v>
      </c>
      <c r="C25" s="27"/>
      <c r="D25" s="738" t="s">
        <v>8</v>
      </c>
      <c r="E25" s="739"/>
      <c r="F25" s="44"/>
      <c r="G25" s="725" t="s">
        <v>7</v>
      </c>
      <c r="H25" s="722"/>
      <c r="I25" s="45"/>
      <c r="J25" s="721" t="s">
        <v>6</v>
      </c>
      <c r="K25" s="722"/>
      <c r="L25" s="45"/>
      <c r="M25" s="721" t="s">
        <v>5</v>
      </c>
      <c r="N25" s="722"/>
      <c r="O25" s="26"/>
      <c r="P25" s="289" t="s">
        <v>4</v>
      </c>
      <c r="Q25" s="15"/>
    </row>
    <row r="26" spans="1:17" s="9" customFormat="1" ht="24.75" customHeight="1">
      <c r="A26" s="20"/>
      <c r="B26" s="25"/>
      <c r="C26" s="25"/>
      <c r="D26" s="24"/>
      <c r="E26" s="24"/>
      <c r="G26" s="22"/>
      <c r="H26" s="22"/>
      <c r="J26" s="22"/>
      <c r="K26" s="22"/>
      <c r="M26" s="22"/>
      <c r="N26" s="22"/>
      <c r="O26" s="22"/>
      <c r="P26" s="23"/>
      <c r="Q26" s="15"/>
    </row>
    <row r="27" spans="1:17" s="9" customFormat="1" ht="24.75" customHeight="1" thickBot="1">
      <c r="A27" s="20"/>
      <c r="B27" s="19"/>
      <c r="C27" s="19"/>
      <c r="D27" s="19"/>
      <c r="E27" s="19"/>
      <c r="F27" s="18"/>
      <c r="G27" s="18"/>
      <c r="H27" s="18"/>
      <c r="J27" s="17"/>
      <c r="K27" s="17"/>
      <c r="L27" s="17"/>
      <c r="N27" s="16" t="s">
        <v>3</v>
      </c>
      <c r="O27" s="22">
        <f>SUM(O13:O25)</f>
        <v>0</v>
      </c>
      <c r="P27" s="21" t="s">
        <v>2</v>
      </c>
      <c r="Q27" s="15"/>
    </row>
    <row r="28" spans="1:17" s="9" customFormat="1" ht="42" customHeight="1" thickBot="1">
      <c r="A28" s="20"/>
      <c r="B28" s="19"/>
      <c r="C28" s="19"/>
      <c r="D28" s="19"/>
      <c r="E28" s="19"/>
      <c r="F28" s="18"/>
      <c r="G28" s="18"/>
      <c r="H28" s="18"/>
      <c r="I28" s="17"/>
      <c r="J28" s="17"/>
      <c r="K28" s="17"/>
      <c r="L28" s="17"/>
      <c r="N28" s="16" t="s">
        <v>1</v>
      </c>
      <c r="O28" s="736">
        <f>O27/100</f>
        <v>0</v>
      </c>
      <c r="P28" s="737"/>
      <c r="Q28" s="15"/>
    </row>
    <row r="29" spans="1:17" s="9" customFormat="1" ht="13.8" thickBot="1">
      <c r="A29" s="14"/>
      <c r="B29" s="13"/>
      <c r="C29" s="13"/>
      <c r="D29" s="11"/>
      <c r="E29" s="11"/>
      <c r="F29" s="11"/>
      <c r="G29" s="11"/>
      <c r="H29" s="11"/>
      <c r="I29" s="11"/>
      <c r="J29" s="11"/>
      <c r="K29" s="11"/>
      <c r="L29" s="11"/>
      <c r="M29" s="12"/>
      <c r="N29" s="12"/>
      <c r="O29" s="12"/>
      <c r="P29" s="11"/>
      <c r="Q29" s="10"/>
    </row>
    <row r="31" spans="1:17" ht="13.8" thickBot="1"/>
    <row r="32" spans="1:17">
      <c r="A32" s="8"/>
      <c r="B32" s="7"/>
      <c r="C32" s="7"/>
      <c r="D32" s="6"/>
      <c r="E32" s="6"/>
      <c r="F32" s="6"/>
      <c r="G32" s="6"/>
      <c r="H32" s="6"/>
      <c r="I32" s="6"/>
      <c r="J32" s="6"/>
      <c r="K32" s="6"/>
      <c r="L32" s="6"/>
      <c r="M32" s="6"/>
      <c r="N32" s="6"/>
      <c r="O32" s="6"/>
      <c r="P32" s="6"/>
      <c r="Q32" s="5"/>
    </row>
    <row r="33" spans="1:17" ht="15.6">
      <c r="A33" s="4" t="s">
        <v>0</v>
      </c>
      <c r="Q33" s="3"/>
    </row>
    <row r="34" spans="1:17">
      <c r="A34" s="730"/>
      <c r="B34" s="731"/>
      <c r="C34" s="731"/>
      <c r="D34" s="731"/>
      <c r="E34" s="731"/>
      <c r="F34" s="731"/>
      <c r="G34" s="731"/>
      <c r="H34" s="731"/>
      <c r="I34" s="731"/>
      <c r="J34" s="731"/>
      <c r="K34" s="731"/>
      <c r="L34" s="731"/>
      <c r="M34" s="731"/>
      <c r="N34" s="731"/>
      <c r="O34" s="731"/>
      <c r="P34" s="731"/>
      <c r="Q34" s="732"/>
    </row>
    <row r="35" spans="1:17">
      <c r="A35" s="730"/>
      <c r="B35" s="731"/>
      <c r="C35" s="731"/>
      <c r="D35" s="731"/>
      <c r="E35" s="731"/>
      <c r="F35" s="731"/>
      <c r="G35" s="731"/>
      <c r="H35" s="731"/>
      <c r="I35" s="731"/>
      <c r="J35" s="731"/>
      <c r="K35" s="731"/>
      <c r="L35" s="731"/>
      <c r="M35" s="731"/>
      <c r="N35" s="731"/>
      <c r="O35" s="731"/>
      <c r="P35" s="731"/>
      <c r="Q35" s="732"/>
    </row>
    <row r="36" spans="1:17">
      <c r="A36" s="730"/>
      <c r="B36" s="731"/>
      <c r="C36" s="731"/>
      <c r="D36" s="731"/>
      <c r="E36" s="731"/>
      <c r="F36" s="731"/>
      <c r="G36" s="731"/>
      <c r="H36" s="731"/>
      <c r="I36" s="731"/>
      <c r="J36" s="731"/>
      <c r="K36" s="731"/>
      <c r="L36" s="731"/>
      <c r="M36" s="731"/>
      <c r="N36" s="731"/>
      <c r="O36" s="731"/>
      <c r="P36" s="731"/>
      <c r="Q36" s="732"/>
    </row>
    <row r="37" spans="1:17">
      <c r="A37" s="730"/>
      <c r="B37" s="731"/>
      <c r="C37" s="731"/>
      <c r="D37" s="731"/>
      <c r="E37" s="731"/>
      <c r="F37" s="731"/>
      <c r="G37" s="731"/>
      <c r="H37" s="731"/>
      <c r="I37" s="731"/>
      <c r="J37" s="731"/>
      <c r="K37" s="731"/>
      <c r="L37" s="731"/>
      <c r="M37" s="731"/>
      <c r="N37" s="731"/>
      <c r="O37" s="731"/>
      <c r="P37" s="731"/>
      <c r="Q37" s="732"/>
    </row>
    <row r="38" spans="1:17">
      <c r="A38" s="730"/>
      <c r="B38" s="731"/>
      <c r="C38" s="731"/>
      <c r="D38" s="731"/>
      <c r="E38" s="731"/>
      <c r="F38" s="731"/>
      <c r="G38" s="731"/>
      <c r="H38" s="731"/>
      <c r="I38" s="731"/>
      <c r="J38" s="731"/>
      <c r="K38" s="731"/>
      <c r="L38" s="731"/>
      <c r="M38" s="731"/>
      <c r="N38" s="731"/>
      <c r="O38" s="731"/>
      <c r="P38" s="731"/>
      <c r="Q38" s="732"/>
    </row>
    <row r="39" spans="1:17">
      <c r="A39" s="730"/>
      <c r="B39" s="731"/>
      <c r="C39" s="731"/>
      <c r="D39" s="731"/>
      <c r="E39" s="731"/>
      <c r="F39" s="731"/>
      <c r="G39" s="731"/>
      <c r="H39" s="731"/>
      <c r="I39" s="731"/>
      <c r="J39" s="731"/>
      <c r="K39" s="731"/>
      <c r="L39" s="731"/>
      <c r="M39" s="731"/>
      <c r="N39" s="731"/>
      <c r="O39" s="731"/>
      <c r="P39" s="731"/>
      <c r="Q39" s="732"/>
    </row>
    <row r="40" spans="1:17">
      <c r="A40" s="730"/>
      <c r="B40" s="731"/>
      <c r="C40" s="731"/>
      <c r="D40" s="731"/>
      <c r="E40" s="731"/>
      <c r="F40" s="731"/>
      <c r="G40" s="731"/>
      <c r="H40" s="731"/>
      <c r="I40" s="731"/>
      <c r="J40" s="731"/>
      <c r="K40" s="731"/>
      <c r="L40" s="731"/>
      <c r="M40" s="731"/>
      <c r="N40" s="731"/>
      <c r="O40" s="731"/>
      <c r="P40" s="731"/>
      <c r="Q40" s="732"/>
    </row>
    <row r="41" spans="1:17">
      <c r="A41" s="730"/>
      <c r="B41" s="731"/>
      <c r="C41" s="731"/>
      <c r="D41" s="731"/>
      <c r="E41" s="731"/>
      <c r="F41" s="731"/>
      <c r="G41" s="731"/>
      <c r="H41" s="731"/>
      <c r="I41" s="731"/>
      <c r="J41" s="731"/>
      <c r="K41" s="731"/>
      <c r="L41" s="731"/>
      <c r="M41" s="731"/>
      <c r="N41" s="731"/>
      <c r="O41" s="731"/>
      <c r="P41" s="731"/>
      <c r="Q41" s="732"/>
    </row>
    <row r="42" spans="1:17">
      <c r="A42" s="730"/>
      <c r="B42" s="731"/>
      <c r="C42" s="731"/>
      <c r="D42" s="731"/>
      <c r="E42" s="731"/>
      <c r="F42" s="731"/>
      <c r="G42" s="731"/>
      <c r="H42" s="731"/>
      <c r="I42" s="731"/>
      <c r="J42" s="731"/>
      <c r="K42" s="731"/>
      <c r="L42" s="731"/>
      <c r="M42" s="731"/>
      <c r="N42" s="731"/>
      <c r="O42" s="731"/>
      <c r="P42" s="731"/>
      <c r="Q42" s="732"/>
    </row>
    <row r="43" spans="1:17">
      <c r="A43" s="730"/>
      <c r="B43" s="731"/>
      <c r="C43" s="731"/>
      <c r="D43" s="731"/>
      <c r="E43" s="731"/>
      <c r="F43" s="731"/>
      <c r="G43" s="731"/>
      <c r="H43" s="731"/>
      <c r="I43" s="731"/>
      <c r="J43" s="731"/>
      <c r="K43" s="731"/>
      <c r="L43" s="731"/>
      <c r="M43" s="731"/>
      <c r="N43" s="731"/>
      <c r="O43" s="731"/>
      <c r="P43" s="731"/>
      <c r="Q43" s="732"/>
    </row>
    <row r="44" spans="1:17">
      <c r="A44" s="730"/>
      <c r="B44" s="731"/>
      <c r="C44" s="731"/>
      <c r="D44" s="731"/>
      <c r="E44" s="731"/>
      <c r="F44" s="731"/>
      <c r="G44" s="731"/>
      <c r="H44" s="731"/>
      <c r="I44" s="731"/>
      <c r="J44" s="731"/>
      <c r="K44" s="731"/>
      <c r="L44" s="731"/>
      <c r="M44" s="731"/>
      <c r="N44" s="731"/>
      <c r="O44" s="731"/>
      <c r="P44" s="731"/>
      <c r="Q44" s="732"/>
    </row>
    <row r="45" spans="1:17">
      <c r="A45" s="730"/>
      <c r="B45" s="731"/>
      <c r="C45" s="731"/>
      <c r="D45" s="731"/>
      <c r="E45" s="731"/>
      <c r="F45" s="731"/>
      <c r="G45" s="731"/>
      <c r="H45" s="731"/>
      <c r="I45" s="731"/>
      <c r="J45" s="731"/>
      <c r="K45" s="731"/>
      <c r="L45" s="731"/>
      <c r="M45" s="731"/>
      <c r="N45" s="731"/>
      <c r="O45" s="731"/>
      <c r="P45" s="731"/>
      <c r="Q45" s="732"/>
    </row>
    <row r="46" spans="1:17">
      <c r="A46" s="730"/>
      <c r="B46" s="731"/>
      <c r="C46" s="731"/>
      <c r="D46" s="731"/>
      <c r="E46" s="731"/>
      <c r="F46" s="731"/>
      <c r="G46" s="731"/>
      <c r="H46" s="731"/>
      <c r="I46" s="731"/>
      <c r="J46" s="731"/>
      <c r="K46" s="731"/>
      <c r="L46" s="731"/>
      <c r="M46" s="731"/>
      <c r="N46" s="731"/>
      <c r="O46" s="731"/>
      <c r="P46" s="731"/>
      <c r="Q46" s="732"/>
    </row>
    <row r="47" spans="1:17">
      <c r="A47" s="730"/>
      <c r="B47" s="731"/>
      <c r="C47" s="731"/>
      <c r="D47" s="731"/>
      <c r="E47" s="731"/>
      <c r="F47" s="731"/>
      <c r="G47" s="731"/>
      <c r="H47" s="731"/>
      <c r="I47" s="731"/>
      <c r="J47" s="731"/>
      <c r="K47" s="731"/>
      <c r="L47" s="731"/>
      <c r="M47" s="731"/>
      <c r="N47" s="731"/>
      <c r="O47" s="731"/>
      <c r="P47" s="731"/>
      <c r="Q47" s="732"/>
    </row>
    <row r="48" spans="1:17">
      <c r="A48" s="730"/>
      <c r="B48" s="731"/>
      <c r="C48" s="731"/>
      <c r="D48" s="731"/>
      <c r="E48" s="731"/>
      <c r="F48" s="731"/>
      <c r="G48" s="731"/>
      <c r="H48" s="731"/>
      <c r="I48" s="731"/>
      <c r="J48" s="731"/>
      <c r="K48" s="731"/>
      <c r="L48" s="731"/>
      <c r="M48" s="731"/>
      <c r="N48" s="731"/>
      <c r="O48" s="731"/>
      <c r="P48" s="731"/>
      <c r="Q48" s="732"/>
    </row>
    <row r="49" spans="1:17" ht="13.8" thickBot="1">
      <c r="A49" s="733"/>
      <c r="B49" s="734"/>
      <c r="C49" s="734"/>
      <c r="D49" s="734"/>
      <c r="E49" s="734"/>
      <c r="F49" s="734"/>
      <c r="G49" s="734"/>
      <c r="H49" s="734"/>
      <c r="I49" s="734"/>
      <c r="J49" s="734"/>
      <c r="K49" s="734"/>
      <c r="L49" s="734"/>
      <c r="M49" s="734"/>
      <c r="N49" s="734"/>
      <c r="O49" s="734"/>
      <c r="P49" s="734"/>
      <c r="Q49" s="735"/>
    </row>
  </sheetData>
  <mergeCells count="84">
    <mergeCell ref="G22:H22"/>
    <mergeCell ref="J22:K22"/>
    <mergeCell ref="M22:N22"/>
    <mergeCell ref="B21:B22"/>
    <mergeCell ref="D20:E20"/>
    <mergeCell ref="G20:H20"/>
    <mergeCell ref="J20:K20"/>
    <mergeCell ref="D22:E22"/>
    <mergeCell ref="M20:N20"/>
    <mergeCell ref="D21:E21"/>
    <mergeCell ref="G21:H21"/>
    <mergeCell ref="J21:K21"/>
    <mergeCell ref="M21:N21"/>
    <mergeCell ref="B15:C15"/>
    <mergeCell ref="B16:C16"/>
    <mergeCell ref="B17:C17"/>
    <mergeCell ref="B18:C18"/>
    <mergeCell ref="B19:B20"/>
    <mergeCell ref="A34:Q49"/>
    <mergeCell ref="D23:E23"/>
    <mergeCell ref="G23:H23"/>
    <mergeCell ref="J23:K23"/>
    <mergeCell ref="M23:N23"/>
    <mergeCell ref="D24:E24"/>
    <mergeCell ref="O28:P28"/>
    <mergeCell ref="B23:B24"/>
    <mergeCell ref="G24:H24"/>
    <mergeCell ref="J24:K24"/>
    <mergeCell ref="M24:N24"/>
    <mergeCell ref="D25:E25"/>
    <mergeCell ref="G25:H25"/>
    <mergeCell ref="J25:K25"/>
    <mergeCell ref="M25:N25"/>
    <mergeCell ref="D18:E18"/>
    <mergeCell ref="G18:H18"/>
    <mergeCell ref="J18:K18"/>
    <mergeCell ref="M18:N18"/>
    <mergeCell ref="D19:E19"/>
    <mergeCell ref="G19:H19"/>
    <mergeCell ref="J19:K19"/>
    <mergeCell ref="M19:N19"/>
    <mergeCell ref="M15:N15"/>
    <mergeCell ref="D16:E16"/>
    <mergeCell ref="G16:H16"/>
    <mergeCell ref="J16:K16"/>
    <mergeCell ref="M16:N16"/>
    <mergeCell ref="D17:E17"/>
    <mergeCell ref="G17:H17"/>
    <mergeCell ref="J17:K17"/>
    <mergeCell ref="M17:N17"/>
    <mergeCell ref="D12:E12"/>
    <mergeCell ref="F12:H12"/>
    <mergeCell ref="I12:K12"/>
    <mergeCell ref="D15:E15"/>
    <mergeCell ref="G15:H15"/>
    <mergeCell ref="J15:K15"/>
    <mergeCell ref="G13:H13"/>
    <mergeCell ref="J13:K13"/>
    <mergeCell ref="M13:N13"/>
    <mergeCell ref="D14:E14"/>
    <mergeCell ref="G14:H14"/>
    <mergeCell ref="J14:K14"/>
    <mergeCell ref="B13:B14"/>
    <mergeCell ref="B7:D9"/>
    <mergeCell ref="E7:E9"/>
    <mergeCell ref="F7:G9"/>
    <mergeCell ref="O12:P12"/>
    <mergeCell ref="D13:E13"/>
    <mergeCell ref="L12:N12"/>
    <mergeCell ref="L7:M9"/>
    <mergeCell ref="O9:P9"/>
    <mergeCell ref="O7:P7"/>
    <mergeCell ref="B12:C12"/>
    <mergeCell ref="M14:N14"/>
    <mergeCell ref="O8:P8"/>
    <mergeCell ref="H7:H9"/>
    <mergeCell ref="I7:J9"/>
    <mergeCell ref="K7:K9"/>
    <mergeCell ref="B2:P2"/>
    <mergeCell ref="B5:D5"/>
    <mergeCell ref="F5:G5"/>
    <mergeCell ref="I5:J5"/>
    <mergeCell ref="L5:M5"/>
    <mergeCell ref="N5:P5"/>
  </mergeCells>
  <conditionalFormatting sqref="O28:P28">
    <cfRule type="cellIs" dxfId="2" priority="1" operator="between">
      <formula>0.8</formula>
      <formula>0.89</formula>
    </cfRule>
    <cfRule type="cellIs" dxfId="1" priority="2" stopIfTrue="1" operator="greaterThanOrEqual">
      <formula>0.9</formula>
    </cfRule>
    <cfRule type="cellIs" dxfId="0" priority="3" stopIfTrue="1" operator="lessThan">
      <formula>0.8</formula>
    </cfRule>
  </conditionalFormatting>
  <dataValidations count="1">
    <dataValidation type="list" allowBlank="1" showInputMessage="1" showErrorMessage="1" sqref="O7:P9" xr:uid="{00000000-0002-0000-0700-000000000000}">
      <formula1>$Y$2:$Y$3</formula1>
    </dataValidation>
  </dataValidations>
  <pageMargins left="0.47244094488188981" right="0.43307086614173229" top="0.62992125984251968" bottom="0.6692913385826772" header="0.31496062992125984" footer="0.51181102362204722"/>
  <pageSetup paperSize="9" scale="48" orientation="portrait" r:id="rId1"/>
  <headerFooter alignWithMargins="0">
    <oddFooter>&amp;LFM L4 01 Rev.1</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6" r:id="rId4" name="Option Button 2">
              <controlPr defaultSize="0" autoFill="0" autoLine="0" autoPict="0" macro="[0]!D1bNG">
                <anchor moveWithCells="1">
                  <from>
                    <xdr:col>5</xdr:col>
                    <xdr:colOff>137160</xdr:colOff>
                    <xdr:row>12</xdr:row>
                    <xdr:rowOff>198120</xdr:rowOff>
                  </from>
                  <to>
                    <xdr:col>5</xdr:col>
                    <xdr:colOff>487680</xdr:colOff>
                    <xdr:row>12</xdr:row>
                    <xdr:rowOff>419100</xdr:rowOff>
                  </to>
                </anchor>
              </controlPr>
            </control>
          </mc:Choice>
        </mc:AlternateContent>
        <mc:AlternateContent xmlns:mc="http://schemas.openxmlformats.org/markup-compatibility/2006">
          <mc:Choice Requires="x14">
            <control shapeId="1027" r:id="rId5" name="Option Button 3">
              <controlPr defaultSize="0" autoFill="0" autoLine="0" autoPict="0" macro="[0]!D1bOK">
                <anchor moveWithCells="1">
                  <from>
                    <xdr:col>8</xdr:col>
                    <xdr:colOff>137160</xdr:colOff>
                    <xdr:row>12</xdr:row>
                    <xdr:rowOff>198120</xdr:rowOff>
                  </from>
                  <to>
                    <xdr:col>9</xdr:col>
                    <xdr:colOff>60960</xdr:colOff>
                    <xdr:row>12</xdr:row>
                    <xdr:rowOff>419100</xdr:rowOff>
                  </to>
                </anchor>
              </controlPr>
            </control>
          </mc:Choice>
        </mc:AlternateContent>
        <mc:AlternateContent xmlns:mc="http://schemas.openxmlformats.org/markup-compatibility/2006">
          <mc:Choice Requires="x14">
            <control shapeId="1028" r:id="rId6" name="Option Button 4">
              <controlPr defaultSize="0" autoFill="0" autoLine="0" autoPict="0" macro="[0]!D1bBONUS">
                <anchor moveWithCells="1">
                  <from>
                    <xdr:col>11</xdr:col>
                    <xdr:colOff>137160</xdr:colOff>
                    <xdr:row>12</xdr:row>
                    <xdr:rowOff>198120</xdr:rowOff>
                  </from>
                  <to>
                    <xdr:col>11</xdr:col>
                    <xdr:colOff>487680</xdr:colOff>
                    <xdr:row>12</xdr:row>
                    <xdr:rowOff>419100</xdr:rowOff>
                  </to>
                </anchor>
              </controlPr>
            </control>
          </mc:Choice>
        </mc:AlternateContent>
        <mc:AlternateContent xmlns:mc="http://schemas.openxmlformats.org/markup-compatibility/2006">
          <mc:Choice Requires="x14">
            <control shapeId="1029" r:id="rId7" name="Group Box 5">
              <controlPr defaultSize="0" autoFill="0" autoPict="0">
                <anchor moveWithCells="1">
                  <from>
                    <xdr:col>5</xdr:col>
                    <xdr:colOff>0</xdr:colOff>
                    <xdr:row>13</xdr:row>
                    <xdr:rowOff>0</xdr:rowOff>
                  </from>
                  <to>
                    <xdr:col>14</xdr:col>
                    <xdr:colOff>7620</xdr:colOff>
                    <xdr:row>14</xdr:row>
                    <xdr:rowOff>0</xdr:rowOff>
                  </to>
                </anchor>
              </controlPr>
            </control>
          </mc:Choice>
        </mc:AlternateContent>
        <mc:AlternateContent xmlns:mc="http://schemas.openxmlformats.org/markup-compatibility/2006">
          <mc:Choice Requires="x14">
            <control shapeId="1030" r:id="rId8" name="Group Box 6">
              <controlPr defaultSize="0" autoFill="0" autoPict="0">
                <anchor moveWithCells="1">
                  <from>
                    <xdr:col>5</xdr:col>
                    <xdr:colOff>0</xdr:colOff>
                    <xdr:row>15</xdr:row>
                    <xdr:rowOff>0</xdr:rowOff>
                  </from>
                  <to>
                    <xdr:col>14</xdr:col>
                    <xdr:colOff>7620</xdr:colOff>
                    <xdr:row>16</xdr:row>
                    <xdr:rowOff>0</xdr:rowOff>
                  </to>
                </anchor>
              </controlPr>
            </control>
          </mc:Choice>
        </mc:AlternateContent>
        <mc:AlternateContent xmlns:mc="http://schemas.openxmlformats.org/markup-compatibility/2006">
          <mc:Choice Requires="x14">
            <control shapeId="1031" r:id="rId9" name="Group Box 7">
              <controlPr defaultSize="0" autoFill="0" autoPict="0">
                <anchor moveWithCells="1">
                  <from>
                    <xdr:col>5</xdr:col>
                    <xdr:colOff>0</xdr:colOff>
                    <xdr:row>14</xdr:row>
                    <xdr:rowOff>0</xdr:rowOff>
                  </from>
                  <to>
                    <xdr:col>14</xdr:col>
                    <xdr:colOff>7620</xdr:colOff>
                    <xdr:row>15</xdr:row>
                    <xdr:rowOff>0</xdr:rowOff>
                  </to>
                </anchor>
              </controlPr>
            </control>
          </mc:Choice>
        </mc:AlternateContent>
        <mc:AlternateContent xmlns:mc="http://schemas.openxmlformats.org/markup-compatibility/2006">
          <mc:Choice Requires="x14">
            <control shapeId="1032" r:id="rId10" name="Group Box 8">
              <controlPr defaultSize="0" autoFill="0" autoPict="0">
                <anchor moveWithCells="1">
                  <from>
                    <xdr:col>5</xdr:col>
                    <xdr:colOff>0</xdr:colOff>
                    <xdr:row>16</xdr:row>
                    <xdr:rowOff>0</xdr:rowOff>
                  </from>
                  <to>
                    <xdr:col>14</xdr:col>
                    <xdr:colOff>7620</xdr:colOff>
                    <xdr:row>17</xdr:row>
                    <xdr:rowOff>0</xdr:rowOff>
                  </to>
                </anchor>
              </controlPr>
            </control>
          </mc:Choice>
        </mc:AlternateContent>
        <mc:AlternateContent xmlns:mc="http://schemas.openxmlformats.org/markup-compatibility/2006">
          <mc:Choice Requires="x14">
            <control shapeId="1033" r:id="rId11" name="Group Box 9">
              <controlPr defaultSize="0" autoFill="0" autoPict="0">
                <anchor moveWithCells="1">
                  <from>
                    <xdr:col>5</xdr:col>
                    <xdr:colOff>0</xdr:colOff>
                    <xdr:row>18</xdr:row>
                    <xdr:rowOff>0</xdr:rowOff>
                  </from>
                  <to>
                    <xdr:col>14</xdr:col>
                    <xdr:colOff>7620</xdr:colOff>
                    <xdr:row>19</xdr:row>
                    <xdr:rowOff>0</xdr:rowOff>
                  </to>
                </anchor>
              </controlPr>
            </control>
          </mc:Choice>
        </mc:AlternateContent>
        <mc:AlternateContent xmlns:mc="http://schemas.openxmlformats.org/markup-compatibility/2006">
          <mc:Choice Requires="x14">
            <control shapeId="1034" r:id="rId12" name="Group Box 10">
              <controlPr defaultSize="0" autoFill="0" autoPict="0">
                <anchor moveWithCells="1">
                  <from>
                    <xdr:col>5</xdr:col>
                    <xdr:colOff>0</xdr:colOff>
                    <xdr:row>19</xdr:row>
                    <xdr:rowOff>0</xdr:rowOff>
                  </from>
                  <to>
                    <xdr:col>14</xdr:col>
                    <xdr:colOff>7620</xdr:colOff>
                    <xdr:row>20</xdr:row>
                    <xdr:rowOff>0</xdr:rowOff>
                  </to>
                </anchor>
              </controlPr>
            </control>
          </mc:Choice>
        </mc:AlternateContent>
        <mc:AlternateContent xmlns:mc="http://schemas.openxmlformats.org/markup-compatibility/2006">
          <mc:Choice Requires="x14">
            <control shapeId="1035" r:id="rId13" name="Group Box 11">
              <controlPr defaultSize="0" autoFill="0" autoPict="0">
                <anchor moveWithCells="1">
                  <from>
                    <xdr:col>5</xdr:col>
                    <xdr:colOff>0</xdr:colOff>
                    <xdr:row>20</xdr:row>
                    <xdr:rowOff>0</xdr:rowOff>
                  </from>
                  <to>
                    <xdr:col>14</xdr:col>
                    <xdr:colOff>7620</xdr:colOff>
                    <xdr:row>21</xdr:row>
                    <xdr:rowOff>0</xdr:rowOff>
                  </to>
                </anchor>
              </controlPr>
            </control>
          </mc:Choice>
        </mc:AlternateContent>
        <mc:AlternateContent xmlns:mc="http://schemas.openxmlformats.org/markup-compatibility/2006">
          <mc:Choice Requires="x14">
            <control shapeId="1036" r:id="rId14" name="Group Box 12">
              <controlPr defaultSize="0" autoFill="0" autoPict="0">
                <anchor moveWithCells="1">
                  <from>
                    <xdr:col>5</xdr:col>
                    <xdr:colOff>0</xdr:colOff>
                    <xdr:row>21</xdr:row>
                    <xdr:rowOff>0</xdr:rowOff>
                  </from>
                  <to>
                    <xdr:col>14</xdr:col>
                    <xdr:colOff>7620</xdr:colOff>
                    <xdr:row>22</xdr:row>
                    <xdr:rowOff>0</xdr:rowOff>
                  </to>
                </anchor>
              </controlPr>
            </control>
          </mc:Choice>
        </mc:AlternateContent>
        <mc:AlternateContent xmlns:mc="http://schemas.openxmlformats.org/markup-compatibility/2006">
          <mc:Choice Requires="x14">
            <control shapeId="1037" r:id="rId15" name="Group Box 13">
              <controlPr defaultSize="0" autoFill="0" autoPict="0">
                <anchor moveWithCells="1">
                  <from>
                    <xdr:col>5</xdr:col>
                    <xdr:colOff>0</xdr:colOff>
                    <xdr:row>22</xdr:row>
                    <xdr:rowOff>0</xdr:rowOff>
                  </from>
                  <to>
                    <xdr:col>14</xdr:col>
                    <xdr:colOff>7620</xdr:colOff>
                    <xdr:row>23</xdr:row>
                    <xdr:rowOff>0</xdr:rowOff>
                  </to>
                </anchor>
              </controlPr>
            </control>
          </mc:Choice>
        </mc:AlternateContent>
        <mc:AlternateContent xmlns:mc="http://schemas.openxmlformats.org/markup-compatibility/2006">
          <mc:Choice Requires="x14">
            <control shapeId="1038" r:id="rId16" name="Group Box 14">
              <controlPr defaultSize="0" autoFill="0" autoPict="0">
                <anchor moveWithCells="1">
                  <from>
                    <xdr:col>5</xdr:col>
                    <xdr:colOff>0</xdr:colOff>
                    <xdr:row>23</xdr:row>
                    <xdr:rowOff>0</xdr:rowOff>
                  </from>
                  <to>
                    <xdr:col>14</xdr:col>
                    <xdr:colOff>7620</xdr:colOff>
                    <xdr:row>23</xdr:row>
                    <xdr:rowOff>571500</xdr:rowOff>
                  </to>
                </anchor>
              </controlPr>
            </control>
          </mc:Choice>
        </mc:AlternateContent>
        <mc:AlternateContent xmlns:mc="http://schemas.openxmlformats.org/markup-compatibility/2006">
          <mc:Choice Requires="x14">
            <control shapeId="1039" r:id="rId17" name="Group Box 15">
              <controlPr defaultSize="0" autoFill="0" autoPict="0">
                <anchor moveWithCells="1">
                  <from>
                    <xdr:col>5</xdr:col>
                    <xdr:colOff>0</xdr:colOff>
                    <xdr:row>17</xdr:row>
                    <xdr:rowOff>0</xdr:rowOff>
                  </from>
                  <to>
                    <xdr:col>14</xdr:col>
                    <xdr:colOff>7620</xdr:colOff>
                    <xdr:row>18</xdr:row>
                    <xdr:rowOff>0</xdr:rowOff>
                  </to>
                </anchor>
              </controlPr>
            </control>
          </mc:Choice>
        </mc:AlternateContent>
        <mc:AlternateContent xmlns:mc="http://schemas.openxmlformats.org/markup-compatibility/2006">
          <mc:Choice Requires="x14">
            <control shapeId="1040" r:id="rId18" name="Group Box 16">
              <controlPr defaultSize="0" autoFill="0" autoPict="0">
                <anchor moveWithCells="1">
                  <from>
                    <xdr:col>5</xdr:col>
                    <xdr:colOff>0</xdr:colOff>
                    <xdr:row>23</xdr:row>
                    <xdr:rowOff>571500</xdr:rowOff>
                  </from>
                  <to>
                    <xdr:col>14</xdr:col>
                    <xdr:colOff>7620</xdr:colOff>
                    <xdr:row>25</xdr:row>
                    <xdr:rowOff>0</xdr:rowOff>
                  </to>
                </anchor>
              </controlPr>
            </control>
          </mc:Choice>
        </mc:AlternateContent>
        <mc:AlternateContent xmlns:mc="http://schemas.openxmlformats.org/markup-compatibility/2006">
          <mc:Choice Requires="x14">
            <control shapeId="1041" r:id="rId19" name="Group Box 17">
              <controlPr defaultSize="0" autoFill="0" autoPict="0">
                <anchor moveWithCells="1">
                  <from>
                    <xdr:col>5</xdr:col>
                    <xdr:colOff>0</xdr:colOff>
                    <xdr:row>12</xdr:row>
                    <xdr:rowOff>0</xdr:rowOff>
                  </from>
                  <to>
                    <xdr:col>14</xdr:col>
                    <xdr:colOff>7620</xdr:colOff>
                    <xdr:row>13</xdr:row>
                    <xdr:rowOff>0</xdr:rowOff>
                  </to>
                </anchor>
              </controlPr>
            </control>
          </mc:Choice>
        </mc:AlternateContent>
        <mc:AlternateContent xmlns:mc="http://schemas.openxmlformats.org/markup-compatibility/2006">
          <mc:Choice Requires="x14">
            <control shapeId="1042" r:id="rId20" name="Option Button 18">
              <controlPr defaultSize="0" autoFill="0" autoLine="0" autoPict="0" macro="[0]!D1dNG">
                <anchor moveWithCells="1">
                  <from>
                    <xdr:col>5</xdr:col>
                    <xdr:colOff>137160</xdr:colOff>
                    <xdr:row>13</xdr:row>
                    <xdr:rowOff>289560</xdr:rowOff>
                  </from>
                  <to>
                    <xdr:col>5</xdr:col>
                    <xdr:colOff>487680</xdr:colOff>
                    <xdr:row>13</xdr:row>
                    <xdr:rowOff>502920</xdr:rowOff>
                  </to>
                </anchor>
              </controlPr>
            </control>
          </mc:Choice>
        </mc:AlternateContent>
        <mc:AlternateContent xmlns:mc="http://schemas.openxmlformats.org/markup-compatibility/2006">
          <mc:Choice Requires="x14">
            <control shapeId="1043" r:id="rId21" name="Option Button 19">
              <controlPr defaultSize="0" autoFill="0" autoLine="0" autoPict="0" macro="[0]!D1dOK">
                <anchor moveWithCells="1">
                  <from>
                    <xdr:col>8</xdr:col>
                    <xdr:colOff>137160</xdr:colOff>
                    <xdr:row>13</xdr:row>
                    <xdr:rowOff>289560</xdr:rowOff>
                  </from>
                  <to>
                    <xdr:col>9</xdr:col>
                    <xdr:colOff>60960</xdr:colOff>
                    <xdr:row>13</xdr:row>
                    <xdr:rowOff>502920</xdr:rowOff>
                  </to>
                </anchor>
              </controlPr>
            </control>
          </mc:Choice>
        </mc:AlternateContent>
        <mc:AlternateContent xmlns:mc="http://schemas.openxmlformats.org/markup-compatibility/2006">
          <mc:Choice Requires="x14">
            <control shapeId="1044" r:id="rId22" name="Option Button 20">
              <controlPr defaultSize="0" autoFill="0" autoLine="0" autoPict="0" macro="[0]!D1dBONUS">
                <anchor moveWithCells="1">
                  <from>
                    <xdr:col>11</xdr:col>
                    <xdr:colOff>137160</xdr:colOff>
                    <xdr:row>13</xdr:row>
                    <xdr:rowOff>289560</xdr:rowOff>
                  </from>
                  <to>
                    <xdr:col>11</xdr:col>
                    <xdr:colOff>487680</xdr:colOff>
                    <xdr:row>13</xdr:row>
                    <xdr:rowOff>502920</xdr:rowOff>
                  </to>
                </anchor>
              </controlPr>
            </control>
          </mc:Choice>
        </mc:AlternateContent>
        <mc:AlternateContent xmlns:mc="http://schemas.openxmlformats.org/markup-compatibility/2006">
          <mc:Choice Requires="x14">
            <control shapeId="1045" r:id="rId23" name="Option Button 21">
              <controlPr defaultSize="0" autoFill="0" autoLine="0" autoPict="0" macro="[0]!D2NG">
                <anchor moveWithCells="1">
                  <from>
                    <xdr:col>5</xdr:col>
                    <xdr:colOff>137160</xdr:colOff>
                    <xdr:row>14</xdr:row>
                    <xdr:rowOff>198120</xdr:rowOff>
                  </from>
                  <to>
                    <xdr:col>5</xdr:col>
                    <xdr:colOff>487680</xdr:colOff>
                    <xdr:row>14</xdr:row>
                    <xdr:rowOff>419100</xdr:rowOff>
                  </to>
                </anchor>
              </controlPr>
            </control>
          </mc:Choice>
        </mc:AlternateContent>
        <mc:AlternateContent xmlns:mc="http://schemas.openxmlformats.org/markup-compatibility/2006">
          <mc:Choice Requires="x14">
            <control shapeId="1046" r:id="rId24" name="Option Button 22">
              <controlPr defaultSize="0" autoFill="0" autoLine="0" autoPict="0" macro="[0]!D2OK">
                <anchor moveWithCells="1">
                  <from>
                    <xdr:col>8</xdr:col>
                    <xdr:colOff>137160</xdr:colOff>
                    <xdr:row>14</xdr:row>
                    <xdr:rowOff>198120</xdr:rowOff>
                  </from>
                  <to>
                    <xdr:col>9</xdr:col>
                    <xdr:colOff>60960</xdr:colOff>
                    <xdr:row>14</xdr:row>
                    <xdr:rowOff>419100</xdr:rowOff>
                  </to>
                </anchor>
              </controlPr>
            </control>
          </mc:Choice>
        </mc:AlternateContent>
        <mc:AlternateContent xmlns:mc="http://schemas.openxmlformats.org/markup-compatibility/2006">
          <mc:Choice Requires="x14">
            <control shapeId="1047" r:id="rId25" name="Option Button 23">
              <controlPr defaultSize="0" autoFill="0" autoLine="0" autoPict="0" macro="[0]!D2BONUS">
                <anchor moveWithCells="1">
                  <from>
                    <xdr:col>11</xdr:col>
                    <xdr:colOff>137160</xdr:colOff>
                    <xdr:row>14</xdr:row>
                    <xdr:rowOff>198120</xdr:rowOff>
                  </from>
                  <to>
                    <xdr:col>11</xdr:col>
                    <xdr:colOff>487680</xdr:colOff>
                    <xdr:row>14</xdr:row>
                    <xdr:rowOff>419100</xdr:rowOff>
                  </to>
                </anchor>
              </controlPr>
            </control>
          </mc:Choice>
        </mc:AlternateContent>
        <mc:AlternateContent xmlns:mc="http://schemas.openxmlformats.org/markup-compatibility/2006">
          <mc:Choice Requires="x14">
            <control shapeId="1048" r:id="rId26" name="Option Button 24">
              <controlPr defaultSize="0" autoFill="0" autoLine="0" autoPict="0" macro="[0]!D3NG">
                <anchor moveWithCells="1">
                  <from>
                    <xdr:col>5</xdr:col>
                    <xdr:colOff>137160</xdr:colOff>
                    <xdr:row>15</xdr:row>
                    <xdr:rowOff>198120</xdr:rowOff>
                  </from>
                  <to>
                    <xdr:col>5</xdr:col>
                    <xdr:colOff>487680</xdr:colOff>
                    <xdr:row>15</xdr:row>
                    <xdr:rowOff>419100</xdr:rowOff>
                  </to>
                </anchor>
              </controlPr>
            </control>
          </mc:Choice>
        </mc:AlternateContent>
        <mc:AlternateContent xmlns:mc="http://schemas.openxmlformats.org/markup-compatibility/2006">
          <mc:Choice Requires="x14">
            <control shapeId="1049" r:id="rId27" name="Option Button 25">
              <controlPr defaultSize="0" autoFill="0" autoLine="0" autoPict="0" macro="[0]!D3OK">
                <anchor moveWithCells="1">
                  <from>
                    <xdr:col>8</xdr:col>
                    <xdr:colOff>137160</xdr:colOff>
                    <xdr:row>15</xdr:row>
                    <xdr:rowOff>198120</xdr:rowOff>
                  </from>
                  <to>
                    <xdr:col>9</xdr:col>
                    <xdr:colOff>60960</xdr:colOff>
                    <xdr:row>15</xdr:row>
                    <xdr:rowOff>419100</xdr:rowOff>
                  </to>
                </anchor>
              </controlPr>
            </control>
          </mc:Choice>
        </mc:AlternateContent>
        <mc:AlternateContent xmlns:mc="http://schemas.openxmlformats.org/markup-compatibility/2006">
          <mc:Choice Requires="x14">
            <control shapeId="1050" r:id="rId28" name="Option Button 26">
              <controlPr defaultSize="0" autoFill="0" autoLine="0" autoPict="0" macro="[0]!D3BONUS">
                <anchor moveWithCells="1">
                  <from>
                    <xdr:col>11</xdr:col>
                    <xdr:colOff>137160</xdr:colOff>
                    <xdr:row>15</xdr:row>
                    <xdr:rowOff>198120</xdr:rowOff>
                  </from>
                  <to>
                    <xdr:col>11</xdr:col>
                    <xdr:colOff>487680</xdr:colOff>
                    <xdr:row>15</xdr:row>
                    <xdr:rowOff>419100</xdr:rowOff>
                  </to>
                </anchor>
              </controlPr>
            </control>
          </mc:Choice>
        </mc:AlternateContent>
        <mc:AlternateContent xmlns:mc="http://schemas.openxmlformats.org/markup-compatibility/2006">
          <mc:Choice Requires="x14">
            <control shapeId="1051" r:id="rId29" name="Option Button 27">
              <controlPr defaultSize="0" autoFill="0" autoLine="0" autoPict="0" macro="[0]!D4NG">
                <anchor moveWithCells="1">
                  <from>
                    <xdr:col>5</xdr:col>
                    <xdr:colOff>137160</xdr:colOff>
                    <xdr:row>16</xdr:row>
                    <xdr:rowOff>198120</xdr:rowOff>
                  </from>
                  <to>
                    <xdr:col>5</xdr:col>
                    <xdr:colOff>487680</xdr:colOff>
                    <xdr:row>16</xdr:row>
                    <xdr:rowOff>419100</xdr:rowOff>
                  </to>
                </anchor>
              </controlPr>
            </control>
          </mc:Choice>
        </mc:AlternateContent>
        <mc:AlternateContent xmlns:mc="http://schemas.openxmlformats.org/markup-compatibility/2006">
          <mc:Choice Requires="x14">
            <control shapeId="1052" r:id="rId30" name="Option Button 28">
              <controlPr defaultSize="0" autoFill="0" autoLine="0" autoPict="0" macro="[0]!D4OK">
                <anchor moveWithCells="1">
                  <from>
                    <xdr:col>8</xdr:col>
                    <xdr:colOff>137160</xdr:colOff>
                    <xdr:row>16</xdr:row>
                    <xdr:rowOff>198120</xdr:rowOff>
                  </from>
                  <to>
                    <xdr:col>9</xdr:col>
                    <xdr:colOff>60960</xdr:colOff>
                    <xdr:row>16</xdr:row>
                    <xdr:rowOff>419100</xdr:rowOff>
                  </to>
                </anchor>
              </controlPr>
            </control>
          </mc:Choice>
        </mc:AlternateContent>
        <mc:AlternateContent xmlns:mc="http://schemas.openxmlformats.org/markup-compatibility/2006">
          <mc:Choice Requires="x14">
            <control shapeId="1053" r:id="rId31" name="Option Button 29">
              <controlPr defaultSize="0" autoFill="0" autoLine="0" autoPict="0" macro="[0]!D4BONUS">
                <anchor moveWithCells="1">
                  <from>
                    <xdr:col>11</xdr:col>
                    <xdr:colOff>137160</xdr:colOff>
                    <xdr:row>16</xdr:row>
                    <xdr:rowOff>198120</xdr:rowOff>
                  </from>
                  <to>
                    <xdr:col>11</xdr:col>
                    <xdr:colOff>487680</xdr:colOff>
                    <xdr:row>16</xdr:row>
                    <xdr:rowOff>419100</xdr:rowOff>
                  </to>
                </anchor>
              </controlPr>
            </control>
          </mc:Choice>
        </mc:AlternateContent>
        <mc:AlternateContent xmlns:mc="http://schemas.openxmlformats.org/markup-compatibility/2006">
          <mc:Choice Requires="x14">
            <control shapeId="1054" r:id="rId32" name="Option Button 30">
              <controlPr defaultSize="0" autoFill="0" autoLine="0" autoPict="0" macro="[0]!D5NG">
                <anchor moveWithCells="1">
                  <from>
                    <xdr:col>5</xdr:col>
                    <xdr:colOff>137160</xdr:colOff>
                    <xdr:row>17</xdr:row>
                    <xdr:rowOff>198120</xdr:rowOff>
                  </from>
                  <to>
                    <xdr:col>5</xdr:col>
                    <xdr:colOff>487680</xdr:colOff>
                    <xdr:row>17</xdr:row>
                    <xdr:rowOff>419100</xdr:rowOff>
                  </to>
                </anchor>
              </controlPr>
            </control>
          </mc:Choice>
        </mc:AlternateContent>
        <mc:AlternateContent xmlns:mc="http://schemas.openxmlformats.org/markup-compatibility/2006">
          <mc:Choice Requires="x14">
            <control shapeId="1055" r:id="rId33" name="Option Button 31">
              <controlPr defaultSize="0" autoFill="0" autoLine="0" autoPict="0" macro="[0]!D5OK">
                <anchor moveWithCells="1">
                  <from>
                    <xdr:col>8</xdr:col>
                    <xdr:colOff>137160</xdr:colOff>
                    <xdr:row>17</xdr:row>
                    <xdr:rowOff>198120</xdr:rowOff>
                  </from>
                  <to>
                    <xdr:col>9</xdr:col>
                    <xdr:colOff>60960</xdr:colOff>
                    <xdr:row>17</xdr:row>
                    <xdr:rowOff>419100</xdr:rowOff>
                  </to>
                </anchor>
              </controlPr>
            </control>
          </mc:Choice>
        </mc:AlternateContent>
        <mc:AlternateContent xmlns:mc="http://schemas.openxmlformats.org/markup-compatibility/2006">
          <mc:Choice Requires="x14">
            <control shapeId="1056" r:id="rId34" name="Option Button 32">
              <controlPr defaultSize="0" autoFill="0" autoLine="0" autoPict="0" macro="[0]!D5BONUS">
                <anchor moveWithCells="1">
                  <from>
                    <xdr:col>11</xdr:col>
                    <xdr:colOff>137160</xdr:colOff>
                    <xdr:row>17</xdr:row>
                    <xdr:rowOff>198120</xdr:rowOff>
                  </from>
                  <to>
                    <xdr:col>11</xdr:col>
                    <xdr:colOff>487680</xdr:colOff>
                    <xdr:row>17</xdr:row>
                    <xdr:rowOff>419100</xdr:rowOff>
                  </to>
                </anchor>
              </controlPr>
            </control>
          </mc:Choice>
        </mc:AlternateContent>
        <mc:AlternateContent xmlns:mc="http://schemas.openxmlformats.org/markup-compatibility/2006">
          <mc:Choice Requires="x14">
            <control shapeId="1057" r:id="rId35" name="Option Button 33">
              <controlPr defaultSize="0" autoFill="0" autoLine="0" autoPict="0" macro="[0]!D6aNG">
                <anchor moveWithCells="1">
                  <from>
                    <xdr:col>5</xdr:col>
                    <xdr:colOff>137160</xdr:colOff>
                    <xdr:row>18</xdr:row>
                    <xdr:rowOff>198120</xdr:rowOff>
                  </from>
                  <to>
                    <xdr:col>5</xdr:col>
                    <xdr:colOff>487680</xdr:colOff>
                    <xdr:row>18</xdr:row>
                    <xdr:rowOff>419100</xdr:rowOff>
                  </to>
                </anchor>
              </controlPr>
            </control>
          </mc:Choice>
        </mc:AlternateContent>
        <mc:AlternateContent xmlns:mc="http://schemas.openxmlformats.org/markup-compatibility/2006">
          <mc:Choice Requires="x14">
            <control shapeId="1058" r:id="rId36" name="Option Button 34">
              <controlPr defaultSize="0" autoFill="0" autoLine="0" autoPict="0" macro="[0]!D6aOK">
                <anchor moveWithCells="1">
                  <from>
                    <xdr:col>8</xdr:col>
                    <xdr:colOff>137160</xdr:colOff>
                    <xdr:row>18</xdr:row>
                    <xdr:rowOff>198120</xdr:rowOff>
                  </from>
                  <to>
                    <xdr:col>9</xdr:col>
                    <xdr:colOff>60960</xdr:colOff>
                    <xdr:row>18</xdr:row>
                    <xdr:rowOff>419100</xdr:rowOff>
                  </to>
                </anchor>
              </controlPr>
            </control>
          </mc:Choice>
        </mc:AlternateContent>
        <mc:AlternateContent xmlns:mc="http://schemas.openxmlformats.org/markup-compatibility/2006">
          <mc:Choice Requires="x14">
            <control shapeId="1059" r:id="rId37" name="Option Button 35">
              <controlPr defaultSize="0" autoFill="0" autoLine="0" autoPict="0" macro="[0]!D6aBONUS">
                <anchor moveWithCells="1">
                  <from>
                    <xdr:col>11</xdr:col>
                    <xdr:colOff>137160</xdr:colOff>
                    <xdr:row>18</xdr:row>
                    <xdr:rowOff>198120</xdr:rowOff>
                  </from>
                  <to>
                    <xdr:col>11</xdr:col>
                    <xdr:colOff>487680</xdr:colOff>
                    <xdr:row>18</xdr:row>
                    <xdr:rowOff>419100</xdr:rowOff>
                  </to>
                </anchor>
              </controlPr>
            </control>
          </mc:Choice>
        </mc:AlternateContent>
        <mc:AlternateContent xmlns:mc="http://schemas.openxmlformats.org/markup-compatibility/2006">
          <mc:Choice Requires="x14">
            <control shapeId="1060" r:id="rId38" name="Option Button 36">
              <controlPr defaultSize="0" autoFill="0" autoLine="0" autoPict="0" macro="[0]!D6bNG">
                <anchor moveWithCells="1">
                  <from>
                    <xdr:col>5</xdr:col>
                    <xdr:colOff>137160</xdr:colOff>
                    <xdr:row>19</xdr:row>
                    <xdr:rowOff>198120</xdr:rowOff>
                  </from>
                  <to>
                    <xdr:col>5</xdr:col>
                    <xdr:colOff>487680</xdr:colOff>
                    <xdr:row>19</xdr:row>
                    <xdr:rowOff>419100</xdr:rowOff>
                  </to>
                </anchor>
              </controlPr>
            </control>
          </mc:Choice>
        </mc:AlternateContent>
        <mc:AlternateContent xmlns:mc="http://schemas.openxmlformats.org/markup-compatibility/2006">
          <mc:Choice Requires="x14">
            <control shapeId="1061" r:id="rId39" name="Option Button 37">
              <controlPr defaultSize="0" autoFill="0" autoLine="0" autoPict="0" macro="[0]!D6bOK">
                <anchor moveWithCells="1">
                  <from>
                    <xdr:col>8</xdr:col>
                    <xdr:colOff>137160</xdr:colOff>
                    <xdr:row>19</xdr:row>
                    <xdr:rowOff>198120</xdr:rowOff>
                  </from>
                  <to>
                    <xdr:col>9</xdr:col>
                    <xdr:colOff>60960</xdr:colOff>
                    <xdr:row>19</xdr:row>
                    <xdr:rowOff>419100</xdr:rowOff>
                  </to>
                </anchor>
              </controlPr>
            </control>
          </mc:Choice>
        </mc:AlternateContent>
        <mc:AlternateContent xmlns:mc="http://schemas.openxmlformats.org/markup-compatibility/2006">
          <mc:Choice Requires="x14">
            <control shapeId="1062" r:id="rId40" name="Option Button 38">
              <controlPr defaultSize="0" autoFill="0" autoLine="0" autoPict="0" macro="[0]!D6bBONUS">
                <anchor moveWithCells="1">
                  <from>
                    <xdr:col>11</xdr:col>
                    <xdr:colOff>137160</xdr:colOff>
                    <xdr:row>19</xdr:row>
                    <xdr:rowOff>198120</xdr:rowOff>
                  </from>
                  <to>
                    <xdr:col>11</xdr:col>
                    <xdr:colOff>487680</xdr:colOff>
                    <xdr:row>19</xdr:row>
                    <xdr:rowOff>419100</xdr:rowOff>
                  </to>
                </anchor>
              </controlPr>
            </control>
          </mc:Choice>
        </mc:AlternateContent>
        <mc:AlternateContent xmlns:mc="http://schemas.openxmlformats.org/markup-compatibility/2006">
          <mc:Choice Requires="x14">
            <control shapeId="1063" r:id="rId41" name="Option Button 39">
              <controlPr defaultSize="0" autoFill="0" autoLine="0" autoPict="0" macro="[0]!D7aNG">
                <anchor moveWithCells="1">
                  <from>
                    <xdr:col>5</xdr:col>
                    <xdr:colOff>137160</xdr:colOff>
                    <xdr:row>20</xdr:row>
                    <xdr:rowOff>198120</xdr:rowOff>
                  </from>
                  <to>
                    <xdr:col>5</xdr:col>
                    <xdr:colOff>487680</xdr:colOff>
                    <xdr:row>20</xdr:row>
                    <xdr:rowOff>419100</xdr:rowOff>
                  </to>
                </anchor>
              </controlPr>
            </control>
          </mc:Choice>
        </mc:AlternateContent>
        <mc:AlternateContent xmlns:mc="http://schemas.openxmlformats.org/markup-compatibility/2006">
          <mc:Choice Requires="x14">
            <control shapeId="1064" r:id="rId42" name="Option Button 40">
              <controlPr defaultSize="0" autoFill="0" autoLine="0" autoPict="0" macro="[0]!D7aOK">
                <anchor moveWithCells="1">
                  <from>
                    <xdr:col>8</xdr:col>
                    <xdr:colOff>137160</xdr:colOff>
                    <xdr:row>20</xdr:row>
                    <xdr:rowOff>198120</xdr:rowOff>
                  </from>
                  <to>
                    <xdr:col>9</xdr:col>
                    <xdr:colOff>60960</xdr:colOff>
                    <xdr:row>20</xdr:row>
                    <xdr:rowOff>419100</xdr:rowOff>
                  </to>
                </anchor>
              </controlPr>
            </control>
          </mc:Choice>
        </mc:AlternateContent>
        <mc:AlternateContent xmlns:mc="http://schemas.openxmlformats.org/markup-compatibility/2006">
          <mc:Choice Requires="x14">
            <control shapeId="1065" r:id="rId43" name="Option Button 41">
              <controlPr defaultSize="0" autoFill="0" autoLine="0" autoPict="0" macro="[0]!D7aBONUS">
                <anchor moveWithCells="1">
                  <from>
                    <xdr:col>11</xdr:col>
                    <xdr:colOff>137160</xdr:colOff>
                    <xdr:row>20</xdr:row>
                    <xdr:rowOff>198120</xdr:rowOff>
                  </from>
                  <to>
                    <xdr:col>11</xdr:col>
                    <xdr:colOff>487680</xdr:colOff>
                    <xdr:row>20</xdr:row>
                    <xdr:rowOff>419100</xdr:rowOff>
                  </to>
                </anchor>
              </controlPr>
            </control>
          </mc:Choice>
        </mc:AlternateContent>
        <mc:AlternateContent xmlns:mc="http://schemas.openxmlformats.org/markup-compatibility/2006">
          <mc:Choice Requires="x14">
            <control shapeId="1066" r:id="rId44" name="Option Button 42">
              <controlPr defaultSize="0" autoFill="0" autoLine="0" autoPict="0" macro="[0]!D7bNG">
                <anchor moveWithCells="1">
                  <from>
                    <xdr:col>5</xdr:col>
                    <xdr:colOff>137160</xdr:colOff>
                    <xdr:row>21</xdr:row>
                    <xdr:rowOff>198120</xdr:rowOff>
                  </from>
                  <to>
                    <xdr:col>5</xdr:col>
                    <xdr:colOff>487680</xdr:colOff>
                    <xdr:row>21</xdr:row>
                    <xdr:rowOff>419100</xdr:rowOff>
                  </to>
                </anchor>
              </controlPr>
            </control>
          </mc:Choice>
        </mc:AlternateContent>
        <mc:AlternateContent xmlns:mc="http://schemas.openxmlformats.org/markup-compatibility/2006">
          <mc:Choice Requires="x14">
            <control shapeId="1067" r:id="rId45" name="Option Button 43">
              <controlPr defaultSize="0" autoFill="0" autoLine="0" autoPict="0" macro="[0]!D7bOK">
                <anchor moveWithCells="1">
                  <from>
                    <xdr:col>8</xdr:col>
                    <xdr:colOff>137160</xdr:colOff>
                    <xdr:row>21</xdr:row>
                    <xdr:rowOff>198120</xdr:rowOff>
                  </from>
                  <to>
                    <xdr:col>9</xdr:col>
                    <xdr:colOff>60960</xdr:colOff>
                    <xdr:row>21</xdr:row>
                    <xdr:rowOff>419100</xdr:rowOff>
                  </to>
                </anchor>
              </controlPr>
            </control>
          </mc:Choice>
        </mc:AlternateContent>
        <mc:AlternateContent xmlns:mc="http://schemas.openxmlformats.org/markup-compatibility/2006">
          <mc:Choice Requires="x14">
            <control shapeId="1068" r:id="rId46" name="Option Button 44">
              <controlPr defaultSize="0" autoFill="0" autoLine="0" autoPict="0" macro="[0]!D7bBONUS">
                <anchor moveWithCells="1">
                  <from>
                    <xdr:col>11</xdr:col>
                    <xdr:colOff>137160</xdr:colOff>
                    <xdr:row>21</xdr:row>
                    <xdr:rowOff>198120</xdr:rowOff>
                  </from>
                  <to>
                    <xdr:col>11</xdr:col>
                    <xdr:colOff>487680</xdr:colOff>
                    <xdr:row>21</xdr:row>
                    <xdr:rowOff>419100</xdr:rowOff>
                  </to>
                </anchor>
              </controlPr>
            </control>
          </mc:Choice>
        </mc:AlternateContent>
        <mc:AlternateContent xmlns:mc="http://schemas.openxmlformats.org/markup-compatibility/2006">
          <mc:Choice Requires="x14">
            <control shapeId="1069" r:id="rId47" name="Option Button 45">
              <controlPr defaultSize="0" autoFill="0" autoLine="0" autoPict="0" macro="[0]!D81NG">
                <anchor moveWithCells="1">
                  <from>
                    <xdr:col>5</xdr:col>
                    <xdr:colOff>137160</xdr:colOff>
                    <xdr:row>22</xdr:row>
                    <xdr:rowOff>198120</xdr:rowOff>
                  </from>
                  <to>
                    <xdr:col>5</xdr:col>
                    <xdr:colOff>487680</xdr:colOff>
                    <xdr:row>22</xdr:row>
                    <xdr:rowOff>419100</xdr:rowOff>
                  </to>
                </anchor>
              </controlPr>
            </control>
          </mc:Choice>
        </mc:AlternateContent>
        <mc:AlternateContent xmlns:mc="http://schemas.openxmlformats.org/markup-compatibility/2006">
          <mc:Choice Requires="x14">
            <control shapeId="1070" r:id="rId48" name="Option Button 46">
              <controlPr defaultSize="0" autoFill="0" autoLine="0" autoPict="0" macro="[0]!D81OK">
                <anchor moveWithCells="1">
                  <from>
                    <xdr:col>8</xdr:col>
                    <xdr:colOff>137160</xdr:colOff>
                    <xdr:row>22</xdr:row>
                    <xdr:rowOff>198120</xdr:rowOff>
                  </from>
                  <to>
                    <xdr:col>9</xdr:col>
                    <xdr:colOff>60960</xdr:colOff>
                    <xdr:row>22</xdr:row>
                    <xdr:rowOff>419100</xdr:rowOff>
                  </to>
                </anchor>
              </controlPr>
            </control>
          </mc:Choice>
        </mc:AlternateContent>
        <mc:AlternateContent xmlns:mc="http://schemas.openxmlformats.org/markup-compatibility/2006">
          <mc:Choice Requires="x14">
            <control shapeId="1071" r:id="rId49" name="Option Button 47">
              <controlPr defaultSize="0" autoFill="0" autoLine="0" autoPict="0" macro="[0]!D81BONUS">
                <anchor moveWithCells="1">
                  <from>
                    <xdr:col>11</xdr:col>
                    <xdr:colOff>137160</xdr:colOff>
                    <xdr:row>22</xdr:row>
                    <xdr:rowOff>198120</xdr:rowOff>
                  </from>
                  <to>
                    <xdr:col>11</xdr:col>
                    <xdr:colOff>487680</xdr:colOff>
                    <xdr:row>22</xdr:row>
                    <xdr:rowOff>419100</xdr:rowOff>
                  </to>
                </anchor>
              </controlPr>
            </control>
          </mc:Choice>
        </mc:AlternateContent>
        <mc:AlternateContent xmlns:mc="http://schemas.openxmlformats.org/markup-compatibility/2006">
          <mc:Choice Requires="x14">
            <control shapeId="1072" r:id="rId50" name="Option Button 48">
              <controlPr defaultSize="0" autoFill="0" autoLine="0" autoPict="0" macro="[0]!D84NG">
                <anchor moveWithCells="1">
                  <from>
                    <xdr:col>5</xdr:col>
                    <xdr:colOff>137160</xdr:colOff>
                    <xdr:row>23</xdr:row>
                    <xdr:rowOff>198120</xdr:rowOff>
                  </from>
                  <to>
                    <xdr:col>5</xdr:col>
                    <xdr:colOff>487680</xdr:colOff>
                    <xdr:row>23</xdr:row>
                    <xdr:rowOff>419100</xdr:rowOff>
                  </to>
                </anchor>
              </controlPr>
            </control>
          </mc:Choice>
        </mc:AlternateContent>
        <mc:AlternateContent xmlns:mc="http://schemas.openxmlformats.org/markup-compatibility/2006">
          <mc:Choice Requires="x14">
            <control shapeId="1073" r:id="rId51" name="Option Button 49">
              <controlPr defaultSize="0" autoFill="0" autoLine="0" autoPict="0" macro="[0]!D84OK">
                <anchor moveWithCells="1">
                  <from>
                    <xdr:col>8</xdr:col>
                    <xdr:colOff>137160</xdr:colOff>
                    <xdr:row>23</xdr:row>
                    <xdr:rowOff>198120</xdr:rowOff>
                  </from>
                  <to>
                    <xdr:col>9</xdr:col>
                    <xdr:colOff>60960</xdr:colOff>
                    <xdr:row>23</xdr:row>
                    <xdr:rowOff>419100</xdr:rowOff>
                  </to>
                </anchor>
              </controlPr>
            </control>
          </mc:Choice>
        </mc:AlternateContent>
        <mc:AlternateContent xmlns:mc="http://schemas.openxmlformats.org/markup-compatibility/2006">
          <mc:Choice Requires="x14">
            <control shapeId="1074" r:id="rId52" name="Option Button 50">
              <controlPr defaultSize="0" autoFill="0" autoLine="0" autoPict="0" macro="[0]!D84BONUS">
                <anchor moveWithCells="1">
                  <from>
                    <xdr:col>11</xdr:col>
                    <xdr:colOff>137160</xdr:colOff>
                    <xdr:row>23</xdr:row>
                    <xdr:rowOff>198120</xdr:rowOff>
                  </from>
                  <to>
                    <xdr:col>11</xdr:col>
                    <xdr:colOff>487680</xdr:colOff>
                    <xdr:row>23</xdr:row>
                    <xdr:rowOff>419100</xdr:rowOff>
                  </to>
                </anchor>
              </controlPr>
            </control>
          </mc:Choice>
        </mc:AlternateContent>
        <mc:AlternateContent xmlns:mc="http://schemas.openxmlformats.org/markup-compatibility/2006">
          <mc:Choice Requires="x14">
            <control shapeId="1075" r:id="rId53" name="Option Button 51">
              <controlPr defaultSize="0" autoFill="0" autoLine="0" autoPict="0" macro="[0]!OVRLNG">
                <anchor moveWithCells="1">
                  <from>
                    <xdr:col>5</xdr:col>
                    <xdr:colOff>137160</xdr:colOff>
                    <xdr:row>24</xdr:row>
                    <xdr:rowOff>198120</xdr:rowOff>
                  </from>
                  <to>
                    <xdr:col>5</xdr:col>
                    <xdr:colOff>487680</xdr:colOff>
                    <xdr:row>24</xdr:row>
                    <xdr:rowOff>419100</xdr:rowOff>
                  </to>
                </anchor>
              </controlPr>
            </control>
          </mc:Choice>
        </mc:AlternateContent>
        <mc:AlternateContent xmlns:mc="http://schemas.openxmlformats.org/markup-compatibility/2006">
          <mc:Choice Requires="x14">
            <control shapeId="1076" r:id="rId54" name="Option Button 52">
              <controlPr defaultSize="0" autoFill="0" autoLine="0" autoPict="0" macro="[0]!OVRLOK">
                <anchor moveWithCells="1">
                  <from>
                    <xdr:col>8</xdr:col>
                    <xdr:colOff>137160</xdr:colOff>
                    <xdr:row>24</xdr:row>
                    <xdr:rowOff>198120</xdr:rowOff>
                  </from>
                  <to>
                    <xdr:col>9</xdr:col>
                    <xdr:colOff>60960</xdr:colOff>
                    <xdr:row>24</xdr:row>
                    <xdr:rowOff>419100</xdr:rowOff>
                  </to>
                </anchor>
              </controlPr>
            </control>
          </mc:Choice>
        </mc:AlternateContent>
        <mc:AlternateContent xmlns:mc="http://schemas.openxmlformats.org/markup-compatibility/2006">
          <mc:Choice Requires="x14">
            <control shapeId="1077" r:id="rId55" name="Option Button 53">
              <controlPr defaultSize="0" autoFill="0" autoLine="0" autoPict="0" macro="[0]!OVRLBONUS">
                <anchor moveWithCells="1">
                  <from>
                    <xdr:col>11</xdr:col>
                    <xdr:colOff>137160</xdr:colOff>
                    <xdr:row>24</xdr:row>
                    <xdr:rowOff>198120</xdr:rowOff>
                  </from>
                  <to>
                    <xdr:col>11</xdr:col>
                    <xdr:colOff>487680</xdr:colOff>
                    <xdr:row>24</xdr:row>
                    <xdr:rowOff>419100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F4855D5-903B-4C2B-8830-44AD795410D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8</vt:i4>
      </vt:variant>
      <vt:variant>
        <vt:lpstr>Plages nommées</vt:lpstr>
      </vt:variant>
      <vt:variant>
        <vt:i4>24</vt:i4>
      </vt:variant>
    </vt:vector>
  </HeadingPairs>
  <TitlesOfParts>
    <vt:vector size="32" baseType="lpstr">
      <vt:lpstr>Quick Response</vt:lpstr>
      <vt:lpstr>Sorting approval</vt:lpstr>
      <vt:lpstr>Ishikawa</vt:lpstr>
      <vt:lpstr>FTA</vt:lpstr>
      <vt:lpstr>5 why's</vt:lpstr>
      <vt:lpstr>LLC</vt:lpstr>
      <vt:lpstr>D4-D8</vt:lpstr>
      <vt:lpstr>8D Eval Nidec</vt:lpstr>
      <vt:lpstr>'5 why''s'!Impression_des_titres</vt:lpstr>
      <vt:lpstr>FTA!Impression_des_titres</vt:lpstr>
      <vt:lpstr>'8D Eval Nidec'!Percentage</vt:lpstr>
      <vt:lpstr>'8D Eval Nidec'!Score_D1B</vt:lpstr>
      <vt:lpstr>'8D Eval Nidec'!Score_D1D</vt:lpstr>
      <vt:lpstr>'8D Eval Nidec'!Score_D2</vt:lpstr>
      <vt:lpstr>'8D Eval Nidec'!Score_D3</vt:lpstr>
      <vt:lpstr>Score_D4</vt:lpstr>
      <vt:lpstr>Score_D5</vt:lpstr>
      <vt:lpstr>Score_D6a</vt:lpstr>
      <vt:lpstr>Score_D6b</vt:lpstr>
      <vt:lpstr>Score_D7a</vt:lpstr>
      <vt:lpstr>Score_D7b</vt:lpstr>
      <vt:lpstr>Score_D81</vt:lpstr>
      <vt:lpstr>Score_D84</vt:lpstr>
      <vt:lpstr>Score_OVRL</vt:lpstr>
      <vt:lpstr>'5 why''s'!Zone_d_impression</vt:lpstr>
      <vt:lpstr>'8D Eval Nidec'!Zone_d_impression</vt:lpstr>
      <vt:lpstr>'D4-D8'!Zone_d_impression</vt:lpstr>
      <vt:lpstr>FTA!Zone_d_impression</vt:lpstr>
      <vt:lpstr>Ishikawa!Zone_d_impression</vt:lpstr>
      <vt:lpstr>LLC!Zone_d_impression</vt:lpstr>
      <vt:lpstr>'Quick Response'!Zone_d_impression</vt:lpstr>
      <vt:lpstr>'Sorting approval'!Zone_d_impression</vt:lpstr>
    </vt:vector>
  </TitlesOfParts>
  <Company>Nidec Motors &amp; Actuators Sp. z o.o.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Patryk Sadowski</dc:creator>
  <cp:lastModifiedBy>Lassaad CHARAABI</cp:lastModifiedBy>
  <cp:lastPrinted>2017-01-19T16:18:48Z</cp:lastPrinted>
  <dcterms:created xsi:type="dcterms:W3CDTF">2017-01-19T15:56:58Z</dcterms:created>
  <dcterms:modified xsi:type="dcterms:W3CDTF">2025-10-25T20:36:10Z</dcterms:modified>
</cp:coreProperties>
</file>