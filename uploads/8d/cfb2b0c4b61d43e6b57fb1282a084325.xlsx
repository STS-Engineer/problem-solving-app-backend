
<file path=[Content_Types].xml><?xml version="1.0" encoding="utf-8"?>
<Types xmlns="http://schemas.openxmlformats.org/package/2006/content-types">
  <Default Extension="bin" ContentType="application/vnd.openxmlformats-officedocument.spreadsheetml.printerSettings"/>
  <Default Extension="emf" ContentType="image/x-emf"/>
  <Default Extension="png" ContentType="image/png"/>
  <Default Extension="rels" ContentType="application/vnd.openxmlformats-package.relationships+xml"/>
  <Default Extension="vml" ContentType="application/vnd.openxmlformats-officedocument.vmlDrawing"/>
  <Default Extension="wdp" ContentType="image/vnd.ms-photo"/>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ctrlProps/ctrlProp1.xml" ContentType="application/vnd.ms-excel.controlproperties+xml"/>
  <Override PartName="/xl/comments1.xml" ContentType="application/vnd.openxmlformats-officedocument.spreadsheetml.comments+xml"/>
  <Override PartName="/xl/drawings/drawing2.xml" ContentType="application/vnd.openxmlformats-officedocument.drawing+xml"/>
  <Override PartName="/xl/comments2.xml" ContentType="application/vnd.openxmlformats-officedocument.spreadsheetml.comments+xml"/>
  <Override PartName="/xl/drawings/drawing3.xml" ContentType="application/vnd.openxmlformats-officedocument.drawing+xml"/>
  <Override PartName="/xl/drawings/drawing4.xml" ContentType="application/vnd.openxmlformats-officedocument.drawing+xml"/>
  <Override PartName="/xl/comments3.xml" ContentType="application/vnd.openxmlformats-officedocument.spreadsheetml.comments+xml"/>
  <Override PartName="/xl/drawings/drawing5.xml" ContentType="application/vnd.openxmlformats-officedocument.drawing+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4" rupBuild="28827"/>
  <workbookPr codeName="현재_통합_문서" defaultThemeVersion="124226"/>
  <mc:AlternateContent xmlns:mc="http://schemas.openxmlformats.org/markup-compatibility/2006">
    <mc:Choice Requires="x15">
      <x15ac:absPath xmlns:x15ac="http://schemas.microsoft.com/office/spreadsheetml/2010/11/ac" url="C:\Users\Jaeseok-LEE\Desktop\"/>
    </mc:Choice>
  </mc:AlternateContent>
  <xr:revisionPtr revIDLastSave="0" documentId="13_ncr:1_{2136FFD2-D185-4D98-A57A-8F4C5AEE96CA}" xr6:coauthVersionLast="47" xr6:coauthVersionMax="47" xr10:uidLastSave="{00000000-0000-0000-0000-000000000000}"/>
  <bookViews>
    <workbookView xWindow="-120" yWindow="-120" windowWidth="29040" windowHeight="15720" tabRatio="759" xr2:uid="{00000000-000D-0000-FFFF-FFFF00000000}"/>
  </bookViews>
  <sheets>
    <sheet name="8D Form_v1" sheetId="8" r:id="rId1"/>
    <sheet name="Risk Evaluation_v1" sheetId="9" state="hidden" r:id="rId2"/>
    <sheet name="D2 - Failure Visualization" sheetId="12" state="hidden" r:id="rId3"/>
    <sheet name="8D Self-assessment_v1" sheetId="11" r:id="rId4"/>
    <sheet name="D6-1_CA_Occ" sheetId="13" r:id="rId5"/>
  </sheets>
  <definedNames>
    <definedName name="_xlnm.Print_Area" localSheetId="0">'8D Form_v1'!$A$1:$AQ$178</definedName>
    <definedName name="_xlnm.Print_Area" localSheetId="4">'D6-1_CA_Occ'!$A$1:$R$42</definedName>
  </definedName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G25" i="11" l="1"/>
  <c r="G24" i="11"/>
  <c r="G23" i="11"/>
  <c r="G22" i="11"/>
  <c r="E10" i="11"/>
  <c r="E8" i="11"/>
  <c r="E6" i="11"/>
  <c r="H60" i="11"/>
  <c r="H57" i="11"/>
  <c r="H53" i="11"/>
  <c r="H47" i="11"/>
  <c r="H41" i="11"/>
  <c r="H37" i="11"/>
  <c r="K28" i="11"/>
  <c r="J28" i="11"/>
  <c r="I28" i="11"/>
  <c r="H30" i="11" l="1"/>
  <c r="M28" i="11" s="1"/>
  <c r="H43" i="11"/>
  <c r="H55" i="11"/>
  <c r="H40" i="11"/>
  <c r="H50" i="11"/>
  <c r="H59" i="11"/>
  <c r="M64" i="11" l="1"/>
  <c r="D18" i="9" l="1"/>
  <c r="D42" i="9" s="1"/>
  <c r="G42" i="9" s="1"/>
  <c r="H38" i="9"/>
  <c r="D38" i="9" s="1"/>
  <c r="H40" i="9"/>
  <c r="D40" i="9" s="1"/>
  <c r="F40" i="9" s="1"/>
  <c r="D51" i="9"/>
  <c r="D56" i="9"/>
  <c r="D58" i="9" s="1"/>
  <c r="J58" i="9" s="1"/>
  <c r="H58" i="9"/>
  <c r="F38" i="9" l="1"/>
  <c r="D44" i="9"/>
  <c r="H45" i="9" s="1"/>
  <c r="D46" i="9"/>
  <c r="J45" i="9" s="1"/>
  <c r="F56" i="9"/>
</calcChain>
</file>

<file path=xl/comments1.xml><?xml version="1.0" encoding="utf-8"?>
<comments xmlns="http://schemas.openxmlformats.org/spreadsheetml/2006/main" xmlns:mc="http://schemas.openxmlformats.org/markup-compatibility/2006" xmlns:xr="http://schemas.microsoft.com/office/spreadsheetml/2014/revision" mc:Ignorable="xr">
  <authors>
    <author>VOJDYLA ZOLTAN (CP/PQA-RBHM)</author>
  </authors>
  <commentList>
    <comment ref="H18" authorId="0" shapeId="0" xr:uid="{00000000-0006-0000-0000-000001000000}">
      <text>
        <r>
          <rPr>
            <b/>
            <sz val="9"/>
            <color indexed="81"/>
            <rFont val="Segoe UI"/>
            <family val="2"/>
          </rPr>
          <t>Target:</t>
        </r>
        <r>
          <rPr>
            <sz val="9"/>
            <color indexed="81"/>
            <rFont val="Segoe UI"/>
            <family val="2"/>
          </rPr>
          <t xml:space="preserve">
- 100% protection of customer from other defective parts
- fast process of claims
- prevent reoccurrence
- improve confidence of the customer through consequent action</t>
        </r>
      </text>
    </comment>
    <comment ref="Z25" authorId="0" shapeId="0" xr:uid="{00000000-0006-0000-0000-000002000000}">
      <text>
        <r>
          <rPr>
            <sz val="9"/>
            <color indexed="81"/>
            <rFont val="Segoe UI"/>
            <family val="2"/>
            <charset val="238"/>
          </rPr>
          <t xml:space="preserve">Use insert function in this coloumn , in the relevant cell , with "icon" look, to attach any evidence (work instruction, photo… etc.) 
</t>
        </r>
      </text>
    </comment>
    <comment ref="P38" authorId="0" shapeId="0" xr:uid="{00000000-0006-0000-0000-000003000000}">
      <text>
        <r>
          <rPr>
            <sz val="9"/>
            <color indexed="81"/>
            <rFont val="Segoe UI"/>
            <family val="2"/>
          </rPr>
          <t xml:space="preserve">- 8D sponsor (from management)
- Team leader
- Team members possessing proper knowledge and competence prerequisite for effective problem solving
- if necessary, project organization
</t>
        </r>
      </text>
    </comment>
    <comment ref="Y45" authorId="0" shapeId="0" xr:uid="{00000000-0006-0000-0000-000004000000}">
      <text>
        <r>
          <rPr>
            <sz val="9"/>
            <color indexed="81"/>
            <rFont val="Segoe UI"/>
            <family val="2"/>
          </rPr>
          <t xml:space="preserve">- Full information about problem (by SG and by Supplier) as input to the description of the fundamental problem (description of deviation of actual to target state from Eckerle point of view) - Description of the deviation of actual product state to specified target from supplier's view (fundamental problem); with specific details like location on part, extent, time etc. - Tools: Sketch, drawing, pictures, samples…; Workflow; Data, figures, facts; Answers to questions: What, where, when, how much, who - Probability of occurrence; extent of loss - Only facts count!
</t>
        </r>
      </text>
    </comment>
    <comment ref="Y69" authorId="0" shapeId="0" xr:uid="{00000000-0006-0000-0000-000005000000}">
      <text>
        <r>
          <rPr>
            <sz val="9"/>
            <color indexed="81"/>
            <rFont val="Segoe UI"/>
            <family val="2"/>
          </rPr>
          <t>- Probability of detection
- Information to concerned parties (other shifts, other production lines etc.)
- Blocking of all parts, stocks (inhouse, transit, customer)
- Sorting of parts
- Firewall implementation (at customer)
- Document results, proof of effectiveness
- Verification: No induction of new problems through implementation of containment actions
- if necessary, transfer of containment actions to other plants, processes, parts necessary</t>
        </r>
      </text>
    </comment>
    <comment ref="E72" authorId="0" shapeId="0" xr:uid="{00000000-0006-0000-0000-000006000000}">
      <text>
        <r>
          <rPr>
            <b/>
            <sz val="9"/>
            <color indexed="81"/>
            <rFont val="Segoe UI"/>
            <family val="2"/>
          </rPr>
          <t>Supplier:</t>
        </r>
        <r>
          <rPr>
            <sz val="9"/>
            <color indexed="81"/>
            <rFont val="Segoe UI"/>
            <family val="2"/>
          </rPr>
          <t xml:space="preserve"> 
Warehouse stock / Production stock (semi-finished, etc..), Transportation to Eckerle? 
Any other parts.. and part No. (blocked, rework... etc.)
Eckerle</t>
        </r>
        <r>
          <rPr>
            <b/>
            <sz val="9"/>
            <color indexed="81"/>
            <rFont val="Segoe UI"/>
            <family val="2"/>
          </rPr>
          <t xml:space="preserve">: 
</t>
        </r>
        <r>
          <rPr>
            <sz val="9"/>
            <color indexed="81"/>
            <rFont val="Segoe UI"/>
            <family val="2"/>
          </rPr>
          <t xml:space="preserve">Warehouse stock / Production stock (semi-finished, etc..), Transportation to Bosch or other customers? Any other parts.. and part No. (blocked, rework... etc.)
</t>
        </r>
        <r>
          <rPr>
            <b/>
            <sz val="9"/>
            <color indexed="81"/>
            <rFont val="Segoe UI"/>
            <family val="2"/>
          </rPr>
          <t>OEM, FIELD:</t>
        </r>
        <r>
          <rPr>
            <sz val="9"/>
            <color indexed="81"/>
            <rFont val="Segoe UI"/>
            <family val="2"/>
          </rPr>
          <t xml:space="preserve"> 
to cover with action, if effected.
</t>
        </r>
      </text>
    </comment>
    <comment ref="Y88" authorId="0" shapeId="0" xr:uid="{00000000-0006-0000-0000-000007000000}">
      <text>
        <r>
          <rPr>
            <sz val="9"/>
            <color indexed="81"/>
            <rFont val="Segoe UI"/>
            <family val="2"/>
          </rPr>
          <t>- Description of the root causes (TRC and MRC)* documented with evidence
Root causes for non-conformance (occurrence) and non-detection
- Update risk assessment</t>
        </r>
      </text>
    </comment>
    <comment ref="AA106" authorId="0" shapeId="0" xr:uid="{00000000-0006-0000-0000-000008000000}">
      <text>
        <r>
          <rPr>
            <sz val="9"/>
            <color indexed="81"/>
            <rFont val="Segoe UI"/>
            <family val="2"/>
          </rPr>
          <t xml:space="preserve">Mark the TRCx and MRCx at the end of the 5 Why ? answers.
</t>
        </r>
      </text>
    </comment>
    <comment ref="Y110" authorId="0" shapeId="0" xr:uid="{00000000-0006-0000-0000-000009000000}">
      <text>
        <r>
          <rPr>
            <sz val="9"/>
            <color indexed="81"/>
            <rFont val="Segoe UI"/>
            <family val="2"/>
          </rPr>
          <t xml:space="preserve">Including affected production period and expected number of further non-conformities.
</t>
        </r>
        <r>
          <rPr>
            <b/>
            <sz val="9"/>
            <color indexed="81"/>
            <rFont val="Segoe UI"/>
            <family val="2"/>
          </rPr>
          <t>SEVERE</t>
        </r>
        <r>
          <rPr>
            <sz val="9"/>
            <color indexed="81"/>
            <rFont val="Segoe UI"/>
            <family val="2"/>
          </rPr>
          <t xml:space="preserve"> Complaint: Risk assessment calculation required.</t>
        </r>
        <r>
          <rPr>
            <b/>
            <sz val="9"/>
            <color indexed="81"/>
            <rFont val="Segoe UI"/>
            <family val="2"/>
          </rPr>
          <t xml:space="preserve">
</t>
        </r>
      </text>
    </comment>
    <comment ref="Y115" authorId="0" shapeId="0" xr:uid="{00000000-0006-0000-0000-00000A000000}">
      <text>
        <r>
          <rPr>
            <sz val="9"/>
            <color indexed="81"/>
            <rFont val="Segoe UI"/>
            <family val="2"/>
          </rPr>
          <t>- Poka Yoke, changes to process, procedures and/or design - FMEA
- Tests, simulations
- if relevant, customer approval
- Verification: No induction of new problems through implementation of corrective actions
- Choose corrective actions to be implemented</t>
        </r>
      </text>
    </comment>
    <comment ref="Y131" authorId="0" shapeId="0" xr:uid="{00000000-0006-0000-0000-00000B000000}">
      <text>
        <r>
          <rPr>
            <sz val="9"/>
            <color indexed="81"/>
            <rFont val="Segoe UI"/>
            <family val="2"/>
          </rPr>
          <t xml:space="preserve">- Monitoring of corrective actions - Monitoring of defect occurrence - Defect statistics, Paynter Chart, field monitoring - Document results
</t>
        </r>
      </text>
    </comment>
    <comment ref="Y152" authorId="0" shapeId="0" xr:uid="{00000000-0006-0000-0000-00000C000000}">
      <text>
        <r>
          <rPr>
            <sz val="9"/>
            <color indexed="81"/>
            <rFont val="Segoe UI"/>
            <family val="2"/>
          </rPr>
          <t xml:space="preserve">- Update documents (e.g. FMEA, directives, PQP, checklists, visual control catalogue, design rules)
- Lessons Learned (application also for similar parts, processes, plants etc.)
</t>
        </r>
      </text>
    </comment>
    <comment ref="Y163" authorId="0" shapeId="0" xr:uid="{00000000-0006-0000-0000-00000D000000}">
      <text>
        <r>
          <rPr>
            <sz val="9"/>
            <color indexed="81"/>
            <rFont val="Segoe UI"/>
            <family val="2"/>
          </rPr>
          <t xml:space="preserve">- Final session
- Signatures (by 8D sponsor, plant manager etc.) - Archivation of signed 8D
</t>
        </r>
      </text>
    </comment>
  </commentList>
</comments>
</file>

<file path=xl/comments2.xml><?xml version="1.0" encoding="utf-8"?>
<comments xmlns="http://schemas.openxmlformats.org/spreadsheetml/2006/main" xmlns:mc="http://schemas.openxmlformats.org/markup-compatibility/2006" xmlns:xr="http://schemas.microsoft.com/office/spreadsheetml/2014/revision" mc:Ignorable="xr">
  <authors>
    <author>jba5mc</author>
  </authors>
  <commentList>
    <comment ref="C13" authorId="0" shapeId="0" xr:uid="{00000000-0006-0000-0100-000001000000}">
      <text>
        <r>
          <rPr>
            <sz val="12"/>
            <color indexed="81"/>
            <rFont val="Arial"/>
            <family val="2"/>
            <charset val="238"/>
          </rPr>
          <t>0&lt;α&lt;1
general: α=0,1 or 0,05</t>
        </r>
      </text>
    </comment>
  </commentList>
</comments>
</file>

<file path=xl/comments3.xml><?xml version="1.0" encoding="utf-8"?>
<comments xmlns="http://schemas.openxmlformats.org/spreadsheetml/2006/main" xmlns:mc="http://schemas.openxmlformats.org/markup-compatibility/2006" xmlns:xr="http://schemas.microsoft.com/office/spreadsheetml/2014/revision" mc:Ignorable="xr">
  <authors>
    <author>waf2abt</author>
  </authors>
  <commentList>
    <comment ref="F22" authorId="0" shapeId="0" xr:uid="{00000000-0006-0000-0300-000001000000}">
      <text>
        <r>
          <rPr>
            <b/>
            <sz val="9"/>
            <color indexed="81"/>
            <rFont val="Tahoma"/>
            <family val="2"/>
          </rPr>
          <t>waf2abt:</t>
        </r>
        <r>
          <rPr>
            <sz val="9"/>
            <color indexed="81"/>
            <rFont val="Tahoma"/>
            <family val="2"/>
          </rPr>
          <t xml:space="preserve">
Nature of what happened.
--&gt; What exactly is the problem?
- Object with defect
(Supplier, plant, customer, application)
- Defect on the part
(from analysis)
</t>
        </r>
      </text>
    </comment>
    <comment ref="F23" authorId="0" shapeId="0" xr:uid="{00000000-0006-0000-0300-000002000000}">
      <text>
        <r>
          <rPr>
            <b/>
            <sz val="9"/>
            <color indexed="81"/>
            <rFont val="Tahoma"/>
            <family val="2"/>
          </rPr>
          <t>waf2abt:</t>
        </r>
        <r>
          <rPr>
            <sz val="9"/>
            <color indexed="81"/>
            <rFont val="Tahoma"/>
            <family val="2"/>
          </rPr>
          <t xml:space="preserve">
Location where the incident occurred.
--&gt; Where exactly is the problem observed?
- geographical is the object with defect observed
- in process is failure observed?
- on the object is the observed
(from analysis)
</t>
        </r>
      </text>
    </comment>
    <comment ref="F24" authorId="0" shapeId="0" xr:uid="{00000000-0006-0000-0300-000003000000}">
      <text>
        <r>
          <rPr>
            <b/>
            <sz val="9"/>
            <color indexed="81"/>
            <rFont val="Tahoma"/>
            <family val="2"/>
          </rPr>
          <t>waf2abt:</t>
        </r>
        <r>
          <rPr>
            <sz val="9"/>
            <color indexed="81"/>
            <rFont val="Tahoma"/>
            <family val="2"/>
          </rPr>
          <t xml:space="preserve">
Time of the incident.
--&gt; When exactly is the problem observed?
- when at first, 
- when again (trend, repetition, rythm of occurence)
- when in the life cycle of the object</t>
        </r>
      </text>
    </comment>
    <comment ref="F25" authorId="0" shapeId="0" xr:uid="{00000000-0006-0000-0300-000004000000}">
      <text>
        <r>
          <rPr>
            <b/>
            <sz val="9"/>
            <color indexed="81"/>
            <rFont val="Tahoma"/>
            <family val="2"/>
          </rPr>
          <t>waf2abt:</t>
        </r>
        <r>
          <rPr>
            <sz val="9"/>
            <color indexed="81"/>
            <rFont val="Tahoma"/>
            <family val="2"/>
          </rPr>
          <t xml:space="preserve">
Scale of the incident:
--&gt; How much/many is/are affected? How often exactly does the problem occur? 
- how many objects show the failure
- how much at the object is affected
- how many defects at the object
- tendancy, trend</t>
        </r>
      </text>
    </comment>
  </commentList>
</comments>
</file>

<file path=xl/sharedStrings.xml><?xml version="1.0" encoding="utf-8"?>
<sst xmlns="http://schemas.openxmlformats.org/spreadsheetml/2006/main" count="652" uniqueCount="417">
  <si>
    <t>No.</t>
  </si>
  <si>
    <t>1st Why?</t>
  </si>
  <si>
    <t>2nd Why?</t>
  </si>
  <si>
    <t>3rd Why?</t>
  </si>
  <si>
    <t>4th Why?</t>
  </si>
  <si>
    <t>5th Why?</t>
  </si>
  <si>
    <t>Actual value (nonconformity):</t>
  </si>
  <si>
    <t>Header data</t>
  </si>
  <si>
    <t>Problem Description</t>
  </si>
  <si>
    <t xml:space="preserve">D1 </t>
  </si>
  <si>
    <t>Problem Solving Team</t>
  </si>
  <si>
    <t xml:space="preserve">D2 </t>
  </si>
  <si>
    <t xml:space="preserve">D3 </t>
  </si>
  <si>
    <t xml:space="preserve">D4 </t>
  </si>
  <si>
    <t>Root Cause Analysis</t>
  </si>
  <si>
    <t xml:space="preserve">D5 </t>
  </si>
  <si>
    <t xml:space="preserve">D6 </t>
  </si>
  <si>
    <t xml:space="preserve">D7 </t>
  </si>
  <si>
    <t xml:space="preserve">D8 </t>
  </si>
  <si>
    <t>Final Meeting</t>
  </si>
  <si>
    <t>Sponsor:</t>
  </si>
  <si>
    <t>Supplier description:</t>
  </si>
  <si>
    <t>Prevention of recurrence of the non-conformity</t>
  </si>
  <si>
    <t>Attachment No.</t>
  </si>
  <si>
    <t>Intermediate report:</t>
  </si>
  <si>
    <t>Concession No.:</t>
  </si>
  <si>
    <t>Final report:</t>
  </si>
  <si>
    <t>8D-Title:</t>
  </si>
  <si>
    <t>Supplier No.:</t>
  </si>
  <si>
    <t>Supplier name:</t>
  </si>
  <si>
    <t>Telephone:</t>
  </si>
  <si>
    <t>Business Address:</t>
  </si>
  <si>
    <t>Email:</t>
  </si>
  <si>
    <t>Contact Person at Supplier:</t>
  </si>
  <si>
    <t>Responsible:</t>
  </si>
  <si>
    <t>Date:</t>
  </si>
  <si>
    <t>completed on:</t>
  </si>
  <si>
    <t>Introduction of corrective actions and tracking of effectiveness</t>
  </si>
  <si>
    <t>due date:</t>
  </si>
  <si>
    <t>Participants:</t>
  </si>
  <si>
    <t>Name:</t>
  </si>
  <si>
    <t>Signature:</t>
  </si>
  <si>
    <t>Action</t>
  </si>
  <si>
    <t>Responsible</t>
  </si>
  <si>
    <t>Quantity checked TOTAL</t>
  </si>
  <si>
    <t>Quantity 
NOK parts</t>
  </si>
  <si>
    <t>Reproduction of the defect possible?</t>
  </si>
  <si>
    <t>Team Leader:</t>
  </si>
  <si>
    <t>1.</t>
  </si>
  <si>
    <t>2.</t>
  </si>
  <si>
    <t>3.</t>
  </si>
  <si>
    <t>4.</t>
  </si>
  <si>
    <t>5.</t>
  </si>
  <si>
    <t>6.</t>
  </si>
  <si>
    <t>7.</t>
  </si>
  <si>
    <t>8.</t>
  </si>
  <si>
    <t>9.</t>
  </si>
  <si>
    <t>10.</t>
  </si>
  <si>
    <t>Part number</t>
  </si>
  <si>
    <t>Sponsor</t>
  </si>
  <si>
    <t>Email</t>
  </si>
  <si>
    <t>Phone</t>
  </si>
  <si>
    <t>Function/Department</t>
  </si>
  <si>
    <t>Team Leader</t>
  </si>
  <si>
    <t>Team Member</t>
  </si>
  <si>
    <t>Quantity Complained</t>
  </si>
  <si>
    <t>Quantity Returned</t>
  </si>
  <si>
    <t xml:space="preserve">Location of Detection </t>
  </si>
  <si>
    <t>Problem description:</t>
  </si>
  <si>
    <t>8D report</t>
  </si>
  <si>
    <t>Control Method</t>
  </si>
  <si>
    <t>Where</t>
  </si>
  <si>
    <t>Lessons Learned transfer to other Processes, Products, Plants</t>
  </si>
  <si>
    <t>8D started on:</t>
  </si>
  <si>
    <t>Accomplished on:</t>
  </si>
  <si>
    <t>Corrective actions and proof of effectiveness:</t>
  </si>
  <si>
    <t>Signatures</t>
  </si>
  <si>
    <t>Containment actions</t>
  </si>
  <si>
    <t>Introduced on</t>
  </si>
  <si>
    <t>Removal of containment actions:</t>
  </si>
  <si>
    <t>removed on:</t>
  </si>
  <si>
    <t>Quantity blocked TOTAL</t>
  </si>
  <si>
    <t>Date of Detection</t>
  </si>
  <si>
    <t>Plant manager:</t>
  </si>
  <si>
    <t>Effective-
ness [%]</t>
  </si>
  <si>
    <t>Quantity Delivered</t>
  </si>
  <si>
    <t>Man</t>
  </si>
  <si>
    <t>Machine</t>
  </si>
  <si>
    <t>Measurement</t>
  </si>
  <si>
    <t>Environment</t>
  </si>
  <si>
    <t>Material</t>
  </si>
  <si>
    <t>Method</t>
  </si>
  <si>
    <t xml:space="preserve">Preliminary Risk Assessment
</t>
  </si>
  <si>
    <t xml:space="preserve">Part name: </t>
  </si>
  <si>
    <t>Supplier delivery No. / 
Shipment date :</t>
  </si>
  <si>
    <t>Problem description / what, where, when, how much, how often, who, …. etc. /</t>
  </si>
  <si>
    <t>Please specify.</t>
  </si>
  <si>
    <t>Description of Quality Alert and Firewall (until verification of actions in D6).</t>
  </si>
  <si>
    <t>Identification of Controlled Parts</t>
  </si>
  <si>
    <t>D4 - Ishikawa</t>
  </si>
  <si>
    <t>Attachment</t>
  </si>
  <si>
    <t>D2 - Failure Visualization</t>
  </si>
  <si>
    <t>Use following colors to categories the root causes in the Ishikawa:</t>
  </si>
  <si>
    <t>Reason of exclusion:</t>
  </si>
  <si>
    <t>OCCURENCE</t>
  </si>
  <si>
    <t>Failure description</t>
  </si>
  <si>
    <t>Possible cause</t>
  </si>
  <si>
    <t>Most probable cause</t>
  </si>
  <si>
    <t>Date of verification</t>
  </si>
  <si>
    <t>3. Instructions</t>
  </si>
  <si>
    <t>4. Process parameters</t>
  </si>
  <si>
    <t>5. Test Equipment</t>
  </si>
  <si>
    <t>6. Check the checker</t>
  </si>
  <si>
    <t>7. TPM</t>
  </si>
  <si>
    <t>8. Tools</t>
  </si>
  <si>
    <t>9. Restart</t>
  </si>
  <si>
    <t>10. Labeling</t>
  </si>
  <si>
    <t>11. Rework, scrap</t>
  </si>
  <si>
    <t>12. Dropped parts</t>
  </si>
  <si>
    <t>13. Correct product</t>
  </si>
  <si>
    <t>Estimated effectiveness %</t>
  </si>
  <si>
    <t>Effective from</t>
  </si>
  <si>
    <t>Effectiveness %</t>
  </si>
  <si>
    <t>Introduction on:</t>
  </si>
  <si>
    <t>(FMEA, directives, PQP, drawing, … etc.):</t>
  </si>
  <si>
    <t>Could the root cause affect other processes, products or sites? ...Which?</t>
  </si>
  <si>
    <t>Comments:</t>
  </si>
  <si>
    <t>D4 - 5 Why?</t>
  </si>
  <si>
    <t>Q:</t>
  </si>
  <si>
    <t>A:</t>
  </si>
  <si>
    <t>The problem with which the 5Why question chain is started:</t>
  </si>
  <si>
    <t>Technical root cause</t>
  </si>
  <si>
    <t>Managerial root cause</t>
  </si>
  <si>
    <t>Complete all fields. Use n/a if not applicable.
Add lines, information and fields as necessary to completely present your problem solving activities.</t>
  </si>
  <si>
    <t>Excluded cause</t>
  </si>
  <si>
    <t>Categorization of failure:</t>
  </si>
  <si>
    <t>Occurrence</t>
  </si>
  <si>
    <t>1. Man</t>
  </si>
  <si>
    <t>2. Machine</t>
  </si>
  <si>
    <t>3. Measurement</t>
  </si>
  <si>
    <t>4. Environment</t>
  </si>
  <si>
    <t>5. Material</t>
  </si>
  <si>
    <t>6. Method</t>
  </si>
  <si>
    <t>additional failures are expected</t>
  </si>
  <si>
    <t>and</t>
  </si>
  <si>
    <t>Between</t>
  </si>
  <si>
    <t>Parts</t>
  </si>
  <si>
    <t>Significance level (α/2)</t>
  </si>
  <si>
    <t xml:space="preserve"> estimated defective products over the population</t>
  </si>
  <si>
    <t>Under the prerequisite of a binomial distribution, following calculation basis applies:</t>
  </si>
  <si>
    <t>p': Failure rate of the population Vp</t>
  </si>
  <si>
    <t>p=i/n: Failure rate of n</t>
  </si>
  <si>
    <t>OUTPUT</t>
  </si>
  <si>
    <t>Confidence level (1-α) in %, per default 90%</t>
  </si>
  <si>
    <t>i: Number of defective products in n</t>
  </si>
  <si>
    <t>n: Representative sample</t>
  </si>
  <si>
    <t>INPUT</t>
  </si>
  <si>
    <t>Calculation Sheet for Risk Evaluation</t>
  </si>
  <si>
    <t>Estimation regarding the additional failures from the manufactured products batch. A quantified statement of the number of failures is required. Additionally, it is recommended to determine the failure rate in ppm</t>
  </si>
  <si>
    <t>(e.g. 3 parts 0-km, 11 parts Field)</t>
  </si>
  <si>
    <t>- The severity of the failure effect (e.g.: Part not mountable, noisy operation)</t>
  </si>
  <si>
    <t>- The detection probability at customer side (e.g.: Detection at customer via 100% functional test or sampling inspection)</t>
  </si>
  <si>
    <t>Ideally is a rating for S, O, and D like in the FMEA have to be defined. A clear qualitative statement could also be adequate. (For S e.g: Non-operating air conditioner).</t>
  </si>
  <si>
    <t>C1 : MFD as of when defective products were manufactured</t>
  </si>
  <si>
    <t>C2 : Implementation date of the corrective actions</t>
  </si>
  <si>
    <t>Cc: MFD of complained products</t>
  </si>
  <si>
    <t>i : Number of defective products from the representative sample (Determined via sorting/testing)</t>
  </si>
  <si>
    <t>nC : Estimated number of delivered/manufactured defective products</t>
  </si>
  <si>
    <t>p=i/n: Failure rate in the representative sample</t>
  </si>
  <si>
    <t>VC : Complained lot</t>
  </si>
  <si>
    <t>VP: Production lot between C1 and C2</t>
  </si>
  <si>
    <t>Risk evaluation:</t>
  </si>
  <si>
    <t>nC = p×(VP -n)</t>
  </si>
  <si>
    <t>A supplier has performed parameter modification in the welding process for the wiper system base plate on the 27.07.2010. In the worst case, the joint tube/plate cannot endure the specified mechanical stress.</t>
  </si>
  <si>
    <t>Affected are base plates with MFD from 27.07.2010 to 01.09.2010.</t>
  </si>
  <si>
    <t>The parts from 01.08.2010 to 01.11.2010 were mounted into of 20.000 WSA, further classification is not possible.</t>
  </si>
  <si>
    <t>The customer has complained three WSA with MFD 09.08.2010, 17.10.2010 and 23.10.2010. The failure occurred in the customer plant during a sampling inspection of the vehicle. For the WSA still to be mounted until C2, the customer will 100 % perform this inspection.</t>
  </si>
  <si>
    <t>It must be assumed that the critical parts, which were not detected in the customer plant, will become conspicuous as early failure in field. Since no field failures are known, no Weibull analysis is possible.</t>
  </si>
  <si>
    <t>From the 20.000 WSA, 19.000 are already mounted, 1000 are still to be mounted by the customer before implementing corrective actions.</t>
  </si>
  <si>
    <t>Fictional example of a Risk Analysis</t>
  </si>
  <si>
    <t>The analysis of a representative sample, taken from the still to be mounted parts resulted in the following:</t>
  </si>
  <si>
    <t>- 450 were checked</t>
  </si>
  <si>
    <t>- 2 n.O.K</t>
  </si>
  <si>
    <t>Evaluation of the Risk for WSA:</t>
  </si>
  <si>
    <t>Date C1 : 01.08.2010 Date C2 : 01.11.2010</t>
  </si>
  <si>
    <t>VC : 3 VP: 20000</t>
  </si>
  <si>
    <t>n: 450 i : 2</t>
  </si>
  <si>
    <t>VP-0km: Production lot between C1 and C2 relevant for 0-km Risk</t>
  </si>
  <si>
    <t>VP-Field: Production lot between C1 and C2 relevant for Field Risk</t>
  </si>
  <si>
    <t>VP-0km =1000-450</t>
  </si>
  <si>
    <t>VP-Field =19000-3</t>
  </si>
  <si>
    <t>p=i/n=2/450</t>
  </si>
  <si>
    <t>nc-0-km= 2/450×(1.000-450)= 2,4 Parts</t>
  </si>
  <si>
    <t> Between 1 and 8 additional 0km failures are to be expected. (Determination with Appendix 1 for a confidence level of 90%)</t>
  </si>
  <si>
    <t>nc-Field= 2/450×(19.000-3)= 84,4 Parts</t>
  </si>
  <si>
    <t> Between 16 and 265 field failures are to be expected. (Determination with Appendix 1 for a confidence level of 90%)</t>
  </si>
  <si>
    <t>nc-Field ppm= p*1.000.000= 4.440ppm</t>
  </si>
  <si>
    <t> Between 791 and 13900ppm are to be expected. (Determination with Appendix 1 for a confidence level of 90%)</t>
  </si>
  <si>
    <t>Remarks:</t>
  </si>
  <si>
    <t>- In order to determine the number of defective products Internal/0-km/Field in each case separately, if necessary further limitation of VP is to be made.</t>
  </si>
  <si>
    <t>- Additionally, to the expected number of failures, the failure rate should be specified in ppm nCppm=p×1.000.000</t>
  </si>
  <si>
    <t>- If relevant the complained lot VC is to be subtracted from nC, in order to determine the additional number of failures.</t>
  </si>
  <si>
    <t>- For the determination regarding the variation of estimated nC, the confidence interval could be identified according to Appendix 1. See for this also Booklet 2 Page 55-58.</t>
  </si>
  <si>
    <t>- If i = 0 is, the confidence interval should be identified in each case, in order to represent the Worst Case.</t>
  </si>
  <si>
    <t>- Risk estimation for field cases:</t>
  </si>
  <si>
    <t>o In case the fundamentals for a Weibull analysis are present (Number of defective products &gt;10 preferably with varying service life and/or mileage), this is to be performed</t>
  </si>
  <si>
    <t>o If necessary, the determination of a representative sample can alternatively be performed as follows:</t>
  </si>
  <si>
    <t> i: The extent of the suspected lot in the monitored market segment</t>
  </si>
  <si>
    <t> n: Number of complained products from the monitored market segment</t>
  </si>
  <si>
    <t>NON-DETECTION</t>
  </si>
  <si>
    <t>1. Recurring failure</t>
  </si>
  <si>
    <t>2. Pass through failure</t>
  </si>
  <si>
    <t>14. Remaining items</t>
  </si>
  <si>
    <t>Non-Detection</t>
  </si>
  <si>
    <t>no</t>
  </si>
  <si>
    <t>Root cause analysis can make after receiving the complained parts</t>
  </si>
  <si>
    <t>Yes</t>
  </si>
  <si>
    <t xml:space="preserve">Specific requirement: </t>
  </si>
  <si>
    <t>Complaint No.:</t>
  </si>
  <si>
    <r>
      <t xml:space="preserve">Risk analysis: </t>
    </r>
    <r>
      <rPr>
        <i/>
        <sz val="11"/>
        <rFont val="맑은 고딕"/>
        <family val="2"/>
        <charset val="238"/>
        <scheme val="minor"/>
      </rPr>
      <t>/A first risk estimation regarding further affected parts has to be performed, based on the available data; probability of occurrence, probability of detection /</t>
    </r>
  </si>
  <si>
    <t>Part number:</t>
  </si>
  <si>
    <t xml:space="preserve">Other Parts potentially affected?            
</t>
  </si>
  <si>
    <t xml:space="preserve">Other Eckerle Plants potentially affected?            
</t>
  </si>
  <si>
    <t>Eckerle description:</t>
  </si>
  <si>
    <t>Contact Person at Eckerle:</t>
  </si>
  <si>
    <t>Eckerle Production plant:</t>
  </si>
  <si>
    <t>Date of Part Return (leaving Eckerle)</t>
  </si>
  <si>
    <t>Failure effect / Eckerle, Bosch or other Customer, OEM, FIELD / :</t>
  </si>
  <si>
    <t>For i &gt; 0</t>
  </si>
  <si>
    <t>For i = 0 (No defective part in the sample)</t>
  </si>
  <si>
    <r>
      <t>V</t>
    </r>
    <r>
      <rPr>
        <vertAlign val="subscript"/>
        <sz val="12"/>
        <color indexed="8"/>
        <rFont val="맑은 고딕"/>
        <family val="2"/>
        <charset val="238"/>
        <scheme val="minor"/>
      </rPr>
      <t>P</t>
    </r>
    <r>
      <rPr>
        <sz val="12"/>
        <color indexed="8"/>
        <rFont val="맑은 고딕"/>
        <family val="2"/>
        <charset val="238"/>
        <scheme val="minor"/>
      </rPr>
      <t>: Production lot between C2 and C1</t>
    </r>
  </si>
  <si>
    <r>
      <t>p'</t>
    </r>
    <r>
      <rPr>
        <vertAlign val="subscript"/>
        <sz val="12"/>
        <color indexed="8"/>
        <rFont val="맑은 고딕"/>
        <family val="2"/>
        <charset val="238"/>
        <scheme val="minor"/>
      </rPr>
      <t>low</t>
    </r>
    <r>
      <rPr>
        <sz val="12"/>
        <color indexed="8"/>
        <rFont val="맑은 고딕"/>
        <family val="2"/>
        <charset val="238"/>
        <scheme val="minor"/>
      </rPr>
      <t>: Lower limit of confidence interval of p'</t>
    </r>
  </si>
  <si>
    <r>
      <t>p'</t>
    </r>
    <r>
      <rPr>
        <vertAlign val="subscript"/>
        <sz val="12"/>
        <color indexed="8"/>
        <rFont val="맑은 고딕"/>
        <family val="2"/>
        <charset val="238"/>
        <scheme val="minor"/>
      </rPr>
      <t>upp</t>
    </r>
    <r>
      <rPr>
        <sz val="12"/>
        <color indexed="8"/>
        <rFont val="맑은 고딕"/>
        <family val="2"/>
        <charset val="238"/>
        <scheme val="minor"/>
      </rPr>
      <t>: Upper limit of confidence interval of p'</t>
    </r>
  </si>
  <si>
    <r>
      <t>n</t>
    </r>
    <r>
      <rPr>
        <vertAlign val="subscript"/>
        <sz val="12"/>
        <color indexed="8"/>
        <rFont val="맑은 고딕"/>
        <family val="2"/>
        <charset val="238"/>
        <scheme val="minor"/>
      </rPr>
      <t>C</t>
    </r>
    <r>
      <rPr>
        <sz val="12"/>
        <color indexed="8"/>
        <rFont val="맑은 고딕"/>
        <family val="2"/>
        <charset val="238"/>
        <scheme val="minor"/>
      </rPr>
      <t>: Estimated number of delivered/manufactured defective products</t>
    </r>
  </si>
  <si>
    <r>
      <t>n</t>
    </r>
    <r>
      <rPr>
        <vertAlign val="subscript"/>
        <sz val="12"/>
        <color indexed="8"/>
        <rFont val="맑은 고딕"/>
        <family val="2"/>
        <charset val="238"/>
        <scheme val="minor"/>
      </rPr>
      <t>C</t>
    </r>
    <r>
      <rPr>
        <sz val="12"/>
        <color indexed="8"/>
        <rFont val="맑은 고딕"/>
        <family val="2"/>
        <charset val="238"/>
        <scheme val="minor"/>
      </rPr>
      <t>'</t>
    </r>
    <r>
      <rPr>
        <vertAlign val="subscript"/>
        <sz val="12"/>
        <color indexed="8"/>
        <rFont val="맑은 고딕"/>
        <family val="2"/>
        <charset val="238"/>
        <scheme val="minor"/>
      </rPr>
      <t>low</t>
    </r>
    <r>
      <rPr>
        <sz val="12"/>
        <color indexed="8"/>
        <rFont val="맑은 고딕"/>
        <family val="2"/>
        <charset val="238"/>
        <scheme val="minor"/>
      </rPr>
      <t>: Lower limit of number of delivered/manufactured defective products</t>
    </r>
  </si>
  <si>
    <r>
      <t>n</t>
    </r>
    <r>
      <rPr>
        <vertAlign val="subscript"/>
        <sz val="12"/>
        <color indexed="8"/>
        <rFont val="맑은 고딕"/>
        <family val="2"/>
        <charset val="238"/>
        <scheme val="minor"/>
      </rPr>
      <t>C</t>
    </r>
    <r>
      <rPr>
        <sz val="12"/>
        <color indexed="8"/>
        <rFont val="맑은 고딕"/>
        <family val="2"/>
        <charset val="238"/>
        <scheme val="minor"/>
      </rPr>
      <t>'</t>
    </r>
    <r>
      <rPr>
        <vertAlign val="subscript"/>
        <sz val="12"/>
        <color indexed="8"/>
        <rFont val="맑은 고딕"/>
        <family val="2"/>
        <charset val="238"/>
        <scheme val="minor"/>
      </rPr>
      <t>upp</t>
    </r>
    <r>
      <rPr>
        <sz val="12"/>
        <color indexed="8"/>
        <rFont val="맑은 고딕"/>
        <family val="2"/>
        <charset val="238"/>
        <scheme val="minor"/>
      </rPr>
      <t>: Upper limit of number of delivered/manufactured defective products</t>
    </r>
  </si>
  <si>
    <r>
      <t>p'</t>
    </r>
    <r>
      <rPr>
        <vertAlign val="subscript"/>
        <sz val="12"/>
        <color indexed="8"/>
        <rFont val="맑은 고딕"/>
        <family val="2"/>
        <charset val="238"/>
        <scheme val="minor"/>
      </rPr>
      <t>low</t>
    </r>
    <r>
      <rPr>
        <sz val="12"/>
        <color indexed="8"/>
        <rFont val="맑은 고딕"/>
        <family val="2"/>
        <charset val="238"/>
        <scheme val="minor"/>
      </rPr>
      <t xml:space="preserve"> ≤p'≤ p'</t>
    </r>
    <r>
      <rPr>
        <vertAlign val="subscript"/>
        <sz val="12"/>
        <color indexed="8"/>
        <rFont val="맑은 고딕"/>
        <family val="2"/>
        <charset val="238"/>
        <scheme val="minor"/>
      </rPr>
      <t>upp</t>
    </r>
  </si>
  <si>
    <r>
      <t>p'</t>
    </r>
    <r>
      <rPr>
        <vertAlign val="subscript"/>
        <sz val="12"/>
        <color indexed="8"/>
        <rFont val="맑은 고딕"/>
        <family val="2"/>
        <charset val="238"/>
        <scheme val="minor"/>
      </rPr>
      <t>low</t>
    </r>
    <r>
      <rPr>
        <sz val="12"/>
        <color indexed="8"/>
        <rFont val="맑은 고딕"/>
        <family val="2"/>
        <charset val="238"/>
        <scheme val="minor"/>
      </rPr>
      <t xml:space="preserve"> = i/(i+(n-i+1).F</t>
    </r>
    <r>
      <rPr>
        <vertAlign val="subscript"/>
        <sz val="12"/>
        <color indexed="8"/>
        <rFont val="맑은 고딕"/>
        <family val="2"/>
        <charset val="238"/>
        <scheme val="minor"/>
      </rPr>
      <t>f1,f2;1-α/2</t>
    </r>
    <r>
      <rPr>
        <sz val="12"/>
        <color indexed="8"/>
        <rFont val="맑은 고딕"/>
        <family val="2"/>
        <charset val="238"/>
        <scheme val="minor"/>
      </rPr>
      <t>)</t>
    </r>
  </si>
  <si>
    <r>
      <t>p'</t>
    </r>
    <r>
      <rPr>
        <vertAlign val="subscript"/>
        <sz val="12"/>
        <color indexed="8"/>
        <rFont val="맑은 고딕"/>
        <family val="2"/>
        <charset val="238"/>
        <scheme val="minor"/>
      </rPr>
      <t>upp</t>
    </r>
    <r>
      <rPr>
        <sz val="12"/>
        <color indexed="8"/>
        <rFont val="맑은 고딕"/>
        <family val="2"/>
        <charset val="238"/>
        <scheme val="minor"/>
      </rPr>
      <t xml:space="preserve"> = ((i+1).F</t>
    </r>
    <r>
      <rPr>
        <vertAlign val="subscript"/>
        <sz val="12"/>
        <color indexed="8"/>
        <rFont val="맑은 고딕"/>
        <family val="2"/>
        <charset val="238"/>
        <scheme val="minor"/>
      </rPr>
      <t>f1,f2;1-α/2</t>
    </r>
    <r>
      <rPr>
        <sz val="12"/>
        <color indexed="8"/>
        <rFont val="맑은 고딕"/>
        <family val="2"/>
        <charset val="238"/>
        <scheme val="minor"/>
      </rPr>
      <t>)/(n-i+(i+1).F</t>
    </r>
    <r>
      <rPr>
        <vertAlign val="subscript"/>
        <sz val="12"/>
        <color indexed="8"/>
        <rFont val="맑은 고딕"/>
        <family val="2"/>
        <charset val="238"/>
        <scheme val="minor"/>
      </rPr>
      <t>f1,f2;1-α/2</t>
    </r>
    <r>
      <rPr>
        <sz val="12"/>
        <color indexed="8"/>
        <rFont val="맑은 고딕"/>
        <family val="2"/>
        <charset val="238"/>
        <scheme val="minor"/>
      </rPr>
      <t>)</t>
    </r>
  </si>
  <si>
    <r>
      <t>n</t>
    </r>
    <r>
      <rPr>
        <vertAlign val="subscript"/>
        <sz val="12"/>
        <color indexed="8"/>
        <rFont val="맑은 고딕"/>
        <family val="2"/>
        <charset val="238"/>
        <scheme val="minor"/>
      </rPr>
      <t xml:space="preserve">C </t>
    </r>
    <r>
      <rPr>
        <sz val="12"/>
        <color indexed="8"/>
        <rFont val="맑은 고딕"/>
        <family val="2"/>
        <charset val="238"/>
        <scheme val="minor"/>
      </rPr>
      <t>= p⋅(V</t>
    </r>
    <r>
      <rPr>
        <vertAlign val="subscript"/>
        <sz val="12"/>
        <color indexed="8"/>
        <rFont val="맑은 고딕"/>
        <family val="2"/>
        <charset val="238"/>
        <scheme val="minor"/>
      </rPr>
      <t>P</t>
    </r>
    <r>
      <rPr>
        <sz val="12"/>
        <color indexed="8"/>
        <rFont val="맑은 고딕"/>
        <family val="2"/>
        <charset val="238"/>
        <scheme val="minor"/>
      </rPr>
      <t>-n)</t>
    </r>
  </si>
  <si>
    <r>
      <t>n</t>
    </r>
    <r>
      <rPr>
        <vertAlign val="subscript"/>
        <sz val="12"/>
        <color indexed="8"/>
        <rFont val="맑은 고딕"/>
        <family val="2"/>
        <charset val="238"/>
        <scheme val="minor"/>
      </rPr>
      <t>C</t>
    </r>
    <r>
      <rPr>
        <sz val="12"/>
        <color indexed="8"/>
        <rFont val="맑은 고딕"/>
        <family val="2"/>
        <charset val="238"/>
        <scheme val="minor"/>
      </rPr>
      <t>'</t>
    </r>
    <r>
      <rPr>
        <vertAlign val="subscript"/>
        <sz val="12"/>
        <color indexed="8"/>
        <rFont val="맑은 고딕"/>
        <family val="2"/>
        <charset val="238"/>
        <scheme val="minor"/>
      </rPr>
      <t>low</t>
    </r>
    <r>
      <rPr>
        <sz val="12"/>
        <color indexed="8"/>
        <rFont val="맑은 고딕"/>
        <family val="2"/>
        <charset val="238"/>
        <scheme val="minor"/>
      </rPr>
      <t>= p'</t>
    </r>
    <r>
      <rPr>
        <vertAlign val="subscript"/>
        <sz val="12"/>
        <color indexed="8"/>
        <rFont val="맑은 고딕"/>
        <family val="2"/>
        <charset val="238"/>
        <scheme val="minor"/>
      </rPr>
      <t>low</t>
    </r>
    <r>
      <rPr>
        <sz val="12"/>
        <color indexed="8"/>
        <rFont val="맑은 고딕"/>
        <family val="2"/>
        <charset val="238"/>
        <scheme val="minor"/>
      </rPr>
      <t>⋅(V</t>
    </r>
    <r>
      <rPr>
        <vertAlign val="subscript"/>
        <sz val="12"/>
        <color indexed="8"/>
        <rFont val="맑은 고딕"/>
        <family val="2"/>
        <charset val="238"/>
        <scheme val="minor"/>
      </rPr>
      <t>P</t>
    </r>
    <r>
      <rPr>
        <sz val="12"/>
        <color indexed="8"/>
        <rFont val="맑은 고딕"/>
        <family val="2"/>
        <charset val="238"/>
        <scheme val="minor"/>
      </rPr>
      <t>-n)</t>
    </r>
  </si>
  <si>
    <r>
      <t>n</t>
    </r>
    <r>
      <rPr>
        <vertAlign val="subscript"/>
        <sz val="12"/>
        <color indexed="8"/>
        <rFont val="맑은 고딕"/>
        <family val="2"/>
        <charset val="238"/>
        <scheme val="minor"/>
      </rPr>
      <t>C</t>
    </r>
    <r>
      <rPr>
        <sz val="12"/>
        <color indexed="8"/>
        <rFont val="맑은 고딕"/>
        <family val="2"/>
        <charset val="238"/>
        <scheme val="minor"/>
      </rPr>
      <t>'</t>
    </r>
    <r>
      <rPr>
        <vertAlign val="subscript"/>
        <sz val="12"/>
        <color indexed="8"/>
        <rFont val="맑은 고딕"/>
        <family val="2"/>
        <charset val="238"/>
        <scheme val="minor"/>
      </rPr>
      <t>upp</t>
    </r>
    <r>
      <rPr>
        <sz val="12"/>
        <color indexed="8"/>
        <rFont val="맑은 고딕"/>
        <family val="2"/>
        <charset val="238"/>
        <scheme val="minor"/>
      </rPr>
      <t>= p'</t>
    </r>
    <r>
      <rPr>
        <vertAlign val="subscript"/>
        <sz val="12"/>
        <color indexed="8"/>
        <rFont val="맑은 고딕"/>
        <family val="2"/>
        <charset val="238"/>
        <scheme val="minor"/>
      </rPr>
      <t>upp</t>
    </r>
    <r>
      <rPr>
        <sz val="12"/>
        <color indexed="8"/>
        <rFont val="맑은 고딕"/>
        <family val="2"/>
        <charset val="238"/>
        <scheme val="minor"/>
      </rPr>
      <t>⋅(V</t>
    </r>
    <r>
      <rPr>
        <vertAlign val="subscript"/>
        <sz val="12"/>
        <color indexed="8"/>
        <rFont val="맑은 고딕"/>
        <family val="2"/>
        <charset val="238"/>
        <scheme val="minor"/>
      </rPr>
      <t>P</t>
    </r>
    <r>
      <rPr>
        <sz val="12"/>
        <color indexed="8"/>
        <rFont val="맑은 고딕"/>
        <family val="2"/>
        <charset val="238"/>
        <scheme val="minor"/>
      </rPr>
      <t>-n)</t>
    </r>
  </si>
  <si>
    <r>
      <t>0 ≤p'≤ p'</t>
    </r>
    <r>
      <rPr>
        <vertAlign val="subscript"/>
        <sz val="12"/>
        <color indexed="8"/>
        <rFont val="맑은 고딕"/>
        <family val="2"/>
        <charset val="238"/>
        <scheme val="minor"/>
      </rPr>
      <t>upp</t>
    </r>
  </si>
  <si>
    <r>
      <t>p'</t>
    </r>
    <r>
      <rPr>
        <vertAlign val="subscript"/>
        <sz val="12"/>
        <color indexed="8"/>
        <rFont val="맑은 고딕"/>
        <family val="2"/>
        <charset val="238"/>
        <scheme val="minor"/>
      </rPr>
      <t>upp</t>
    </r>
    <r>
      <rPr>
        <sz val="12"/>
        <color indexed="8"/>
        <rFont val="맑은 고딕"/>
        <family val="2"/>
        <charset val="238"/>
        <scheme val="minor"/>
      </rPr>
      <t xml:space="preserve"> = 1-(α/2)</t>
    </r>
    <r>
      <rPr>
        <vertAlign val="superscript"/>
        <sz val="12"/>
        <color indexed="8"/>
        <rFont val="맑은 고딕"/>
        <family val="2"/>
        <charset val="238"/>
        <scheme val="minor"/>
      </rPr>
      <t>1/n</t>
    </r>
  </si>
  <si>
    <t>Please find further information behind cell comments.</t>
  </si>
  <si>
    <t>8D Title</t>
  </si>
  <si>
    <t>Complaint No.</t>
  </si>
  <si>
    <t>Date</t>
  </si>
  <si>
    <t>Version</t>
  </si>
  <si>
    <t>done by</t>
  </si>
  <si>
    <t>Completed</t>
  </si>
  <si>
    <t>Requirements</t>
  </si>
  <si>
    <t>Comments</t>
  </si>
  <si>
    <t>Counts</t>
  </si>
  <si>
    <t>Please select:</t>
  </si>
  <si>
    <t>N/A</t>
  </si>
  <si>
    <t>No</t>
  </si>
  <si>
    <t>cells</t>
  </si>
  <si>
    <t>y</t>
  </si>
  <si>
    <t>n/a</t>
  </si>
  <si>
    <t>n</t>
  </si>
  <si>
    <t>points</t>
  </si>
  <si>
    <t>score</t>
  </si>
  <si>
    <t>D2 Problem Description</t>
  </si>
  <si>
    <t xml:space="preserve"> </t>
  </si>
  <si>
    <t>What</t>
  </si>
  <si>
    <t>When</t>
  </si>
  <si>
    <t>How many parts affected / How much</t>
  </si>
  <si>
    <t>NOK and OK pictures available.</t>
  </si>
  <si>
    <t>D3 Containment Actions</t>
  </si>
  <si>
    <t>Containment actions are clearly described and in time.</t>
  </si>
  <si>
    <t>Containment actions for current production in effect</t>
  </si>
  <si>
    <t>Containment actions with adequate for defect mode.</t>
  </si>
  <si>
    <t>Sorting results given.</t>
  </si>
  <si>
    <t>Responsibility and implementation date given.</t>
  </si>
  <si>
    <t>Whole supply chain covered.</t>
  </si>
  <si>
    <t>All relevant customers (int./ext.) informed; if necessary authorities notified.</t>
  </si>
  <si>
    <t>D4_a Root Cause Occurance</t>
  </si>
  <si>
    <t>Risk assessment is available.</t>
  </si>
  <si>
    <t>D4-b Root Cause Non detection</t>
  </si>
  <si>
    <t>MRC (leadership and/or business process) analyzed</t>
  </si>
  <si>
    <t>D5/D6-a Corrective Action
 Occurance</t>
  </si>
  <si>
    <t>Defined corrective actions covering all TRC and MRC of D4_a</t>
  </si>
  <si>
    <t xml:space="preserve">Effectiveness for all corrective actions is given. </t>
  </si>
  <si>
    <t>Responsibilities and implementation dates defined.</t>
  </si>
  <si>
    <t>Reason for withdrawal of containment actions is documented.</t>
  </si>
  <si>
    <t>Effectiveness is assessed and evaluated with regard to risks on other product /processes. A protection, e.g. thorugh Poka Yoke could be introduced.</t>
  </si>
  <si>
    <t>The MRC in the business processes and/or leadership are found and corrective actions effectively introduced.</t>
  </si>
  <si>
    <t>Plan for monitoring effectiveness provided. Redundant tests/controls have been stopped.</t>
  </si>
  <si>
    <t>D7 Preventative Actions</t>
  </si>
  <si>
    <t>Update of documents (FMEA, CP, PQP, directives, drawing etc.)</t>
  </si>
  <si>
    <t>Lessons learned (LL) transfer to all relevant products, processes and plants</t>
  </si>
  <si>
    <t>Feedback from LL network documented.</t>
  </si>
  <si>
    <t>D8 Final Meeting</t>
  </si>
  <si>
    <t>Signatures from 8D sponsor, team leader and QM represantative.</t>
  </si>
  <si>
    <t>Team review of 8D process.</t>
  </si>
  <si>
    <t>Signatures of plant or division manager.</t>
  </si>
  <si>
    <t>8D self-evaluation.</t>
  </si>
  <si>
    <t>D5/D6-b Corrective Action</t>
  </si>
  <si>
    <t xml:space="preserve">TRC and MRC (Management System) systematically analyzed. (5W, Ishikawa) </t>
  </si>
  <si>
    <t>TRC and MRC (Management System) systematically analyzed (5W, Ishikawa)</t>
  </si>
  <si>
    <t xml:space="preserve">Part No. </t>
  </si>
  <si>
    <t>Complaint type/mode:
/0-km, Field, Production, Customer, Logistic/</t>
  </si>
  <si>
    <t>Field / 0-km complaint: Risk assessment calculation is mandatory.</t>
  </si>
  <si>
    <t>8D self-evaluation checklist</t>
  </si>
  <si>
    <t>1-3-10 Rule (calendar days)</t>
  </si>
  <si>
    <t xml:space="preserve">
1st day: intemediate report to customer: Effective containment action (8D: head data, D1, D2 and D3 completed) 
3rd day: intemediate report to customer: Root cause investigation, Ishikawa, 5W (8D: D4 completed)
10th day:  Corrective actions implemented (8D: D5, D6, D7, D8 completed) </t>
  </si>
  <si>
    <t>AVO Carbon Korea</t>
    <phoneticPr fontId="56" type="noConversion"/>
  </si>
  <si>
    <t>Eckerle Automotive Kft</t>
    <phoneticPr fontId="56" type="noConversion"/>
  </si>
  <si>
    <r>
      <t>6200 Kisk</t>
    </r>
    <r>
      <rPr>
        <sz val="10"/>
        <rFont val="Segoe UI"/>
        <family val="2"/>
        <charset val="238"/>
      </rPr>
      <t>ő</t>
    </r>
    <r>
      <rPr>
        <sz val="10"/>
        <rFont val="맑은 고딕"/>
        <family val="2"/>
        <charset val="238"/>
        <scheme val="minor"/>
      </rPr>
      <t>rös, Dózsa György út 44</t>
    </r>
    <phoneticPr fontId="56" type="noConversion"/>
  </si>
  <si>
    <t>Jaeseok Lee</t>
    <phoneticPr fontId="56" type="noConversion"/>
  </si>
  <si>
    <t>306 Nongong-ro, Dalseong-gun, Daegu, Repubric of Korea</t>
    <phoneticPr fontId="56" type="noConversion"/>
  </si>
  <si>
    <t>jaeseok.lee@avocarbon.com</t>
    <phoneticPr fontId="56" type="noConversion"/>
  </si>
  <si>
    <t>Sungeun Park</t>
    <phoneticPr fontId="56" type="noConversion"/>
  </si>
  <si>
    <t>Jonggil Jeon</t>
    <phoneticPr fontId="56" type="noConversion"/>
  </si>
  <si>
    <t>jonggil.jeon@avocarbon.com</t>
    <phoneticPr fontId="56" type="noConversion"/>
  </si>
  <si>
    <t>+53.610.6215</t>
    <phoneticPr fontId="56" type="noConversion"/>
  </si>
  <si>
    <t>+82-53-610-4215</t>
    <phoneticPr fontId="56" type="noConversion"/>
  </si>
  <si>
    <t>+82-53-610-4225</t>
    <phoneticPr fontId="56" type="noConversion"/>
  </si>
  <si>
    <t>Production</t>
    <phoneticPr fontId="56" type="noConversion"/>
  </si>
  <si>
    <t>Quality</t>
    <phoneticPr fontId="56" type="noConversion"/>
  </si>
  <si>
    <t>Sorting</t>
    <phoneticPr fontId="56" type="noConversion"/>
  </si>
  <si>
    <t>Visual check</t>
    <phoneticPr fontId="56" type="noConversion"/>
  </si>
  <si>
    <t>JG Jeon</t>
    <phoneticPr fontId="56" type="noConversion"/>
  </si>
  <si>
    <t>Eckerle in line</t>
    <phoneticPr fontId="56" type="noConversion"/>
  </si>
  <si>
    <t>Failure Visualization sheet</t>
    <phoneticPr fontId="56" type="noConversion"/>
  </si>
  <si>
    <t>Specific requirement:</t>
  </si>
  <si>
    <t>Actual value (non conformity):</t>
  </si>
  <si>
    <t>Part Number</t>
    <phoneticPr fontId="56" type="noConversion"/>
  </si>
  <si>
    <t>N/A</t>
    <phoneticPr fontId="56" type="noConversion"/>
  </si>
  <si>
    <t xml:space="preserve">A: </t>
    <phoneticPr fontId="56" type="noConversion"/>
  </si>
  <si>
    <t xml:space="preserve">Q: </t>
    <phoneticPr fontId="56" type="noConversion"/>
  </si>
  <si>
    <t>JM Kim</t>
    <phoneticPr fontId="56" type="noConversion"/>
  </si>
  <si>
    <t xml:space="preserve"> OK</t>
    <phoneticPr fontId="56" type="noConversion"/>
  </si>
  <si>
    <t>근 본 대 책 실 행 (Corrective action) [D6]</t>
    <phoneticPr fontId="56" type="noConversion"/>
  </si>
  <si>
    <r>
      <t xml:space="preserve">문 제 점
</t>
    </r>
    <r>
      <rPr>
        <b/>
        <sz val="9"/>
        <rFont val="맑은 고딕"/>
        <family val="3"/>
        <charset val="129"/>
      </rPr>
      <t>(Problem)</t>
    </r>
    <phoneticPr fontId="56" type="noConversion"/>
  </si>
  <si>
    <r>
      <t xml:space="preserve">공 정 명
</t>
    </r>
    <r>
      <rPr>
        <b/>
        <sz val="9"/>
        <rFont val="맑은 고딕"/>
        <family val="3"/>
        <charset val="129"/>
      </rPr>
      <t>(Process)</t>
    </r>
    <phoneticPr fontId="56" type="noConversion"/>
  </si>
  <si>
    <r>
      <t>검증일자</t>
    </r>
    <r>
      <rPr>
        <b/>
        <sz val="10"/>
        <rFont val="맑은 고딕"/>
        <family val="3"/>
        <charset val="129"/>
      </rPr>
      <t xml:space="preserve">
Verification date</t>
    </r>
    <phoneticPr fontId="56" type="noConversion"/>
  </si>
  <si>
    <r>
      <t>개선전-후
비교</t>
    </r>
    <r>
      <rPr>
        <b/>
        <sz val="10"/>
        <rFont val="맑은 고딕"/>
        <family val="3"/>
        <charset val="129"/>
      </rPr>
      <t xml:space="preserve">
(Comparison)</t>
    </r>
    <phoneticPr fontId="56" type="noConversion"/>
  </si>
  <si>
    <t>개 선 전(Before)</t>
    <phoneticPr fontId="56" type="noConversion"/>
  </si>
  <si>
    <t>개 선 후(After)</t>
    <phoneticPr fontId="56" type="noConversion"/>
  </si>
  <si>
    <r>
      <t>내  용</t>
    </r>
    <r>
      <rPr>
        <b/>
        <sz val="10"/>
        <rFont val="맑은 고딕"/>
        <family val="3"/>
        <charset val="129"/>
      </rPr>
      <t xml:space="preserve">
(Content)</t>
    </r>
    <phoneticPr fontId="56" type="noConversion"/>
  </si>
  <si>
    <t>x</t>
  </si>
  <si>
    <t>yes</t>
    <phoneticPr fontId="56" type="noConversion"/>
  </si>
  <si>
    <t>Grinding process</t>
    <phoneticPr fontId="56" type="noConversion"/>
  </si>
  <si>
    <t xml:space="preserve"> - Informed Quality Alert to all departments &amp; workstations in AVO Korea
 - Visual sorting like D2 failure visualization sheet</t>
    <phoneticPr fontId="56" type="noConversion"/>
  </si>
  <si>
    <t>FMEA update</t>
    <phoneticPr fontId="56" type="noConversion"/>
  </si>
  <si>
    <t xml:space="preserve"> (</t>
    <phoneticPr fontId="56" type="noConversion"/>
  </si>
  <si>
    <t>2025.06.06</t>
    <phoneticPr fontId="56" type="noConversion"/>
  </si>
  <si>
    <t>Shrot brush length</t>
    <phoneticPr fontId="56" type="noConversion"/>
  </si>
  <si>
    <t>Insug Kim</t>
    <phoneticPr fontId="56" type="noConversion"/>
  </si>
  <si>
    <t>insug.kim@avocarbon.com</t>
    <phoneticPr fontId="56" type="noConversion"/>
  </si>
  <si>
    <t>Changmin Park</t>
    <phoneticPr fontId="56" type="noConversion"/>
  </si>
  <si>
    <t>changmin.park@avocarbon.com</t>
    <phoneticPr fontId="56" type="noConversion"/>
  </si>
  <si>
    <t>+82-53-610-4254</t>
    <phoneticPr fontId="56" type="noConversion"/>
  </si>
  <si>
    <t>+82-53-610-4231</t>
    <phoneticPr fontId="56" type="noConversion"/>
  </si>
  <si>
    <t>Short brush length</t>
    <phoneticPr fontId="56" type="noConversion"/>
  </si>
  <si>
    <t>1 pcs</t>
    <phoneticPr fontId="56" type="noConversion"/>
  </si>
  <si>
    <t>145,000pcs</t>
    <phoneticPr fontId="56" type="noConversion"/>
  </si>
  <si>
    <t>The brush lifespan may be reduced. / Brush 수명이 낮아 질 수 있다.</t>
    <phoneticPr fontId="56" type="noConversion"/>
  </si>
  <si>
    <t xml:space="preserve"> Short brush length, LOT K25E04,</t>
    <phoneticPr fontId="56" type="noConversion"/>
  </si>
  <si>
    <t xml:space="preserve">Suba - Kis Anett </t>
    <phoneticPr fontId="56" type="noConversion"/>
  </si>
  <si>
    <t xml:space="preserve">+36.30.699.5791 </t>
    <phoneticPr fontId="56" type="noConversion"/>
  </si>
  <si>
    <t>Anett.Kis@hu.eckerle-gruppe.com</t>
    <phoneticPr fontId="56" type="noConversion"/>
  </si>
  <si>
    <t>AVO25019 / 2025.02.11</t>
    <phoneticPr fontId="56" type="noConversion"/>
  </si>
  <si>
    <t>Anett.Kis</t>
    <phoneticPr fontId="56" type="noConversion"/>
  </si>
  <si>
    <t>2025.06.12</t>
    <phoneticPr fontId="56" type="noConversion"/>
  </si>
  <si>
    <t>2023.06.13</t>
    <phoneticPr fontId="56" type="noConversion"/>
  </si>
  <si>
    <t>brush length : 14.74~15.1mm</t>
    <phoneticPr fontId="56" type="noConversion"/>
  </si>
  <si>
    <t>brush length : 13.66mm (under low limit)</t>
    <phoneticPr fontId="56" type="noConversion"/>
  </si>
  <si>
    <t>2.1 R machining motor malfunction</t>
    <phoneticPr fontId="56" type="noConversion"/>
  </si>
  <si>
    <t>1.2 Brush length machining setting error</t>
    <phoneticPr fontId="56" type="noConversion"/>
  </si>
  <si>
    <r>
      <rPr>
        <u/>
        <sz val="11"/>
        <rFont val="맑은 고딕"/>
        <family val="3"/>
        <charset val="129"/>
        <scheme val="minor"/>
      </rPr>
      <t>1.2 Setting error of brush length</t>
    </r>
    <r>
      <rPr>
        <sz val="11"/>
        <rFont val="맑은 고딕"/>
        <family val="2"/>
        <charset val="238"/>
        <scheme val="minor"/>
      </rPr>
      <t xml:space="preserve"> - if root cause is setting error, the defective quantity should be high, but since the defective quantity is very small, it is not a defective due to a setting error.    2.1 motor malfunction - the defective quantity should be high, but since the defective quantity is only 1pcs, it is not a defective due to a motor malfunction.</t>
    </r>
    <phoneticPr fontId="56" type="noConversion"/>
  </si>
  <si>
    <t>1.1 Improper disposal of setting part</t>
    <phoneticPr fontId="56" type="noConversion"/>
  </si>
  <si>
    <t>Q: Why was the setup brush released? / 왜 셋팅용 브러쉬가 유출되었는가?</t>
    <phoneticPr fontId="56" type="noConversion"/>
  </si>
  <si>
    <t>Q: Why was the setup part not discarded separately? / 왜 셋팅품을 별도로 폐기하지 않았는가?</t>
    <phoneticPr fontId="56" type="noConversion"/>
  </si>
  <si>
    <t>Q: Why couldn't the operator identify the setup part? / 왜 작업자가 셋팅품을 식별하지 못했는가?</t>
    <phoneticPr fontId="56" type="noConversion"/>
  </si>
  <si>
    <t>A:  the setup part did not have any identification mark such as color distinction. / 셋팅품에 별도의 식별 표시(색상구분 등)가 부착되지 않았기 때문이다.</t>
    <phoneticPr fontId="56" type="noConversion"/>
  </si>
  <si>
    <t>Q: Why was there no identification mark on the setup part? / 왜 셋팅품에 식별 표시가 부착되지 않았는가?</t>
    <phoneticPr fontId="56" type="noConversion"/>
  </si>
  <si>
    <t>A: the setup part handling standard and identification method were not defined in the work instruction / 셋팅품 관리 기준 및 식별 방법이 작업표준서에 정의되어 있지 않았기 때문이다.</t>
    <phoneticPr fontId="56" type="noConversion"/>
  </si>
  <si>
    <t>Non-Detection</t>
    <phoneticPr fontId="56" type="noConversion"/>
  </si>
  <si>
    <t>A:</t>
    <phoneticPr fontId="56" type="noConversion"/>
  </si>
  <si>
    <t>Q:  Why did the brush length shortage defect occur? / 왜 길이 미달 제품이 발생했는가?</t>
    <phoneticPr fontId="56" type="noConversion"/>
  </si>
  <si>
    <t>A: a setup brush was mistakenly considered a normal product and was released. / 셋팅용 브러쉬가 정상 제품으로 간주되어 유출되었기 때문이다.</t>
    <phoneticPr fontId="56" type="noConversion"/>
  </si>
  <si>
    <t>A: it was not discarded separately after setup and was mixed with regular products. /셋팅품을 별도로 폐기하지 않고 일반 제품과 함께 처리되었기 때문이다.</t>
    <phoneticPr fontId="56" type="noConversion"/>
  </si>
  <si>
    <t>A: the operator could not identify the setup part properly. / 작업자가 셋팅품에 대한 식별이 되지 않아 셋팅품이 폐기되지 못했다.</t>
    <phoneticPr fontId="56" type="noConversion"/>
  </si>
  <si>
    <t>Q: Why was the setup part released? / 왜 셋팅품이 유출되었는가?</t>
    <phoneticPr fontId="56" type="noConversion"/>
  </si>
  <si>
    <t>A: the brush used for setup was not collected. / 셋팅에 사용된 브러쉬가 수거되지 않았기 때문이다.</t>
    <phoneticPr fontId="56" type="noConversion"/>
  </si>
  <si>
    <t>Q: Why was the brush used for setup not collected? / 왜 셋팅에 사용된 브러쉬가 수거되지 않았는가?</t>
    <phoneticPr fontId="56" type="noConversion"/>
  </si>
  <si>
    <t>Q: Why were the usage and collection quantities not checked? / 왜 셋팅품 사용 수량과 수거 수량의 확인이 이루어지지 않았는가?</t>
    <phoneticPr fontId="56" type="noConversion"/>
  </si>
  <si>
    <t xml:space="preserve">  - Added a check item for setup part identification to the FMEA / 셋팅품 식별에 대한 점검 항목을 FMEA에 추가함</t>
    <phoneticPr fontId="56" type="noConversion"/>
  </si>
  <si>
    <t>A: the usage and collection quantities of the setup parts were not checked. / 셋팅품 사용 수량과 수거 수량의 확인이 이루어지지 않았기 때문이다.</t>
    <phoneticPr fontId="56" type="noConversion"/>
  </si>
  <si>
    <t>A: the procedure for quantity confirmation after setup was not included in the work standard. / 셋팅 작업 후 수량 확인 절차가 작업표준에 포함되어 있지 않았기 때문이다.</t>
    <phoneticPr fontId="56" type="noConversion"/>
  </si>
  <si>
    <t>Add a check item for verifying the usage and collection quantities of setup parts to the FMEA. / 셋팅품의 사용 수량 및 수거 수량 확인에 대한 점검 항목을 FMEA에 반영한다.</t>
    <phoneticPr fontId="56" type="noConversion"/>
  </si>
  <si>
    <t>2025.06.20</t>
    <phoneticPr fontId="56" type="noConversion"/>
  </si>
  <si>
    <t>2025.06.13</t>
    <phoneticPr fontId="56" type="noConversion"/>
  </si>
  <si>
    <t>2025.06.15</t>
    <phoneticPr fontId="56" type="noConversion"/>
  </si>
  <si>
    <t>2025.06.10</t>
    <phoneticPr fontId="56" type="noConversion"/>
  </si>
  <si>
    <t>Expected effects/Risk assessment (Probability):</t>
    <phoneticPr fontId="56" type="noConversion"/>
  </si>
  <si>
    <t xml:space="preserve"> -The 9,410 units from the same lot as the defective product were sorted, and no defects were found. Since the slightly short brush length has little impact on motor function, so the poiential risk is low / 문제 LOT에서 선별된 9,410개 중 불량이 없어 추가 불량은 없을 것으로 예상됩니다.
브러쉬 길이 미세 부족은 모터 기능에 영향이 적어 위험도는 낮습니다.</t>
    <phoneticPr fontId="56" type="noConversion"/>
  </si>
  <si>
    <t xml:space="preserve"> - The defective lot of 79,986 units was returned. / 문제 발생 LOT 재고 전량 회수</t>
    <phoneticPr fontId="56" type="noConversion"/>
  </si>
  <si>
    <t>2025.06.18</t>
    <phoneticPr fontId="56" type="noConversion"/>
  </si>
  <si>
    <t>Carbon Brush GBM</t>
    <phoneticPr fontId="56" type="noConversion"/>
  </si>
  <si>
    <t xml:space="preserve"> short brush length</t>
    <phoneticPr fontId="56" type="noConversion"/>
  </si>
  <si>
    <t>There is no management rule for setup part identification, / 셋팅품 식별에 대한 관리 규정이 없었다</t>
    <phoneticPr fontId="56" type="noConversion"/>
  </si>
  <si>
    <t>Standard for checking the usage and collection quantities of setup parts has not been established. / 셋팅품 사용 수량과 수거 수량을 확인하는 표준이 수립되지 않았다.</t>
    <phoneticPr fontId="56" type="noConversion"/>
  </si>
  <si>
    <t>The operator could not identify the setup part properly. / 작업자가 셋팅품에 대한 식별이 되지 않아 셋팅품이 폐기되지 못했다.</t>
    <phoneticPr fontId="56" type="noConversion"/>
  </si>
  <si>
    <t>The usage and collection quantities of the setup parts were not checked. / 셋팅품 사용 수량과 수거 수량의 확인이 이루어지지 않았기 때문이다.</t>
    <phoneticPr fontId="56" type="noConversion"/>
  </si>
  <si>
    <t>Establish a standard for recording and verifying the usage and collection quantities of setup parts. / 셋팅품 사용 수량과 수거 수량을 기록하고 확인할 수 있는 표준을 수립한다.</t>
    <phoneticPr fontId="56" type="noConversion"/>
  </si>
  <si>
    <t>Establish a standard to apply white marking on setup brushes to distinguish them from regular products and ensure clear identification. / 셋팅 브러쉬에 흰색 마킹을 적용하여 일반 제품과 구분하고 식별이 가능하도록 하기 위한 표준을 수립한다.</t>
    <phoneticPr fontId="56" type="noConversion"/>
  </si>
  <si>
    <t>Established a standard to apply white marking on setup brushes to distinguish them from regular products and ensure clear identification. / 셋팅 브러쉬에 흰색 마킹을 적용하여 일반 제품과 구분하고 식별이 가능하도록 하기 위한 표준을 수립한다.</t>
    <phoneticPr fontId="56" type="noConversion"/>
  </si>
  <si>
    <t>Established a standard for recording and verifying the usage and collection quantities of setup parts. / 셋팅품 사용 수량과 수거 수량을 기록하고 확인할 수 있는 표준을 수립한다.</t>
    <phoneticPr fontId="56" type="noConversion"/>
  </si>
  <si>
    <t>Added a check item for verifying the usage and collection quantities of setup parts to the FMEA. / 셋팅품의 사용 수량 및 수거 수량 확인에 대한 점검 항목을 FMEA에 반영한다.</t>
    <phoneticPr fontId="56" type="noConversion"/>
  </si>
  <si>
    <t xml:space="preserve"> Add a check item for setup part identification to the FMEA / 셋팅품 식별에 대한 점검 항목을 FMEA에 추가함</t>
    <phoneticPr fontId="56" type="noConversion"/>
  </si>
  <si>
    <t xml:space="preserve"> FMEA, Work instruction Update</t>
    <phoneticPr fontId="56" type="noConversion"/>
  </si>
  <si>
    <t>2025.06.25</t>
    <phoneticPr fontId="56" type="noConversion"/>
  </si>
  <si>
    <t>JS Lee, JG Jeon, IS Kim, CM Park</t>
    <phoneticPr fontId="56" type="noConversion"/>
  </si>
</sst>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7">
    <numFmt numFmtId="41" formatCode="_-* #,##0_-;\-* #,##0_-;_-* &quot;-&quot;_-;_-@_-"/>
    <numFmt numFmtId="176" formatCode="_-* #,##0.00\ &quot;€&quot;_-;\-* #,##0.00\ &quot;€&quot;_-;_-* &quot;-&quot;??\ &quot;€&quot;_-;_-@_-"/>
    <numFmt numFmtId="177" formatCode="0;[Red]0"/>
    <numFmt numFmtId="178" formatCode="_-[$€]* #,##0.00_-;\-[$€]* #,##0.00_-;_-[$€]* &quot;-&quot;??_-;_-@_-"/>
    <numFmt numFmtId="179" formatCode="#,##0_ ;\-#,##0\ "/>
    <numFmt numFmtId="180" formatCode="0.0"/>
    <numFmt numFmtId="181" formatCode="[$-409]mmmm\ d\,\ yyyy;@"/>
  </numFmts>
  <fonts count="88">
    <font>
      <sz val="10"/>
      <color theme="1"/>
      <name val="Arial"/>
      <family val="2"/>
      <charset val="238"/>
    </font>
    <font>
      <sz val="10"/>
      <color theme="1"/>
      <name val="Arial"/>
      <family val="2"/>
    </font>
    <font>
      <sz val="10"/>
      <color theme="1"/>
      <name val="Arial"/>
      <family val="2"/>
    </font>
    <font>
      <sz val="10"/>
      <color theme="1"/>
      <name val="Arial"/>
      <family val="2"/>
    </font>
    <font>
      <sz val="10"/>
      <name val="Bosch Office Sans"/>
      <family val="2"/>
      <charset val="238"/>
    </font>
    <font>
      <sz val="12"/>
      <name val="Bosch Office Sans"/>
      <family val="2"/>
      <charset val="238"/>
    </font>
    <font>
      <sz val="10"/>
      <color theme="1"/>
      <name val="Bosch Office Sans"/>
      <family val="2"/>
      <charset val="238"/>
    </font>
    <font>
      <sz val="10"/>
      <name val="Arial"/>
      <family val="2"/>
    </font>
    <font>
      <u/>
      <sz val="10"/>
      <color indexed="12"/>
      <name val="Arial"/>
      <family val="2"/>
    </font>
    <font>
      <sz val="10"/>
      <color rgb="FFFFFFFF"/>
      <name val="Bosch Office Sans"/>
      <family val="2"/>
      <charset val="238"/>
    </font>
    <font>
      <sz val="8"/>
      <color rgb="FFFFFFFF"/>
      <name val="Bosch Office Sans"/>
      <family val="2"/>
      <charset val="238"/>
    </font>
    <font>
      <sz val="9"/>
      <name val="Bosch Office Sans"/>
      <family val="2"/>
      <charset val="238"/>
    </font>
    <font>
      <sz val="10"/>
      <color indexed="8"/>
      <name val="Arial"/>
      <family val="2"/>
    </font>
    <font>
      <sz val="9"/>
      <color indexed="81"/>
      <name val="Segoe UI"/>
      <family val="2"/>
    </font>
    <font>
      <b/>
      <sz val="9"/>
      <color indexed="81"/>
      <name val="Segoe UI"/>
      <family val="2"/>
    </font>
    <font>
      <sz val="12"/>
      <color indexed="8"/>
      <name val="Arial"/>
      <family val="2"/>
    </font>
    <font>
      <sz val="12"/>
      <color indexed="81"/>
      <name val="Arial"/>
      <family val="2"/>
      <charset val="238"/>
    </font>
    <font>
      <sz val="10"/>
      <color theme="0"/>
      <name val="Arial"/>
      <family val="2"/>
    </font>
    <font>
      <u/>
      <sz val="10"/>
      <color theme="0"/>
      <name val="Arial"/>
      <family val="2"/>
    </font>
    <font>
      <sz val="9"/>
      <color indexed="81"/>
      <name val="Segoe UI"/>
      <family val="2"/>
      <charset val="238"/>
    </font>
    <font>
      <b/>
      <sz val="11"/>
      <name val="맑은 고딕"/>
      <family val="2"/>
      <charset val="238"/>
      <scheme val="minor"/>
    </font>
    <font>
      <sz val="11"/>
      <name val="맑은 고딕"/>
      <family val="2"/>
      <charset val="238"/>
      <scheme val="minor"/>
    </font>
    <font>
      <sz val="11"/>
      <color rgb="FFFFFFFF"/>
      <name val="맑은 고딕"/>
      <family val="2"/>
      <charset val="238"/>
      <scheme val="minor"/>
    </font>
    <font>
      <sz val="11"/>
      <color theme="0" tint="-0.249977111117893"/>
      <name val="맑은 고딕"/>
      <family val="2"/>
      <charset val="238"/>
      <scheme val="minor"/>
    </font>
    <font>
      <b/>
      <i/>
      <sz val="11"/>
      <name val="맑은 고딕"/>
      <family val="2"/>
      <charset val="238"/>
      <scheme val="minor"/>
    </font>
    <font>
      <i/>
      <sz val="11"/>
      <name val="맑은 고딕"/>
      <family val="2"/>
      <charset val="238"/>
      <scheme val="minor"/>
    </font>
    <font>
      <sz val="11"/>
      <color theme="1"/>
      <name val="맑은 고딕"/>
      <family val="2"/>
      <charset val="238"/>
      <scheme val="minor"/>
    </font>
    <font>
      <sz val="11"/>
      <color rgb="FF00B050"/>
      <name val="맑은 고딕"/>
      <family val="2"/>
      <charset val="238"/>
      <scheme val="minor"/>
    </font>
    <font>
      <sz val="11"/>
      <color rgb="FFFF0000"/>
      <name val="맑은 고딕"/>
      <family val="2"/>
      <charset val="238"/>
      <scheme val="minor"/>
    </font>
    <font>
      <u/>
      <sz val="11"/>
      <color indexed="12"/>
      <name val="맑은 고딕"/>
      <family val="2"/>
      <charset val="238"/>
      <scheme val="minor"/>
    </font>
    <font>
      <u/>
      <sz val="11"/>
      <color rgb="FF0000FF"/>
      <name val="맑은 고딕"/>
      <family val="2"/>
      <charset val="238"/>
      <scheme val="minor"/>
    </font>
    <font>
      <i/>
      <sz val="11"/>
      <color theme="3"/>
      <name val="맑은 고딕"/>
      <family val="2"/>
      <charset val="238"/>
      <scheme val="minor"/>
    </font>
    <font>
      <b/>
      <i/>
      <sz val="11"/>
      <color theme="1"/>
      <name val="맑은 고딕"/>
      <family val="2"/>
      <charset val="238"/>
      <scheme val="minor"/>
    </font>
    <font>
      <sz val="11"/>
      <color indexed="12"/>
      <name val="맑은 고딕"/>
      <family val="2"/>
      <charset val="238"/>
      <scheme val="minor"/>
    </font>
    <font>
      <b/>
      <sz val="11"/>
      <color theme="1"/>
      <name val="맑은 고딕"/>
      <family val="2"/>
      <charset val="238"/>
      <scheme val="minor"/>
    </font>
    <font>
      <b/>
      <sz val="22"/>
      <name val="맑은 고딕"/>
      <family val="2"/>
      <charset val="238"/>
      <scheme val="minor"/>
    </font>
    <font>
      <sz val="10"/>
      <color indexed="8"/>
      <name val="맑은 고딕"/>
      <family val="2"/>
      <charset val="238"/>
      <scheme val="minor"/>
    </font>
    <font>
      <b/>
      <sz val="24"/>
      <name val="맑은 고딕"/>
      <family val="2"/>
      <charset val="238"/>
      <scheme val="minor"/>
    </font>
    <font>
      <b/>
      <sz val="14"/>
      <color indexed="8"/>
      <name val="맑은 고딕"/>
      <family val="2"/>
      <charset val="238"/>
      <scheme val="minor"/>
    </font>
    <font>
      <b/>
      <sz val="16"/>
      <color indexed="8"/>
      <name val="맑은 고딕"/>
      <family val="2"/>
      <charset val="238"/>
      <scheme val="minor"/>
    </font>
    <font>
      <sz val="12"/>
      <color indexed="8"/>
      <name val="맑은 고딕"/>
      <family val="2"/>
      <charset val="238"/>
      <scheme val="minor"/>
    </font>
    <font>
      <vertAlign val="subscript"/>
      <sz val="12"/>
      <color indexed="8"/>
      <name val="맑은 고딕"/>
      <family val="2"/>
      <charset val="238"/>
      <scheme val="minor"/>
    </font>
    <font>
      <sz val="12"/>
      <color indexed="9"/>
      <name val="맑은 고딕"/>
      <family val="2"/>
      <charset val="238"/>
      <scheme val="minor"/>
    </font>
    <font>
      <sz val="12"/>
      <name val="맑은 고딕"/>
      <family val="2"/>
      <charset val="238"/>
      <scheme val="minor"/>
    </font>
    <font>
      <vertAlign val="superscript"/>
      <sz val="12"/>
      <color indexed="8"/>
      <name val="맑은 고딕"/>
      <family val="2"/>
      <charset val="238"/>
      <scheme val="minor"/>
    </font>
    <font>
      <sz val="14"/>
      <color indexed="9"/>
      <name val="Arial"/>
      <family val="2"/>
    </font>
    <font>
      <sz val="10"/>
      <color indexed="9"/>
      <name val="Arial"/>
      <family val="2"/>
    </font>
    <font>
      <b/>
      <sz val="16"/>
      <name val="Arial"/>
      <family val="2"/>
    </font>
    <font>
      <sz val="16"/>
      <name val="Arial"/>
      <family val="2"/>
    </font>
    <font>
      <b/>
      <sz val="10"/>
      <color indexed="8"/>
      <name val="Arial"/>
      <family val="2"/>
    </font>
    <font>
      <b/>
      <sz val="9"/>
      <color indexed="81"/>
      <name val="Tahoma"/>
      <family val="2"/>
    </font>
    <font>
      <sz val="9"/>
      <color indexed="81"/>
      <name val="Tahoma"/>
      <family val="2"/>
    </font>
    <font>
      <b/>
      <sz val="11"/>
      <color indexed="8"/>
      <name val="맑은 고딕"/>
      <family val="2"/>
      <charset val="238"/>
      <scheme val="minor"/>
    </font>
    <font>
      <sz val="11"/>
      <color indexed="8"/>
      <name val="맑은 고딕"/>
      <family val="2"/>
      <charset val="238"/>
      <scheme val="minor"/>
    </font>
    <font>
      <sz val="11"/>
      <color theme="1"/>
      <name val="Arial"/>
      <family val="2"/>
    </font>
    <font>
      <sz val="10"/>
      <color theme="1"/>
      <name val="Arial"/>
      <family val="2"/>
      <charset val="238"/>
    </font>
    <font>
      <sz val="8"/>
      <name val="돋움"/>
      <family val="3"/>
      <charset val="129"/>
    </font>
    <font>
      <sz val="10"/>
      <name val="맑은 고딕"/>
      <family val="2"/>
      <charset val="238"/>
      <scheme val="minor"/>
    </font>
    <font>
      <sz val="10"/>
      <name val="맑은 고딕"/>
      <family val="3"/>
      <charset val="129"/>
      <scheme val="minor"/>
    </font>
    <font>
      <sz val="10"/>
      <name val="Segoe UI"/>
      <family val="2"/>
      <charset val="238"/>
    </font>
    <font>
      <b/>
      <sz val="10"/>
      <name val="맑은 고딕"/>
      <family val="3"/>
      <charset val="129"/>
      <scheme val="minor"/>
    </font>
    <font>
      <b/>
      <i/>
      <sz val="10"/>
      <name val="맑은 고딕"/>
      <family val="2"/>
      <charset val="238"/>
      <scheme val="minor"/>
    </font>
    <font>
      <b/>
      <i/>
      <sz val="10"/>
      <name val="맑은 고딕"/>
      <family val="3"/>
      <charset val="129"/>
      <scheme val="minor"/>
    </font>
    <font>
      <sz val="14"/>
      <name val="Bosch Office Sans"/>
      <family val="2"/>
      <charset val="238"/>
    </font>
    <font>
      <b/>
      <i/>
      <sz val="18"/>
      <name val="Bosch Office Sans"/>
      <family val="2"/>
      <charset val="238"/>
    </font>
    <font>
      <b/>
      <i/>
      <sz val="14"/>
      <name val="Bosch Office Sans"/>
      <family val="2"/>
      <charset val="238"/>
    </font>
    <font>
      <sz val="8"/>
      <color theme="0" tint="-0.249977111117893"/>
      <name val="Bosch Office Sans"/>
      <family val="2"/>
      <charset val="238"/>
    </font>
    <font>
      <sz val="12"/>
      <color theme="1"/>
      <name val="Arial"/>
      <family val="2"/>
      <charset val="238"/>
    </font>
    <font>
      <sz val="48"/>
      <color rgb="FF00B050"/>
      <name val="Arial"/>
      <family val="2"/>
      <charset val="238"/>
    </font>
    <font>
      <sz val="48"/>
      <color rgb="FFFF0000"/>
      <name val="Arial"/>
      <family val="2"/>
      <charset val="238"/>
    </font>
    <font>
      <sz val="12"/>
      <color theme="1"/>
      <name val="Arial"/>
      <family val="2"/>
    </font>
    <font>
      <sz val="9"/>
      <color theme="1"/>
      <name val="Arial"/>
      <family val="2"/>
      <charset val="238"/>
    </font>
    <font>
      <sz val="14"/>
      <color rgb="FF0000FF"/>
      <name val="Arial"/>
      <family val="2"/>
      <charset val="238"/>
    </font>
    <font>
      <sz val="14"/>
      <color rgb="FF0000FF"/>
      <name val="Arial"/>
      <family val="2"/>
    </font>
    <font>
      <sz val="14"/>
      <color rgb="FFFF0000"/>
      <name val="Arial"/>
      <family val="2"/>
      <charset val="238"/>
    </font>
    <font>
      <sz val="14"/>
      <color rgb="FFFF0000"/>
      <name val="Arial"/>
      <family val="2"/>
    </font>
    <font>
      <b/>
      <sz val="18"/>
      <name val="맑은 고딕"/>
      <family val="3"/>
      <charset val="129"/>
      <scheme val="minor"/>
    </font>
    <font>
      <b/>
      <sz val="9"/>
      <name val="맑은 고딕"/>
      <family val="3"/>
      <charset val="129"/>
      <scheme val="minor"/>
    </font>
    <font>
      <b/>
      <sz val="14"/>
      <name val="맑은 고딕"/>
      <family val="3"/>
      <charset val="129"/>
      <scheme val="minor"/>
    </font>
    <font>
      <b/>
      <sz val="9"/>
      <name val="맑은 고딕"/>
      <family val="3"/>
      <charset val="129"/>
    </font>
    <font>
      <b/>
      <sz val="13"/>
      <name val="맑은 고딕"/>
      <family val="3"/>
      <charset val="129"/>
      <scheme val="minor"/>
    </font>
    <font>
      <sz val="11"/>
      <color theme="1"/>
      <name val="맑은 고딕"/>
      <family val="3"/>
      <charset val="129"/>
      <scheme val="minor"/>
    </font>
    <font>
      <sz val="13"/>
      <color theme="1"/>
      <name val="돋움"/>
      <family val="3"/>
      <charset val="129"/>
    </font>
    <font>
      <b/>
      <sz val="10"/>
      <name val="맑은 고딕"/>
      <family val="3"/>
      <charset val="129"/>
    </font>
    <font>
      <i/>
      <sz val="10"/>
      <name val="맑은 고딕"/>
      <family val="2"/>
      <charset val="238"/>
      <scheme val="minor"/>
    </font>
    <font>
      <i/>
      <sz val="10"/>
      <name val="맑은 고딕"/>
      <family val="3"/>
      <charset val="129"/>
      <scheme val="minor"/>
    </font>
    <font>
      <sz val="12"/>
      <color rgb="FF374151"/>
      <name val="Segoe UI"/>
      <family val="2"/>
    </font>
    <font>
      <u/>
      <sz val="11"/>
      <name val="맑은 고딕"/>
      <family val="3"/>
      <charset val="129"/>
      <scheme val="minor"/>
    </font>
  </fonts>
  <fills count="15">
    <fill>
      <patternFill patternType="none"/>
    </fill>
    <fill>
      <patternFill patternType="gray125"/>
    </fill>
    <fill>
      <patternFill patternType="solid">
        <fgColor theme="0"/>
        <bgColor indexed="64"/>
      </patternFill>
    </fill>
    <fill>
      <patternFill patternType="solid">
        <fgColor theme="0"/>
        <bgColor rgb="FF000000"/>
      </patternFill>
    </fill>
    <fill>
      <patternFill patternType="solid">
        <fgColor rgb="FFEAEDF6"/>
        <bgColor indexed="64"/>
      </patternFill>
    </fill>
    <fill>
      <patternFill patternType="solid">
        <fgColor theme="4" tint="0.79998168889431442"/>
        <bgColor indexed="64"/>
      </patternFill>
    </fill>
    <fill>
      <gradientFill degree="90">
        <stop position="0">
          <color theme="0"/>
        </stop>
        <stop position="1">
          <color rgb="FF00B050"/>
        </stop>
      </gradientFill>
    </fill>
    <fill>
      <gradientFill degree="90">
        <stop position="0">
          <color theme="0"/>
        </stop>
        <stop position="1">
          <color rgb="FFFFFF00"/>
        </stop>
      </gradientFill>
    </fill>
    <fill>
      <gradientFill degree="90">
        <stop position="0">
          <color theme="0"/>
        </stop>
        <stop position="1">
          <color rgb="FFFF0000"/>
        </stop>
      </gradientFill>
    </fill>
    <fill>
      <patternFill patternType="solid">
        <fgColor rgb="FFFFFF00"/>
        <bgColor indexed="64"/>
      </patternFill>
    </fill>
    <fill>
      <patternFill patternType="solid">
        <fgColor theme="0" tint="-0.14999847407452621"/>
        <bgColor indexed="64"/>
      </patternFill>
    </fill>
    <fill>
      <patternFill patternType="solid">
        <fgColor theme="6" tint="0.59999389629810485"/>
        <bgColor indexed="64"/>
      </patternFill>
    </fill>
    <fill>
      <patternFill patternType="solid">
        <fgColor indexed="9"/>
        <bgColor indexed="64"/>
      </patternFill>
    </fill>
    <fill>
      <patternFill patternType="solid">
        <fgColor indexed="22"/>
        <bgColor indexed="64"/>
      </patternFill>
    </fill>
    <fill>
      <patternFill patternType="solid">
        <fgColor indexed="43"/>
        <bgColor indexed="64"/>
      </patternFill>
    </fill>
  </fills>
  <borders count="187">
    <border>
      <left/>
      <right/>
      <top/>
      <bottom/>
      <diagonal/>
    </border>
    <border>
      <left/>
      <right/>
      <top style="medium">
        <color indexed="64"/>
      </top>
      <bottom/>
      <diagonal/>
    </border>
    <border>
      <left/>
      <right style="medium">
        <color indexed="64"/>
      </right>
      <top style="medium">
        <color indexed="64"/>
      </top>
      <bottom/>
      <diagonal/>
    </border>
    <border>
      <left style="thin">
        <color indexed="64"/>
      </left>
      <right/>
      <top/>
      <bottom/>
      <diagonal/>
    </border>
    <border>
      <left/>
      <right style="hair">
        <color indexed="64"/>
      </right>
      <top/>
      <bottom/>
      <diagonal/>
    </border>
    <border>
      <left/>
      <right style="medium">
        <color indexed="64"/>
      </right>
      <top/>
      <bottom/>
      <diagonal/>
    </border>
    <border>
      <left style="thin">
        <color indexed="64"/>
      </left>
      <right/>
      <top/>
      <bottom style="thin">
        <color indexed="64"/>
      </bottom>
      <diagonal/>
    </border>
    <border>
      <left/>
      <right/>
      <top/>
      <bottom style="thin">
        <color indexed="64"/>
      </bottom>
      <diagonal/>
    </border>
    <border>
      <left/>
      <right/>
      <top style="thin">
        <color indexed="64"/>
      </top>
      <bottom/>
      <diagonal/>
    </border>
    <border>
      <left style="medium">
        <color indexed="64"/>
      </left>
      <right/>
      <top/>
      <bottom/>
      <diagonal/>
    </border>
    <border>
      <left style="hair">
        <color indexed="64"/>
      </left>
      <right/>
      <top/>
      <bottom/>
      <diagonal/>
    </border>
    <border>
      <left style="thick">
        <color rgb="FF00B050"/>
      </left>
      <right/>
      <top style="thick">
        <color rgb="FF00B050"/>
      </top>
      <bottom/>
      <diagonal/>
    </border>
    <border>
      <left/>
      <right/>
      <top style="thick">
        <color rgb="FF00B050"/>
      </top>
      <bottom/>
      <diagonal/>
    </border>
    <border>
      <left/>
      <right style="thick">
        <color rgb="FF00B050"/>
      </right>
      <top style="thick">
        <color rgb="FF00B050"/>
      </top>
      <bottom/>
      <diagonal/>
    </border>
    <border>
      <left style="thick">
        <color rgb="FFFF0000"/>
      </left>
      <right/>
      <top style="thick">
        <color rgb="FFFF0000"/>
      </top>
      <bottom/>
      <diagonal/>
    </border>
    <border>
      <left/>
      <right/>
      <top style="thick">
        <color rgb="FFFF0000"/>
      </top>
      <bottom/>
      <diagonal/>
    </border>
    <border>
      <left/>
      <right style="thick">
        <color rgb="FFFF0000"/>
      </right>
      <top style="thick">
        <color rgb="FFFF0000"/>
      </top>
      <bottom/>
      <diagonal/>
    </border>
    <border>
      <left style="thick">
        <color rgb="FF00B050"/>
      </left>
      <right/>
      <top/>
      <bottom/>
      <diagonal/>
    </border>
    <border>
      <left/>
      <right style="thick">
        <color rgb="FF00B050"/>
      </right>
      <top/>
      <bottom/>
      <diagonal/>
    </border>
    <border>
      <left style="thick">
        <color rgb="FFFF0000"/>
      </left>
      <right/>
      <top/>
      <bottom/>
      <diagonal/>
    </border>
    <border>
      <left/>
      <right style="thick">
        <color rgb="FFFF0000"/>
      </right>
      <top/>
      <bottom/>
      <diagonal/>
    </border>
    <border>
      <left style="thick">
        <color rgb="FF00B050"/>
      </left>
      <right/>
      <top/>
      <bottom style="thick">
        <color rgb="FF00B050"/>
      </bottom>
      <diagonal/>
    </border>
    <border>
      <left/>
      <right/>
      <top/>
      <bottom style="thick">
        <color rgb="FF00B050"/>
      </bottom>
      <diagonal/>
    </border>
    <border>
      <left/>
      <right style="thick">
        <color rgb="FF00B050"/>
      </right>
      <top/>
      <bottom style="thick">
        <color rgb="FF00B050"/>
      </bottom>
      <diagonal/>
    </border>
    <border>
      <left style="thick">
        <color rgb="FFFF0000"/>
      </left>
      <right/>
      <top/>
      <bottom style="thick">
        <color rgb="FFFF0000"/>
      </bottom>
      <diagonal/>
    </border>
    <border>
      <left/>
      <right/>
      <top/>
      <bottom style="thick">
        <color rgb="FFFF0000"/>
      </bottom>
      <diagonal/>
    </border>
    <border>
      <left/>
      <right style="thick">
        <color rgb="FFFF0000"/>
      </right>
      <top/>
      <bottom style="thick">
        <color rgb="FFFF0000"/>
      </bottom>
      <diagonal/>
    </border>
    <border>
      <left style="hair">
        <color indexed="64"/>
      </left>
      <right/>
      <top style="hair">
        <color indexed="64"/>
      </top>
      <bottom style="hair">
        <color indexed="64"/>
      </bottom>
      <diagonal/>
    </border>
    <border>
      <left/>
      <right/>
      <top style="hair">
        <color indexed="64"/>
      </top>
      <bottom style="hair">
        <color indexed="64"/>
      </bottom>
      <diagonal/>
    </border>
    <border>
      <left/>
      <right style="hair">
        <color indexed="64"/>
      </right>
      <top style="hair">
        <color indexed="64"/>
      </top>
      <bottom style="hair">
        <color indexed="64"/>
      </bottom>
      <diagonal/>
    </border>
    <border>
      <left style="medium">
        <color indexed="64"/>
      </left>
      <right/>
      <top/>
      <bottom style="medium">
        <color indexed="64"/>
      </bottom>
      <diagonal/>
    </border>
    <border>
      <left/>
      <right/>
      <top/>
      <bottom style="medium">
        <color indexed="64"/>
      </bottom>
      <diagonal/>
    </border>
    <border>
      <left/>
      <right style="medium">
        <color indexed="64"/>
      </right>
      <top/>
      <bottom style="medium">
        <color indexed="64"/>
      </bottom>
      <diagonal/>
    </border>
    <border>
      <left style="medium">
        <color indexed="64"/>
      </left>
      <right/>
      <top style="medium">
        <color indexed="64"/>
      </top>
      <bottom/>
      <diagonal/>
    </border>
    <border>
      <left style="thin">
        <color indexed="64"/>
      </left>
      <right style="thin">
        <color indexed="64"/>
      </right>
      <top/>
      <bottom/>
      <diagonal/>
    </border>
    <border>
      <left/>
      <right style="thin">
        <color indexed="64"/>
      </right>
      <top/>
      <bottom/>
      <diagonal/>
    </border>
    <border>
      <left/>
      <right style="thin">
        <color indexed="64"/>
      </right>
      <top/>
      <bottom style="thin">
        <color indexed="64"/>
      </bottom>
      <diagonal/>
    </border>
    <border>
      <left/>
      <right style="thin">
        <color indexed="64"/>
      </right>
      <top style="thin">
        <color indexed="64"/>
      </top>
      <bottom/>
      <diagonal/>
    </border>
    <border>
      <left style="hair">
        <color indexed="64"/>
      </left>
      <right style="hair">
        <color indexed="64"/>
      </right>
      <top style="hair">
        <color indexed="64"/>
      </top>
      <bottom style="hair">
        <color indexed="64"/>
      </bottom>
      <diagonal/>
    </border>
    <border>
      <left/>
      <right/>
      <top/>
      <bottom style="hair">
        <color indexed="64"/>
      </bottom>
      <diagonal/>
    </border>
    <border>
      <left/>
      <right/>
      <top style="hair">
        <color indexed="64"/>
      </top>
      <bottom/>
      <diagonal/>
    </border>
    <border>
      <left/>
      <right style="hair">
        <color indexed="64"/>
      </right>
      <top/>
      <bottom style="hair">
        <color indexed="64"/>
      </bottom>
      <diagonal/>
    </border>
    <border>
      <left style="hair">
        <color indexed="64"/>
      </left>
      <right/>
      <top style="hair">
        <color indexed="64"/>
      </top>
      <bottom/>
      <diagonal/>
    </border>
    <border>
      <left/>
      <right style="hair">
        <color indexed="64"/>
      </right>
      <top style="hair">
        <color indexed="64"/>
      </top>
      <bottom/>
      <diagonal/>
    </border>
    <border>
      <left style="hair">
        <color indexed="64"/>
      </left>
      <right/>
      <top/>
      <bottom style="hair">
        <color indexed="64"/>
      </bottom>
      <diagonal/>
    </border>
    <border>
      <left/>
      <right/>
      <top/>
      <bottom style="dashed">
        <color indexed="64"/>
      </bottom>
      <diagonal/>
    </border>
    <border>
      <left/>
      <right/>
      <top style="dashed">
        <color indexed="64"/>
      </top>
      <bottom/>
      <diagonal/>
    </border>
    <border>
      <left/>
      <right/>
      <top style="thin">
        <color rgb="FFFFFFFF"/>
      </top>
      <bottom style="thin">
        <color rgb="FFFFFFFF"/>
      </bottom>
      <diagonal/>
    </border>
    <border>
      <left/>
      <right/>
      <top/>
      <bottom style="thin">
        <color rgb="FFFFFFFF"/>
      </bottom>
      <diagonal/>
    </border>
    <border>
      <left/>
      <right/>
      <top style="thin">
        <color rgb="FFFFFFFF"/>
      </top>
      <bottom/>
      <diagonal/>
    </border>
    <border>
      <left/>
      <right/>
      <top/>
      <bottom style="thin">
        <color theme="0"/>
      </bottom>
      <diagonal/>
    </border>
    <border>
      <left/>
      <right/>
      <top style="thin">
        <color theme="0"/>
      </top>
      <bottom style="thin">
        <color theme="0"/>
      </bottom>
      <diagonal/>
    </border>
    <border>
      <left/>
      <right/>
      <top style="thin">
        <color theme="0"/>
      </top>
      <bottom/>
      <diagonal/>
    </border>
    <border>
      <left/>
      <right/>
      <top style="thin">
        <color indexed="64"/>
      </top>
      <bottom style="dashed">
        <color indexed="64"/>
      </bottom>
      <diagonal/>
    </border>
    <border>
      <left style="thin">
        <color rgb="FFFFFFFF"/>
      </left>
      <right/>
      <top/>
      <bottom/>
      <diagonal/>
    </border>
    <border>
      <left style="thin">
        <color indexed="64"/>
      </left>
      <right/>
      <top style="thin">
        <color indexed="64"/>
      </top>
      <bottom/>
      <diagonal/>
    </border>
    <border>
      <left/>
      <right style="thin">
        <color indexed="64"/>
      </right>
      <top style="thin">
        <color rgb="FFFFFFFF"/>
      </top>
      <bottom/>
      <diagonal/>
    </border>
    <border>
      <left style="thin">
        <color indexed="64"/>
      </left>
      <right/>
      <top style="thin">
        <color theme="0"/>
      </top>
      <bottom/>
      <diagonal/>
    </border>
    <border>
      <left style="thin">
        <color indexed="64"/>
      </left>
      <right/>
      <top style="thin">
        <color theme="0"/>
      </top>
      <bottom style="thin">
        <color theme="0"/>
      </bottom>
      <diagonal/>
    </border>
    <border>
      <left style="thin">
        <color indexed="64"/>
      </left>
      <right/>
      <top/>
      <bottom style="thin">
        <color theme="0"/>
      </bottom>
      <diagonal/>
    </border>
    <border>
      <left/>
      <right/>
      <top style="thin">
        <color theme="0"/>
      </top>
      <bottom style="thin">
        <color rgb="FFFFFFFF"/>
      </bottom>
      <diagonal/>
    </border>
    <border>
      <left style="hair">
        <color indexed="64"/>
      </left>
      <right/>
      <top/>
      <bottom style="thin">
        <color indexed="64"/>
      </bottom>
      <diagonal/>
    </border>
    <border>
      <left/>
      <right style="medium">
        <color indexed="64"/>
      </right>
      <top/>
      <bottom style="thin">
        <color indexed="64"/>
      </bottom>
      <diagonal/>
    </border>
    <border>
      <left/>
      <right style="hair">
        <color indexed="64"/>
      </right>
      <top/>
      <bottom style="thin">
        <color indexed="64"/>
      </bottom>
      <diagonal/>
    </border>
    <border>
      <left/>
      <right/>
      <top/>
      <bottom style="dotted">
        <color indexed="64"/>
      </bottom>
      <diagonal/>
    </border>
    <border>
      <left/>
      <right style="thin">
        <color indexed="64"/>
      </right>
      <top/>
      <bottom style="dotted">
        <color indexed="64"/>
      </bottom>
      <diagonal/>
    </border>
    <border>
      <left style="thin">
        <color indexed="64"/>
      </left>
      <right style="thin">
        <color indexed="64"/>
      </right>
      <top/>
      <bottom style="thin">
        <color indexed="64"/>
      </bottom>
      <diagonal/>
    </border>
    <border>
      <left/>
      <right/>
      <top style="dotted">
        <color indexed="64"/>
      </top>
      <bottom/>
      <diagonal/>
    </border>
    <border>
      <left/>
      <right/>
      <top style="thin">
        <color indexed="9"/>
      </top>
      <bottom style="thin">
        <color indexed="9"/>
      </bottom>
      <diagonal/>
    </border>
    <border>
      <left/>
      <right/>
      <top style="thin">
        <color indexed="9"/>
      </top>
      <bottom style="thin">
        <color indexed="64"/>
      </bottom>
      <diagonal/>
    </border>
    <border>
      <left/>
      <right/>
      <top/>
      <bottom style="thin">
        <color indexed="9"/>
      </bottom>
      <diagonal/>
    </border>
    <border>
      <left/>
      <right/>
      <top style="thin">
        <color indexed="9"/>
      </top>
      <bottom/>
      <diagonal/>
    </border>
    <border>
      <left/>
      <right/>
      <top style="thin">
        <color indexed="9"/>
      </top>
      <bottom style="thin">
        <color rgb="FFFFFFFF"/>
      </bottom>
      <diagonal/>
    </border>
    <border>
      <left/>
      <right/>
      <top style="thin">
        <color indexed="9"/>
      </top>
      <bottom style="hair">
        <color indexed="64"/>
      </bottom>
      <diagonal/>
    </border>
    <border>
      <left/>
      <right/>
      <top style="hair">
        <color indexed="64"/>
      </top>
      <bottom style="thin">
        <color indexed="9"/>
      </bottom>
      <diagonal/>
    </border>
    <border>
      <left/>
      <right/>
      <top style="thin">
        <color rgb="FFFFFFFF"/>
      </top>
      <bottom style="dotted">
        <color indexed="64"/>
      </bottom>
      <diagonal/>
    </border>
    <border>
      <left/>
      <right/>
      <top style="thin">
        <color indexed="9"/>
      </top>
      <bottom style="dotted">
        <color indexed="64"/>
      </bottom>
      <diagonal/>
    </border>
    <border>
      <left/>
      <right style="hair">
        <color indexed="64"/>
      </right>
      <top style="thin">
        <color indexed="9"/>
      </top>
      <bottom style="thin">
        <color indexed="9"/>
      </bottom>
      <diagonal/>
    </border>
    <border>
      <left style="dashed">
        <color indexed="64"/>
      </left>
      <right/>
      <top style="dashed">
        <color indexed="64"/>
      </top>
      <bottom style="hair">
        <color indexed="64"/>
      </bottom>
      <diagonal/>
    </border>
    <border>
      <left/>
      <right style="dashed">
        <color indexed="64"/>
      </right>
      <top style="dashed">
        <color indexed="64"/>
      </top>
      <bottom style="hair">
        <color indexed="64"/>
      </bottom>
      <diagonal/>
    </border>
    <border>
      <left/>
      <right/>
      <top style="dashed">
        <color indexed="64"/>
      </top>
      <bottom style="hair">
        <color indexed="64"/>
      </bottom>
      <diagonal/>
    </border>
    <border>
      <left style="dashed">
        <color indexed="64"/>
      </left>
      <right style="dashed">
        <color indexed="64"/>
      </right>
      <top style="dashed">
        <color indexed="64"/>
      </top>
      <bottom style="hair">
        <color indexed="64"/>
      </bottom>
      <diagonal/>
    </border>
    <border>
      <left style="hair">
        <color indexed="64"/>
      </left>
      <right style="hair">
        <color indexed="64"/>
      </right>
      <top style="hair">
        <color indexed="64"/>
      </top>
      <bottom style="thin">
        <color rgb="FFFFFFFF"/>
      </bottom>
      <diagonal/>
    </border>
    <border>
      <left style="hair">
        <color indexed="64"/>
      </left>
      <right/>
      <top style="hair">
        <color indexed="64"/>
      </top>
      <bottom style="thin">
        <color rgb="FFFFFFFF"/>
      </bottom>
      <diagonal/>
    </border>
    <border>
      <left style="hair">
        <color indexed="64"/>
      </left>
      <right style="hair">
        <color indexed="64"/>
      </right>
      <top style="thin">
        <color indexed="9"/>
      </top>
      <bottom style="thin">
        <color rgb="FFFFFFFF"/>
      </bottom>
      <diagonal/>
    </border>
    <border>
      <left style="hair">
        <color indexed="64"/>
      </left>
      <right/>
      <top style="thin">
        <color indexed="9"/>
      </top>
      <bottom style="thin">
        <color rgb="FFFFFFFF"/>
      </bottom>
      <diagonal/>
    </border>
    <border>
      <left style="dashed">
        <color indexed="64"/>
      </left>
      <right style="hair">
        <color indexed="64"/>
      </right>
      <top style="hair">
        <color indexed="64"/>
      </top>
      <bottom style="thin">
        <color rgb="FFFFFFFF"/>
      </bottom>
      <diagonal/>
    </border>
    <border>
      <left style="dashed">
        <color indexed="64"/>
      </left>
      <right style="hair">
        <color indexed="64"/>
      </right>
      <top style="thin">
        <color indexed="9"/>
      </top>
      <bottom style="thin">
        <color rgb="FFFFFFFF"/>
      </bottom>
      <diagonal/>
    </border>
    <border>
      <left style="hair">
        <color indexed="64"/>
      </left>
      <right/>
      <top style="hair">
        <color indexed="64"/>
      </top>
      <bottom style="thin">
        <color indexed="9"/>
      </bottom>
      <diagonal/>
    </border>
    <border>
      <left/>
      <right style="hair">
        <color indexed="64"/>
      </right>
      <top style="hair">
        <color indexed="64"/>
      </top>
      <bottom style="thin">
        <color indexed="9"/>
      </bottom>
      <diagonal/>
    </border>
    <border>
      <left style="hair">
        <color indexed="64"/>
      </left>
      <right/>
      <top style="thin">
        <color indexed="9"/>
      </top>
      <bottom style="thin">
        <color indexed="9"/>
      </bottom>
      <diagonal/>
    </border>
    <border>
      <left style="dashed">
        <color indexed="64"/>
      </left>
      <right style="hair">
        <color indexed="64"/>
      </right>
      <top style="thin">
        <color indexed="9"/>
      </top>
      <bottom style="hair">
        <color indexed="64"/>
      </bottom>
      <diagonal/>
    </border>
    <border>
      <left style="hair">
        <color indexed="64"/>
      </left>
      <right style="hair">
        <color indexed="64"/>
      </right>
      <top style="thin">
        <color indexed="9"/>
      </top>
      <bottom style="hair">
        <color indexed="64"/>
      </bottom>
      <diagonal/>
    </border>
    <border>
      <left style="hair">
        <color indexed="64"/>
      </left>
      <right/>
      <top style="thin">
        <color indexed="9"/>
      </top>
      <bottom style="hair">
        <color indexed="64"/>
      </bottom>
      <diagonal/>
    </border>
    <border>
      <left/>
      <right style="hair">
        <color indexed="64"/>
      </right>
      <top style="thin">
        <color indexed="9"/>
      </top>
      <bottom style="hair">
        <color indexed="64"/>
      </bottom>
      <diagonal/>
    </border>
    <border>
      <left/>
      <right style="thin">
        <color indexed="64"/>
      </right>
      <top style="dotted">
        <color indexed="64"/>
      </top>
      <bottom style="thin">
        <color indexed="9"/>
      </bottom>
      <diagonal/>
    </border>
    <border>
      <left/>
      <right/>
      <top style="dotted">
        <color indexed="64"/>
      </top>
      <bottom style="thin">
        <color indexed="9"/>
      </bottom>
      <diagonal/>
    </border>
    <border>
      <left style="medium">
        <color indexed="64"/>
      </left>
      <right style="medium">
        <color indexed="64"/>
      </right>
      <top/>
      <bottom style="medium">
        <color indexed="64"/>
      </bottom>
      <diagonal/>
    </border>
    <border>
      <left style="medium">
        <color indexed="64"/>
      </left>
      <right style="medium">
        <color indexed="64"/>
      </right>
      <top/>
      <bottom/>
      <diagonal/>
    </border>
    <border>
      <left style="medium">
        <color indexed="64"/>
      </left>
      <right style="medium">
        <color indexed="64"/>
      </right>
      <top style="medium">
        <color indexed="64"/>
      </top>
      <bottom/>
      <diagonal/>
    </border>
    <border>
      <left/>
      <right style="hair">
        <color indexed="64"/>
      </right>
      <top style="thin">
        <color auto="1"/>
      </top>
      <bottom/>
      <diagonal/>
    </border>
    <border>
      <left style="hair">
        <color indexed="64"/>
      </left>
      <right/>
      <top style="thin">
        <color auto="1"/>
      </top>
      <bottom/>
      <diagonal/>
    </border>
    <border>
      <left style="thin">
        <color indexed="64"/>
      </left>
      <right style="thin">
        <color auto="1"/>
      </right>
      <top style="thin">
        <color indexed="64"/>
      </top>
      <bottom/>
      <diagonal/>
    </border>
    <border>
      <left style="thin">
        <color auto="1"/>
      </left>
      <right/>
      <top/>
      <bottom style="dotted">
        <color indexed="64"/>
      </bottom>
      <diagonal/>
    </border>
    <border>
      <left style="thin">
        <color auto="1"/>
      </left>
      <right/>
      <top/>
      <bottom style="dashed">
        <color indexed="64"/>
      </bottom>
      <diagonal/>
    </border>
    <border>
      <left style="thin">
        <color auto="1"/>
      </left>
      <right/>
      <top style="dashed">
        <color indexed="64"/>
      </top>
      <bottom/>
      <diagonal/>
    </border>
    <border>
      <left style="thin">
        <color auto="1"/>
      </left>
      <right/>
      <top style="thin">
        <color indexed="9"/>
      </top>
      <bottom/>
      <diagonal/>
    </border>
    <border>
      <left style="thin">
        <color auto="1"/>
      </left>
      <right/>
      <top style="thin">
        <color rgb="FFFFFFFF"/>
      </top>
      <bottom/>
      <diagonal/>
    </border>
    <border>
      <left style="thin">
        <color auto="1"/>
      </left>
      <right/>
      <top style="thin">
        <color theme="0"/>
      </top>
      <bottom style="thin">
        <color rgb="FFFFFFFF"/>
      </bottom>
      <diagonal/>
    </border>
    <border>
      <left style="thin">
        <color auto="1"/>
      </left>
      <right/>
      <top style="thin">
        <color indexed="64"/>
      </top>
      <bottom style="dashed">
        <color indexed="64"/>
      </bottom>
      <diagonal/>
    </border>
    <border>
      <left style="thin">
        <color auto="1"/>
      </left>
      <right style="dashed">
        <color indexed="64"/>
      </right>
      <top style="dashed">
        <color indexed="64"/>
      </top>
      <bottom style="hair">
        <color indexed="64"/>
      </bottom>
      <diagonal/>
    </border>
    <border>
      <left style="thin">
        <color auto="1"/>
      </left>
      <right style="dashed">
        <color indexed="64"/>
      </right>
      <top/>
      <bottom style="dotted">
        <color theme="0" tint="-4.9989318521683403E-2"/>
      </bottom>
      <diagonal/>
    </border>
    <border>
      <left style="thin">
        <color auto="1"/>
      </left>
      <right style="dashed">
        <color indexed="64"/>
      </right>
      <top style="dotted">
        <color theme="0" tint="-4.9989318521683403E-2"/>
      </top>
      <bottom style="dotted">
        <color theme="0" tint="-4.9989318521683403E-2"/>
      </bottom>
      <diagonal/>
    </border>
    <border>
      <left style="thin">
        <color auto="1"/>
      </left>
      <right style="dashed">
        <color indexed="64"/>
      </right>
      <top style="dotted">
        <color theme="0" tint="-4.9989318521683403E-2"/>
      </top>
      <bottom style="hair">
        <color indexed="64"/>
      </bottom>
      <diagonal/>
    </border>
    <border>
      <left style="thin">
        <color auto="1"/>
      </left>
      <right/>
      <top style="dotted">
        <color indexed="64"/>
      </top>
      <bottom/>
      <diagonal/>
    </border>
    <border>
      <left style="thin">
        <color indexed="64"/>
      </left>
      <right style="thin">
        <color auto="1"/>
      </right>
      <top style="thin">
        <color theme="0"/>
      </top>
      <bottom style="thin">
        <color theme="0"/>
      </bottom>
      <diagonal/>
    </border>
    <border>
      <left style="thin">
        <color indexed="64"/>
      </left>
      <right style="thin">
        <color auto="1"/>
      </right>
      <top/>
      <bottom style="thin">
        <color theme="0"/>
      </bottom>
      <diagonal/>
    </border>
    <border>
      <left style="thin">
        <color indexed="64"/>
      </left>
      <right style="thin">
        <color auto="1"/>
      </right>
      <top style="thin">
        <color theme="0"/>
      </top>
      <bottom style="thin">
        <color indexed="64"/>
      </bottom>
      <diagonal/>
    </border>
    <border>
      <left/>
      <right style="medium">
        <color indexed="64"/>
      </right>
      <top style="thin">
        <color indexed="64"/>
      </top>
      <bottom/>
      <diagonal/>
    </border>
    <border>
      <left/>
      <right style="thin">
        <color indexed="64"/>
      </right>
      <top style="thin">
        <color rgb="FFFFFFFF"/>
      </top>
      <bottom style="dotted">
        <color indexed="64"/>
      </bottom>
      <diagonal/>
    </border>
    <border>
      <left/>
      <right style="thin">
        <color indexed="64"/>
      </right>
      <top/>
      <bottom style="thin">
        <color indexed="9"/>
      </bottom>
      <diagonal/>
    </border>
    <border>
      <left/>
      <right style="thin">
        <color indexed="64"/>
      </right>
      <top style="thin">
        <color indexed="9"/>
      </top>
      <bottom style="dotted">
        <color indexed="64"/>
      </bottom>
      <diagonal/>
    </border>
    <border>
      <left style="thin">
        <color indexed="64"/>
      </left>
      <right/>
      <top/>
      <bottom style="thin">
        <color indexed="9"/>
      </bottom>
      <diagonal/>
    </border>
    <border>
      <left/>
      <right style="thin">
        <color indexed="64"/>
      </right>
      <top style="thin">
        <color indexed="9"/>
      </top>
      <bottom style="thin">
        <color indexed="64"/>
      </bottom>
      <diagonal/>
    </border>
    <border>
      <left style="thin">
        <color auto="1"/>
      </left>
      <right style="thin">
        <color indexed="64"/>
      </right>
      <top/>
      <bottom style="thin">
        <color auto="1"/>
      </bottom>
      <diagonal/>
    </border>
    <border>
      <left style="thin">
        <color auto="1"/>
      </left>
      <right/>
      <top/>
      <bottom style="thin">
        <color auto="1"/>
      </bottom>
      <diagonal/>
    </border>
    <border>
      <left/>
      <right/>
      <top/>
      <bottom style="thin">
        <color auto="1"/>
      </bottom>
      <diagonal/>
    </border>
    <border>
      <left/>
      <right style="thin">
        <color indexed="64"/>
      </right>
      <top/>
      <bottom style="thin">
        <color auto="1"/>
      </bottom>
      <diagonal/>
    </border>
    <border>
      <left/>
      <right style="thin">
        <color indexed="64"/>
      </right>
      <top/>
      <bottom style="dashed">
        <color indexed="64"/>
      </bottom>
      <diagonal/>
    </border>
    <border>
      <left style="hair">
        <color indexed="64"/>
      </left>
      <right style="hair">
        <color indexed="64"/>
      </right>
      <top/>
      <bottom/>
      <diagonal/>
    </border>
    <border>
      <left style="thick">
        <color rgb="FF00B050"/>
      </left>
      <right style="thick">
        <color rgb="FFFF0000"/>
      </right>
      <top/>
      <bottom/>
      <diagonal/>
    </border>
    <border>
      <left style="thin">
        <color auto="1"/>
      </left>
      <right/>
      <top style="hair">
        <color indexed="64"/>
      </top>
      <bottom/>
      <diagonal/>
    </border>
    <border>
      <left style="thin">
        <color auto="1"/>
      </left>
      <right/>
      <top/>
      <bottom style="hair">
        <color indexed="64"/>
      </bottom>
      <diagonal/>
    </border>
    <border>
      <left style="thin">
        <color auto="1"/>
      </left>
      <right style="hair">
        <color auto="1"/>
      </right>
      <top style="hair">
        <color auto="1"/>
      </top>
      <bottom style="hair">
        <color auto="1"/>
      </bottom>
      <diagonal/>
    </border>
    <border>
      <left style="hair">
        <color indexed="64"/>
      </left>
      <right/>
      <top/>
      <bottom style="thin">
        <color indexed="9"/>
      </bottom>
      <diagonal/>
    </border>
    <border>
      <left/>
      <right style="hair">
        <color indexed="64"/>
      </right>
      <top/>
      <bottom style="thin">
        <color indexed="9"/>
      </bottom>
      <diagonal/>
    </border>
    <border>
      <left/>
      <right style="thin">
        <color indexed="64"/>
      </right>
      <top style="hair">
        <color indexed="64"/>
      </top>
      <bottom style="hair">
        <color auto="1"/>
      </bottom>
      <diagonal/>
    </border>
    <border>
      <left/>
      <right style="thin">
        <color indexed="64"/>
      </right>
      <top style="hair">
        <color indexed="64"/>
      </top>
      <bottom style="thin">
        <color indexed="9"/>
      </bottom>
      <diagonal/>
    </border>
    <border>
      <left/>
      <right style="thin">
        <color indexed="64"/>
      </right>
      <top style="thin">
        <color indexed="9"/>
      </top>
      <bottom style="thin">
        <color indexed="9"/>
      </bottom>
      <diagonal/>
    </border>
    <border>
      <left/>
      <right style="thin">
        <color indexed="64"/>
      </right>
      <top style="thin">
        <color indexed="9"/>
      </top>
      <bottom style="hair">
        <color indexed="64"/>
      </bottom>
      <diagonal/>
    </border>
    <border>
      <left/>
      <right style="thin">
        <color indexed="64"/>
      </right>
      <top style="dotted">
        <color auto="1"/>
      </top>
      <bottom/>
      <diagonal/>
    </border>
    <border>
      <left style="dotted">
        <color auto="1"/>
      </left>
      <right/>
      <top style="dotted">
        <color auto="1"/>
      </top>
      <bottom/>
      <diagonal/>
    </border>
    <border>
      <left/>
      <right style="dotted">
        <color auto="1"/>
      </right>
      <top style="dotted">
        <color auto="1"/>
      </top>
      <bottom/>
      <diagonal/>
    </border>
    <border>
      <left/>
      <right style="dotted">
        <color auto="1"/>
      </right>
      <top/>
      <bottom style="thin">
        <color indexed="9"/>
      </bottom>
      <diagonal/>
    </border>
    <border>
      <left/>
      <right style="dotted">
        <color auto="1"/>
      </right>
      <top style="thin">
        <color indexed="9"/>
      </top>
      <bottom style="dotted">
        <color auto="1"/>
      </bottom>
      <diagonal/>
    </border>
    <border>
      <left style="dotted">
        <color auto="1"/>
      </left>
      <right style="dotted">
        <color auto="1"/>
      </right>
      <top style="dotted">
        <color auto="1"/>
      </top>
      <bottom/>
      <diagonal/>
    </border>
    <border>
      <left style="dotted">
        <color auto="1"/>
      </left>
      <right style="dotted">
        <color auto="1"/>
      </right>
      <top style="dotted">
        <color auto="1"/>
      </top>
      <bottom style="thin">
        <color indexed="9"/>
      </bottom>
      <diagonal/>
    </border>
    <border>
      <left style="dotted">
        <color auto="1"/>
      </left>
      <right style="dotted">
        <color auto="1"/>
      </right>
      <top/>
      <bottom/>
      <diagonal/>
    </border>
    <border>
      <left style="dotted">
        <color auto="1"/>
      </left>
      <right style="dotted">
        <color auto="1"/>
      </right>
      <top/>
      <bottom style="dotted">
        <color auto="1"/>
      </bottom>
      <diagonal/>
    </border>
    <border>
      <left style="dotted">
        <color auto="1"/>
      </left>
      <right/>
      <top style="thin">
        <color indexed="9"/>
      </top>
      <bottom style="dotted">
        <color auto="1"/>
      </bottom>
      <diagonal/>
    </border>
    <border>
      <left style="dotted">
        <color auto="1"/>
      </left>
      <right/>
      <top/>
      <bottom style="thin">
        <color indexed="9"/>
      </bottom>
      <diagonal/>
    </border>
    <border>
      <left style="dotted">
        <color auto="1"/>
      </left>
      <right/>
      <top style="dotted">
        <color auto="1"/>
      </top>
      <bottom style="thin">
        <color indexed="9"/>
      </bottom>
      <diagonal/>
    </border>
    <border>
      <left/>
      <right style="dotted">
        <color auto="1"/>
      </right>
      <top style="dotted">
        <color auto="1"/>
      </top>
      <bottom style="thin">
        <color indexed="9"/>
      </bottom>
      <diagonal/>
    </border>
    <border>
      <left style="dotted">
        <color auto="1"/>
      </left>
      <right/>
      <top style="dotted">
        <color auto="1"/>
      </top>
      <bottom style="dotted">
        <color indexed="64"/>
      </bottom>
      <diagonal/>
    </border>
    <border>
      <left/>
      <right/>
      <top style="dotted">
        <color auto="1"/>
      </top>
      <bottom style="dotted">
        <color indexed="64"/>
      </bottom>
      <diagonal/>
    </border>
    <border>
      <left/>
      <right style="dotted">
        <color auto="1"/>
      </right>
      <top style="dotted">
        <color auto="1"/>
      </top>
      <bottom style="dotted">
        <color indexed="64"/>
      </bottom>
      <diagonal/>
    </border>
    <border>
      <left/>
      <right style="thick">
        <color theme="0"/>
      </right>
      <top/>
      <bottom/>
      <diagonal/>
    </border>
    <border>
      <left style="thick">
        <color theme="0"/>
      </left>
      <right style="thick">
        <color theme="0"/>
      </right>
      <top/>
      <bottom/>
      <diagonal/>
    </border>
    <border>
      <left style="thick">
        <color theme="0"/>
      </left>
      <right/>
      <top/>
      <bottom/>
      <diagonal/>
    </border>
    <border>
      <left style="thin">
        <color indexed="64"/>
      </left>
      <right/>
      <top style="thin">
        <color indexed="64"/>
      </top>
      <bottom style="dotted">
        <color indexed="64"/>
      </bottom>
      <diagonal/>
    </border>
    <border>
      <left/>
      <right/>
      <top style="thin">
        <color indexed="64"/>
      </top>
      <bottom style="dotted">
        <color indexed="64"/>
      </bottom>
      <diagonal/>
    </border>
    <border>
      <left/>
      <right style="thin">
        <color indexed="64"/>
      </right>
      <top style="thin">
        <color indexed="64"/>
      </top>
      <bottom style="dotted">
        <color indexed="64"/>
      </bottom>
      <diagonal/>
    </border>
    <border>
      <left/>
      <right style="thin">
        <color indexed="64"/>
      </right>
      <top/>
      <bottom style="thin">
        <color theme="0"/>
      </bottom>
      <diagonal/>
    </border>
    <border>
      <left style="medium">
        <color indexed="64"/>
      </left>
      <right style="medium">
        <color indexed="64"/>
      </right>
      <top style="medium">
        <color indexed="64"/>
      </top>
      <bottom style="medium">
        <color indexed="64"/>
      </bottom>
      <diagonal/>
    </border>
    <border>
      <left/>
      <right style="medium">
        <color indexed="64"/>
      </right>
      <top style="medium">
        <color indexed="64"/>
      </top>
      <bottom style="medium">
        <color indexed="64"/>
      </bottom>
      <diagonal/>
    </border>
    <border>
      <left style="medium">
        <color indexed="64"/>
      </left>
      <right/>
      <top style="medium">
        <color indexed="64"/>
      </top>
      <bottom style="medium">
        <color indexed="64"/>
      </bottom>
      <diagonal/>
    </border>
    <border>
      <left/>
      <right/>
      <top style="medium">
        <color indexed="64"/>
      </top>
      <bottom style="medium">
        <color indexed="64"/>
      </bottom>
      <diagonal/>
    </border>
    <border>
      <left/>
      <right/>
      <top style="thin">
        <color rgb="FFFFFFFF"/>
      </top>
      <bottom style="thin">
        <color indexed="9"/>
      </bottom>
      <diagonal/>
    </border>
    <border>
      <left style="thin">
        <color indexed="64"/>
      </left>
      <right/>
      <top style="thin">
        <color indexed="64"/>
      </top>
      <bottom style="thin">
        <color indexed="64"/>
      </bottom>
      <diagonal/>
    </border>
    <border>
      <left/>
      <right style="thin">
        <color indexed="64"/>
      </right>
      <top style="thin">
        <color indexed="64"/>
      </top>
      <bottom style="thin">
        <color indexed="64"/>
      </bottom>
      <diagonal/>
    </border>
    <border>
      <left style="thin">
        <color indexed="64"/>
      </left>
      <right style="thin">
        <color indexed="64"/>
      </right>
      <top style="thin">
        <color indexed="64"/>
      </top>
      <bottom style="thin">
        <color indexed="64"/>
      </bottom>
      <diagonal/>
    </border>
    <border>
      <left/>
      <right/>
      <top style="thin">
        <color indexed="64"/>
      </top>
      <bottom style="thin">
        <color indexed="64"/>
      </bottom>
      <diagonal/>
    </border>
    <border>
      <left style="medium">
        <color indexed="64"/>
      </left>
      <right style="thin">
        <color indexed="64"/>
      </right>
      <top style="medium">
        <color indexed="64"/>
      </top>
      <bottom style="thin">
        <color indexed="64"/>
      </bottom>
      <diagonal/>
    </border>
    <border>
      <left/>
      <right style="thin">
        <color indexed="64"/>
      </right>
      <top style="medium">
        <color indexed="64"/>
      </top>
      <bottom style="thin">
        <color indexed="64"/>
      </bottom>
      <diagonal/>
    </border>
    <border>
      <left style="thin">
        <color indexed="64"/>
      </left>
      <right style="thin">
        <color indexed="64"/>
      </right>
      <top style="medium">
        <color indexed="64"/>
      </top>
      <bottom style="thin">
        <color indexed="64"/>
      </bottom>
      <diagonal/>
    </border>
    <border>
      <left style="thin">
        <color indexed="64"/>
      </left>
      <right/>
      <top style="medium">
        <color indexed="64"/>
      </top>
      <bottom style="thin">
        <color indexed="64"/>
      </bottom>
      <diagonal/>
    </border>
    <border>
      <left/>
      <right/>
      <top style="medium">
        <color indexed="64"/>
      </top>
      <bottom style="thin">
        <color indexed="64"/>
      </bottom>
      <diagonal/>
    </border>
    <border>
      <left/>
      <right style="medium">
        <color indexed="64"/>
      </right>
      <top style="medium">
        <color indexed="64"/>
      </top>
      <bottom style="thin">
        <color indexed="64"/>
      </bottom>
      <diagonal/>
    </border>
    <border>
      <left style="medium">
        <color indexed="64"/>
      </left>
      <right style="thin">
        <color indexed="64"/>
      </right>
      <top style="thin">
        <color indexed="64"/>
      </top>
      <bottom style="thin">
        <color indexed="64"/>
      </bottom>
      <diagonal/>
    </border>
    <border>
      <left/>
      <right style="medium">
        <color indexed="64"/>
      </right>
      <top style="thin">
        <color indexed="64"/>
      </top>
      <bottom style="thin">
        <color indexed="64"/>
      </bottom>
      <diagonal/>
    </border>
    <border>
      <left style="medium">
        <color indexed="64"/>
      </left>
      <right/>
      <top style="thin">
        <color indexed="64"/>
      </top>
      <bottom/>
      <diagonal/>
    </border>
    <border>
      <left style="thin">
        <color indexed="64"/>
      </left>
      <right style="medium">
        <color indexed="64"/>
      </right>
      <top style="thin">
        <color indexed="64"/>
      </top>
      <bottom style="thin">
        <color indexed="64"/>
      </bottom>
      <diagonal/>
    </border>
    <border>
      <left style="medium">
        <color indexed="64"/>
      </left>
      <right/>
      <top/>
      <bottom style="thin">
        <color indexed="64"/>
      </bottom>
      <diagonal/>
    </border>
    <border>
      <left/>
      <right style="thin">
        <color indexed="64"/>
      </right>
      <top/>
      <bottom style="medium">
        <color indexed="64"/>
      </bottom>
      <diagonal/>
    </border>
    <border>
      <left style="thin">
        <color indexed="64"/>
      </left>
      <right/>
      <top/>
      <bottom style="medium">
        <color indexed="64"/>
      </bottom>
      <diagonal/>
    </border>
    <border>
      <left style="hair">
        <color indexed="64"/>
      </left>
      <right/>
      <top style="thin">
        <color indexed="9"/>
      </top>
      <bottom/>
      <diagonal/>
    </border>
    <border>
      <left/>
      <right style="hair">
        <color indexed="64"/>
      </right>
      <top style="thin">
        <color indexed="9"/>
      </top>
      <bottom/>
      <diagonal/>
    </border>
  </borders>
  <cellStyleXfs count="21">
    <xf numFmtId="0" fontId="0" fillId="0" borderId="0"/>
    <xf numFmtId="0" fontId="8" fillId="0" borderId="0" applyNumberFormat="0" applyFill="0" applyBorder="0" applyAlignment="0" applyProtection="0">
      <alignment vertical="top"/>
      <protection locked="0"/>
    </xf>
    <xf numFmtId="0" fontId="7" fillId="0" borderId="0"/>
    <xf numFmtId="0" fontId="3" fillId="0" borderId="0"/>
    <xf numFmtId="178" fontId="7" fillId="0" borderId="0" applyFont="0" applyFill="0" applyBorder="0" applyAlignment="0" applyProtection="0"/>
    <xf numFmtId="0" fontId="7" fillId="0" borderId="0"/>
    <xf numFmtId="9" fontId="12" fillId="0" borderId="0" applyFont="0" applyFill="0" applyBorder="0" applyAlignment="0" applyProtection="0"/>
    <xf numFmtId="0" fontId="7" fillId="0" borderId="0"/>
    <xf numFmtId="0" fontId="7" fillId="0" borderId="0"/>
    <xf numFmtId="178" fontId="7" fillId="0" borderId="0" applyFont="0" applyFill="0" applyBorder="0" applyAlignment="0" applyProtection="0"/>
    <xf numFmtId="0" fontId="2" fillId="0" borderId="0"/>
    <xf numFmtId="0" fontId="12" fillId="0" borderId="0"/>
    <xf numFmtId="176" fontId="12" fillId="0" borderId="0" applyFont="0" applyFill="0" applyBorder="0" applyAlignment="0" applyProtection="0"/>
    <xf numFmtId="0" fontId="7" fillId="0" borderId="0"/>
    <xf numFmtId="0" fontId="1" fillId="0" borderId="0"/>
    <xf numFmtId="0" fontId="54" fillId="0" borderId="0"/>
    <xf numFmtId="41" fontId="55" fillId="0" borderId="0" applyFont="0" applyFill="0" applyBorder="0" applyAlignment="0" applyProtection="0">
      <alignment vertical="center"/>
    </xf>
    <xf numFmtId="0" fontId="7" fillId="0" borderId="0">
      <alignment vertical="center"/>
    </xf>
    <xf numFmtId="0" fontId="7" fillId="0" borderId="0"/>
    <xf numFmtId="0" fontId="81" fillId="0" borderId="0"/>
    <xf numFmtId="0" fontId="7" fillId="0" borderId="0"/>
  </cellStyleXfs>
  <cellXfs count="800">
    <xf numFmtId="0" fontId="0" fillId="0" borderId="0" xfId="0"/>
    <xf numFmtId="0" fontId="9" fillId="0" borderId="0" xfId="0" applyFont="1"/>
    <xf numFmtId="0" fontId="4" fillId="0" borderId="0" xfId="0" applyFont="1"/>
    <xf numFmtId="0" fontId="10" fillId="0" borderId="0" xfId="0" applyFont="1" applyAlignment="1">
      <alignment vertical="center"/>
    </xf>
    <xf numFmtId="0" fontId="6" fillId="0" borderId="0" xfId="0" applyFont="1"/>
    <xf numFmtId="0" fontId="6" fillId="0" borderId="0" xfId="0" applyFont="1" applyAlignment="1">
      <alignment vertical="center"/>
    </xf>
    <xf numFmtId="0" fontId="9" fillId="2" borderId="0" xfId="0" applyFont="1" applyFill="1"/>
    <xf numFmtId="0" fontId="4" fillId="2" borderId="0" xfId="0" applyFont="1" applyFill="1"/>
    <xf numFmtId="0" fontId="9" fillId="0" borderId="0" xfId="0" applyFont="1" applyAlignment="1">
      <alignment horizontal="center" vertical="center"/>
    </xf>
    <xf numFmtId="0" fontId="4" fillId="0" borderId="0" xfId="0" applyFont="1" applyAlignment="1">
      <alignment horizontal="center" vertical="center"/>
    </xf>
    <xf numFmtId="0" fontId="6" fillId="0" borderId="50" xfId="0" applyFont="1" applyBorder="1"/>
    <xf numFmtId="0" fontId="6" fillId="0" borderId="51" xfId="0" applyFont="1" applyBorder="1"/>
    <xf numFmtId="0" fontId="4" fillId="0" borderId="0" xfId="0" applyFont="1" applyAlignment="1">
      <alignment horizontal="left"/>
    </xf>
    <xf numFmtId="0" fontId="11" fillId="3" borderId="0" xfId="0" applyFont="1" applyFill="1" applyAlignment="1" applyProtection="1">
      <alignment horizontal="left" vertical="top" wrapText="1"/>
      <protection locked="0"/>
    </xf>
    <xf numFmtId="0" fontId="5" fillId="0" borderId="0" xfId="0" applyFont="1"/>
    <xf numFmtId="0" fontId="12" fillId="0" borderId="0" xfId="11"/>
    <xf numFmtId="0" fontId="15" fillId="0" borderId="0" xfId="11" applyFont="1"/>
    <xf numFmtId="0" fontId="17" fillId="0" borderId="0" xfId="11" applyFont="1"/>
    <xf numFmtId="0" fontId="18" fillId="0" borderId="0" xfId="11" applyFont="1"/>
    <xf numFmtId="0" fontId="20" fillId="2" borderId="0" xfId="0" applyFont="1" applyFill="1" applyAlignment="1">
      <alignment horizontal="left" vertical="top"/>
    </xf>
    <xf numFmtId="0" fontId="21" fillId="0" borderId="0" xfId="0" applyFont="1"/>
    <xf numFmtId="0" fontId="22" fillId="0" borderId="0" xfId="0" applyFont="1"/>
    <xf numFmtId="0" fontId="22" fillId="0" borderId="0" xfId="0" applyFont="1" applyAlignment="1">
      <alignment vertical="center"/>
    </xf>
    <xf numFmtId="0" fontId="22" fillId="0" borderId="3" xfId="0" applyFont="1" applyBorder="1" applyAlignment="1">
      <alignment vertical="center"/>
    </xf>
    <xf numFmtId="0" fontId="21" fillId="0" borderId="35" xfId="0" applyFont="1" applyBorder="1"/>
    <xf numFmtId="0" fontId="26" fillId="2" borderId="33" xfId="0" applyFont="1" applyFill="1" applyBorder="1"/>
    <xf numFmtId="0" fontId="26" fillId="2" borderId="1" xfId="0" applyFont="1" applyFill="1" applyBorder="1"/>
    <xf numFmtId="0" fontId="26" fillId="2" borderId="2" xfId="0" applyFont="1" applyFill="1" applyBorder="1"/>
    <xf numFmtId="0" fontId="26" fillId="2" borderId="9" xfId="0" applyFont="1" applyFill="1" applyBorder="1"/>
    <xf numFmtId="0" fontId="26" fillId="2" borderId="0" xfId="0" applyFont="1" applyFill="1"/>
    <xf numFmtId="0" fontId="26" fillId="2" borderId="5" xfId="0" applyFont="1" applyFill="1" applyBorder="1"/>
    <xf numFmtId="0" fontId="21" fillId="2" borderId="3" xfId="0" applyFont="1" applyFill="1" applyBorder="1" applyAlignment="1">
      <alignment horizontal="left"/>
    </xf>
    <xf numFmtId="0" fontId="21" fillId="2" borderId="8" xfId="0" applyFont="1" applyFill="1" applyBorder="1" applyAlignment="1">
      <alignment horizontal="center"/>
    </xf>
    <xf numFmtId="0" fontId="21" fillId="2" borderId="8" xfId="0" applyFont="1" applyFill="1" applyBorder="1" applyAlignment="1">
      <alignment horizontal="right"/>
    </xf>
    <xf numFmtId="0" fontId="21" fillId="2" borderId="3" xfId="0" applyFont="1" applyFill="1" applyBorder="1" applyAlignment="1">
      <alignment horizontal="center"/>
    </xf>
    <xf numFmtId="0" fontId="21" fillId="2" borderId="0" xfId="0" applyFont="1" applyFill="1" applyAlignment="1">
      <alignment horizontal="center"/>
    </xf>
    <xf numFmtId="0" fontId="21" fillId="2" borderId="0" xfId="0" applyFont="1" applyFill="1" applyAlignment="1">
      <alignment horizontal="right"/>
    </xf>
    <xf numFmtId="0" fontId="21" fillId="2" borderId="35" xfId="0" applyFont="1" applyFill="1" applyBorder="1" applyAlignment="1">
      <alignment horizontal="center"/>
    </xf>
    <xf numFmtId="0" fontId="21" fillId="2" borderId="0" xfId="0" applyFont="1" applyFill="1" applyAlignment="1">
      <alignment horizontal="left"/>
    </xf>
    <xf numFmtId="0" fontId="21" fillId="2" borderId="0" xfId="0" applyFont="1" applyFill="1"/>
    <xf numFmtId="0" fontId="21" fillId="2" borderId="3" xfId="0" applyFont="1" applyFill="1" applyBorder="1"/>
    <xf numFmtId="0" fontId="21" fillId="2" borderId="54" xfId="0" applyFont="1" applyFill="1" applyBorder="1" applyAlignment="1">
      <alignment horizontal="left"/>
    </xf>
    <xf numFmtId="0" fontId="21" fillId="2" borderId="35" xfId="0" applyFont="1" applyFill="1" applyBorder="1"/>
    <xf numFmtId="0" fontId="20" fillId="2" borderId="55" xfId="0" applyFont="1" applyFill="1" applyBorder="1" applyAlignment="1">
      <alignment horizontal="left" vertical="top"/>
    </xf>
    <xf numFmtId="0" fontId="21" fillId="2" borderId="8" xfId="0" applyFont="1" applyFill="1" applyBorder="1" applyAlignment="1">
      <alignment horizontal="center" vertical="top"/>
    </xf>
    <xf numFmtId="0" fontId="22" fillId="2" borderId="8" xfId="0" applyFont="1" applyFill="1" applyBorder="1" applyAlignment="1">
      <alignment horizontal="center" vertical="top"/>
    </xf>
    <xf numFmtId="0" fontId="22" fillId="2" borderId="8" xfId="0" applyFont="1" applyFill="1" applyBorder="1" applyAlignment="1">
      <alignment vertical="top"/>
    </xf>
    <xf numFmtId="0" fontId="22" fillId="2" borderId="8" xfId="0" applyFont="1" applyFill="1" applyBorder="1" applyAlignment="1">
      <alignment horizontal="left" vertical="top"/>
    </xf>
    <xf numFmtId="0" fontId="22" fillId="2" borderId="8" xfId="1" applyFont="1" applyFill="1" applyBorder="1" applyAlignment="1" applyProtection="1">
      <alignment horizontal="left" vertical="top"/>
    </xf>
    <xf numFmtId="49" fontId="21" fillId="2" borderId="102" xfId="0" applyNumberFormat="1" applyFont="1" applyFill="1" applyBorder="1" applyAlignment="1">
      <alignment horizontal="center" vertical="center"/>
    </xf>
    <xf numFmtId="0" fontId="21" fillId="2" borderId="3" xfId="0" applyFont="1" applyFill="1" applyBorder="1" applyAlignment="1">
      <alignment vertical="top"/>
    </xf>
    <xf numFmtId="0" fontId="21" fillId="2" borderId="0" xfId="0" applyFont="1" applyFill="1" applyAlignment="1">
      <alignment vertical="top"/>
    </xf>
    <xf numFmtId="49" fontId="21" fillId="2" borderId="34" xfId="0" applyNumberFormat="1" applyFont="1" applyFill="1" applyBorder="1" applyAlignment="1">
      <alignment horizontal="center" vertical="center"/>
    </xf>
    <xf numFmtId="0" fontId="21" fillId="2" borderId="3" xfId="0" applyFont="1" applyFill="1" applyBorder="1" applyAlignment="1">
      <alignment horizontal="left" vertical="top"/>
    </xf>
    <xf numFmtId="0" fontId="21" fillId="2" borderId="0" xfId="0" applyFont="1" applyFill="1" applyAlignment="1">
      <alignment horizontal="left" vertical="top"/>
    </xf>
    <xf numFmtId="0" fontId="21" fillId="2" borderId="103" xfId="0" applyFont="1" applyFill="1" applyBorder="1" applyAlignment="1">
      <alignment horizontal="left" vertical="top"/>
    </xf>
    <xf numFmtId="0" fontId="21" fillId="2" borderId="64" xfId="0" applyFont="1" applyFill="1" applyBorder="1" applyAlignment="1">
      <alignment horizontal="left" vertical="top"/>
    </xf>
    <xf numFmtId="0" fontId="21" fillId="2" borderId="64" xfId="0" applyFont="1" applyFill="1" applyBorder="1" applyAlignment="1">
      <alignment vertical="top"/>
    </xf>
    <xf numFmtId="0" fontId="21" fillId="2" borderId="0" xfId="0" applyFont="1" applyFill="1" applyAlignment="1">
      <alignment horizontal="right" vertical="top"/>
    </xf>
    <xf numFmtId="0" fontId="22" fillId="0" borderId="3" xfId="0" applyFont="1" applyBorder="1" applyAlignment="1">
      <alignment vertical="center" wrapText="1"/>
    </xf>
    <xf numFmtId="0" fontId="21" fillId="2" borderId="64" xfId="0" applyFont="1" applyFill="1" applyBorder="1" applyAlignment="1">
      <alignment horizontal="right" vertical="top"/>
    </xf>
    <xf numFmtId="0" fontId="21" fillId="2" borderId="0" xfId="0" applyFont="1" applyFill="1" applyAlignment="1" applyProtection="1">
      <alignment horizontal="left" vertical="top" wrapText="1"/>
      <protection locked="0"/>
    </xf>
    <xf numFmtId="0" fontId="20" fillId="2" borderId="159" xfId="0" applyFont="1" applyFill="1" applyBorder="1" applyAlignment="1">
      <alignment horizontal="left"/>
    </xf>
    <xf numFmtId="0" fontId="20" fillId="2" borderId="160" xfId="0" applyFont="1" applyFill="1" applyBorder="1"/>
    <xf numFmtId="0" fontId="21" fillId="2" borderId="160" xfId="0" applyFont="1" applyFill="1" applyBorder="1"/>
    <xf numFmtId="0" fontId="22" fillId="2" borderId="160" xfId="0" applyFont="1" applyFill="1" applyBorder="1"/>
    <xf numFmtId="0" fontId="21" fillId="2" borderId="160" xfId="0" applyFont="1" applyFill="1" applyBorder="1" applyAlignment="1">
      <alignment horizontal="right"/>
    </xf>
    <xf numFmtId="0" fontId="20" fillId="2" borderId="0" xfId="0" applyFont="1" applyFill="1"/>
    <xf numFmtId="0" fontId="26" fillId="2" borderId="34" xfId="0" applyFont="1" applyFill="1" applyBorder="1"/>
    <xf numFmtId="0" fontId="26" fillId="0" borderId="3" xfId="0" applyFont="1" applyBorder="1"/>
    <xf numFmtId="0" fontId="26" fillId="0" borderId="0" xfId="0" applyFont="1"/>
    <xf numFmtId="0" fontId="26" fillId="0" borderId="35" xfId="0" applyFont="1" applyBorder="1"/>
    <xf numFmtId="0" fontId="21" fillId="2" borderId="50" xfId="0" applyFont="1" applyFill="1" applyBorder="1"/>
    <xf numFmtId="0" fontId="21" fillId="2" borderId="51" xfId="0" applyFont="1" applyFill="1" applyBorder="1"/>
    <xf numFmtId="0" fontId="27" fillId="2" borderId="0" xfId="0" applyFont="1" applyFill="1" applyAlignment="1">
      <alignment horizontal="center" vertical="center"/>
    </xf>
    <xf numFmtId="0" fontId="26" fillId="2" borderId="0" xfId="0" applyFont="1" applyFill="1" applyAlignment="1">
      <alignment horizontal="center"/>
    </xf>
    <xf numFmtId="0" fontId="28" fillId="2" borderId="0" xfId="0" applyFont="1" applyFill="1" applyAlignment="1">
      <alignment horizontal="center" vertical="center"/>
    </xf>
    <xf numFmtId="0" fontId="21" fillId="2" borderId="6" xfId="0" applyFont="1" applyFill="1" applyBorder="1" applyAlignment="1">
      <alignment horizontal="left" vertical="top"/>
    </xf>
    <xf numFmtId="0" fontId="21" fillId="2" borderId="7" xfId="0" applyFont="1" applyFill="1" applyBorder="1" applyAlignment="1">
      <alignment horizontal="left"/>
    </xf>
    <xf numFmtId="0" fontId="21" fillId="2" borderId="7" xfId="0" applyFont="1" applyFill="1" applyBorder="1"/>
    <xf numFmtId="0" fontId="21" fillId="2" borderId="7" xfId="0" applyFont="1" applyFill="1" applyBorder="1" applyAlignment="1">
      <alignment horizontal="center" vertical="top" wrapText="1"/>
    </xf>
    <xf numFmtId="0" fontId="26" fillId="2" borderId="66" xfId="0" applyFont="1" applyFill="1" applyBorder="1"/>
    <xf numFmtId="0" fontId="20" fillId="2" borderId="159" xfId="0" applyFont="1" applyFill="1" applyBorder="1"/>
    <xf numFmtId="0" fontId="21" fillId="2" borderId="161" xfId="0" applyFont="1" applyFill="1" applyBorder="1"/>
    <xf numFmtId="0" fontId="22" fillId="2" borderId="3" xfId="0" applyFont="1" applyFill="1" applyBorder="1" applyAlignment="1">
      <alignment vertical="center"/>
    </xf>
    <xf numFmtId="0" fontId="21" fillId="2" borderId="34" xfId="0" applyFont="1" applyFill="1" applyBorder="1"/>
    <xf numFmtId="0" fontId="26" fillId="2" borderId="30" xfId="0" applyFont="1" applyFill="1" applyBorder="1"/>
    <xf numFmtId="0" fontId="26" fillId="2" borderId="31" xfId="0" applyFont="1" applyFill="1" applyBorder="1"/>
    <xf numFmtId="0" fontId="26" fillId="2" borderId="32" xfId="0" applyFont="1" applyFill="1" applyBorder="1"/>
    <xf numFmtId="0" fontId="21" fillId="0" borderId="0" xfId="0" applyFont="1" applyAlignment="1">
      <alignment horizontal="left"/>
    </xf>
    <xf numFmtId="0" fontId="26" fillId="0" borderId="34" xfId="0" applyFont="1" applyBorder="1"/>
    <xf numFmtId="0" fontId="21" fillId="0" borderId="0" xfId="0" applyFont="1" applyAlignment="1">
      <alignment horizontal="left" vertical="top" wrapText="1"/>
    </xf>
    <xf numFmtId="0" fontId="26" fillId="0" borderId="0" xfId="3" applyFont="1"/>
    <xf numFmtId="177" fontId="25" fillId="3" borderId="3" xfId="0" applyNumberFormat="1" applyFont="1" applyFill="1" applyBorder="1" applyAlignment="1" applyProtection="1">
      <alignment horizontal="left" vertical="top"/>
      <protection locked="0"/>
    </xf>
    <xf numFmtId="177" fontId="25" fillId="3" borderId="0" xfId="0" applyNumberFormat="1" applyFont="1" applyFill="1" applyAlignment="1" applyProtection="1">
      <alignment horizontal="left" vertical="top"/>
      <protection locked="0"/>
    </xf>
    <xf numFmtId="0" fontId="21" fillId="4" borderId="47" xfId="7" applyFont="1" applyFill="1" applyBorder="1" applyAlignment="1" applyProtection="1">
      <alignment vertical="top" wrapText="1"/>
      <protection locked="0"/>
    </xf>
    <xf numFmtId="0" fontId="26" fillId="2" borderId="34" xfId="0" applyFont="1" applyFill="1" applyBorder="1" applyAlignment="1">
      <alignment vertical="center"/>
    </xf>
    <xf numFmtId="0" fontId="26" fillId="0" borderId="3" xfId="0" applyFont="1" applyBorder="1" applyAlignment="1">
      <alignment vertical="center"/>
    </xf>
    <xf numFmtId="0" fontId="21" fillId="3" borderId="3" xfId="0" applyFont="1" applyFill="1" applyBorder="1" applyAlignment="1">
      <alignment horizontal="left" vertical="top" wrapText="1"/>
    </xf>
    <xf numFmtId="0" fontId="21" fillId="3" borderId="0" xfId="0" applyFont="1" applyFill="1" applyAlignment="1">
      <alignment horizontal="left" vertical="top" wrapText="1"/>
    </xf>
    <xf numFmtId="0" fontId="20" fillId="2" borderId="109" xfId="0" applyFont="1" applyFill="1" applyBorder="1"/>
    <xf numFmtId="0" fontId="20" fillId="2" borderId="53" xfId="0" applyFont="1" applyFill="1" applyBorder="1"/>
    <xf numFmtId="0" fontId="21" fillId="2" borderId="53" xfId="0" applyFont="1" applyFill="1" applyBorder="1"/>
    <xf numFmtId="0" fontId="22" fillId="0" borderId="3" xfId="0" applyFont="1" applyBorder="1" applyAlignment="1" applyProtection="1">
      <alignment vertical="center" shrinkToFit="1"/>
      <protection hidden="1"/>
    </xf>
    <xf numFmtId="0" fontId="32" fillId="2" borderId="110" xfId="0" applyFont="1" applyFill="1" applyBorder="1" applyAlignment="1">
      <alignment horizontal="center" vertical="center"/>
    </xf>
    <xf numFmtId="0" fontId="21" fillId="2" borderId="34" xfId="0" applyFont="1" applyFill="1" applyBorder="1" applyAlignment="1">
      <alignment horizontal="center" vertical="center"/>
    </xf>
    <xf numFmtId="0" fontId="22" fillId="0" borderId="3" xfId="0" applyFont="1" applyBorder="1" applyAlignment="1">
      <alignment horizontal="center" vertical="center"/>
    </xf>
    <xf numFmtId="0" fontId="26" fillId="0" borderId="8" xfId="3" applyFont="1" applyBorder="1" applyAlignment="1">
      <alignment vertical="center" wrapText="1"/>
    </xf>
    <xf numFmtId="0" fontId="25" fillId="2" borderId="111" xfId="2" applyFont="1" applyFill="1" applyBorder="1" applyAlignment="1" applyProtection="1">
      <alignment horizontal="center" vertical="center" wrapText="1"/>
      <protection locked="0"/>
    </xf>
    <xf numFmtId="0" fontId="26" fillId="0" borderId="0" xfId="3" applyFont="1" applyAlignment="1">
      <alignment vertical="center" wrapText="1"/>
    </xf>
    <xf numFmtId="0" fontId="26" fillId="0" borderId="0" xfId="3" applyFont="1" applyAlignment="1">
      <alignment vertical="center"/>
    </xf>
    <xf numFmtId="0" fontId="25" fillId="2" borderId="112" xfId="2" applyFont="1" applyFill="1" applyBorder="1" applyAlignment="1" applyProtection="1">
      <alignment horizontal="center" vertical="center" wrapText="1"/>
      <protection locked="0"/>
    </xf>
    <xf numFmtId="0" fontId="25" fillId="2" borderId="113" xfId="2" applyFont="1" applyFill="1" applyBorder="1" applyAlignment="1" applyProtection="1">
      <alignment horizontal="center" vertical="center" wrapText="1"/>
      <protection locked="0"/>
    </xf>
    <xf numFmtId="0" fontId="33" fillId="2" borderId="3" xfId="2" applyFont="1" applyFill="1" applyBorder="1" applyAlignment="1" applyProtection="1">
      <alignment horizontal="center" vertical="center" wrapText="1"/>
      <protection locked="0"/>
    </xf>
    <xf numFmtId="0" fontId="33" fillId="2" borderId="0" xfId="2" applyFont="1" applyFill="1" applyAlignment="1" applyProtection="1">
      <alignment horizontal="center" vertical="center" wrapText="1"/>
      <protection locked="0"/>
    </xf>
    <xf numFmtId="14" fontId="33" fillId="2" borderId="0" xfId="2" applyNumberFormat="1" applyFont="1" applyFill="1" applyAlignment="1" applyProtection="1">
      <alignment horizontal="center" vertical="center" wrapText="1"/>
      <protection locked="0"/>
    </xf>
    <xf numFmtId="0" fontId="33" fillId="2" borderId="0" xfId="2" applyFont="1" applyFill="1" applyAlignment="1" applyProtection="1">
      <alignment horizontal="center" vertical="center"/>
      <protection locked="0"/>
    </xf>
    <xf numFmtId="177" fontId="25" fillId="3" borderId="125" xfId="0" applyNumberFormat="1" applyFont="1" applyFill="1" applyBorder="1" applyAlignment="1" applyProtection="1">
      <alignment vertical="top"/>
      <protection locked="0"/>
    </xf>
    <xf numFmtId="177" fontId="25" fillId="3" borderId="126" xfId="0" applyNumberFormat="1" applyFont="1" applyFill="1" applyBorder="1" applyAlignment="1" applyProtection="1">
      <alignment vertical="top"/>
      <protection locked="0"/>
    </xf>
    <xf numFmtId="177" fontId="25" fillId="3" borderId="127" xfId="0" applyNumberFormat="1" applyFont="1" applyFill="1" applyBorder="1" applyAlignment="1" applyProtection="1">
      <alignment vertical="top"/>
      <protection locked="0"/>
    </xf>
    <xf numFmtId="0" fontId="21" fillId="2" borderId="124" xfId="0" applyFont="1" applyFill="1" applyBorder="1"/>
    <xf numFmtId="0" fontId="20" fillId="2" borderId="55" xfId="0" applyFont="1" applyFill="1" applyBorder="1"/>
    <xf numFmtId="0" fontId="20" fillId="2" borderId="8" xfId="0" applyFont="1" applyFill="1" applyBorder="1"/>
    <xf numFmtId="0" fontId="21" fillId="2" borderId="8" xfId="0" applyFont="1" applyFill="1" applyBorder="1"/>
    <xf numFmtId="0" fontId="21" fillId="2" borderId="102" xfId="0" applyFont="1" applyFill="1" applyBorder="1"/>
    <xf numFmtId="0" fontId="24" fillId="3" borderId="105" xfId="0" applyFont="1" applyFill="1" applyBorder="1" applyAlignment="1" applyProtection="1">
      <alignment vertical="top"/>
      <protection locked="0"/>
    </xf>
    <xf numFmtId="0" fontId="21" fillId="3" borderId="46" xfId="0" applyFont="1" applyFill="1" applyBorder="1" applyAlignment="1" applyProtection="1">
      <alignment vertical="top"/>
      <protection locked="0"/>
    </xf>
    <xf numFmtId="0" fontId="20" fillId="3" borderId="46" xfId="0" applyFont="1" applyFill="1" applyBorder="1" applyAlignment="1" applyProtection="1">
      <alignment vertical="top" wrapText="1"/>
      <protection locked="0"/>
    </xf>
    <xf numFmtId="0" fontId="21" fillId="0" borderId="3" xfId="0" applyFont="1" applyBorder="1"/>
    <xf numFmtId="0" fontId="21" fillId="2" borderId="34" xfId="0" applyFont="1" applyFill="1" applyBorder="1" applyAlignment="1">
      <alignment horizontal="center" vertical="center" textRotation="90" wrapText="1"/>
    </xf>
    <xf numFmtId="0" fontId="25" fillId="0" borderId="0" xfId="0" applyFont="1"/>
    <xf numFmtId="0" fontId="21" fillId="0" borderId="35" xfId="0" applyFont="1" applyBorder="1" applyAlignment="1">
      <alignment horizontal="left"/>
    </xf>
    <xf numFmtId="0" fontId="20" fillId="2" borderId="3" xfId="0" applyFont="1" applyFill="1" applyBorder="1" applyAlignment="1">
      <alignment horizontal="left"/>
    </xf>
    <xf numFmtId="0" fontId="20" fillId="2" borderId="0" xfId="0" applyFont="1" applyFill="1" applyAlignment="1">
      <alignment horizontal="left"/>
    </xf>
    <xf numFmtId="177" fontId="21" fillId="3" borderId="0" xfId="0" applyNumberFormat="1" applyFont="1" applyFill="1" applyAlignment="1" applyProtection="1">
      <alignment vertical="top" wrapText="1"/>
      <protection locked="0"/>
    </xf>
    <xf numFmtId="177" fontId="21" fillId="3" borderId="35" xfId="0" applyNumberFormat="1" applyFont="1" applyFill="1" applyBorder="1" applyAlignment="1" applyProtection="1">
      <alignment vertical="top" wrapText="1"/>
      <protection locked="0"/>
    </xf>
    <xf numFmtId="177" fontId="21" fillId="3" borderId="103" xfId="0" applyNumberFormat="1" applyFont="1" applyFill="1" applyBorder="1" applyAlignment="1" applyProtection="1">
      <alignment horizontal="left" vertical="top" wrapText="1"/>
      <protection locked="0"/>
    </xf>
    <xf numFmtId="177" fontId="21" fillId="3" borderId="64" xfId="0" applyNumberFormat="1" applyFont="1" applyFill="1" applyBorder="1" applyAlignment="1" applyProtection="1">
      <alignment horizontal="left" vertical="top" wrapText="1"/>
      <protection locked="0"/>
    </xf>
    <xf numFmtId="177" fontId="21" fillId="3" borderId="65" xfId="0" applyNumberFormat="1" applyFont="1" applyFill="1" applyBorder="1" applyAlignment="1" applyProtection="1">
      <alignment horizontal="left" vertical="top" wrapText="1"/>
      <protection locked="0"/>
    </xf>
    <xf numFmtId="0" fontId="21" fillId="2" borderId="104" xfId="0" applyFont="1" applyFill="1" applyBorder="1" applyAlignment="1" applyProtection="1">
      <alignment vertical="top" wrapText="1"/>
      <protection locked="0"/>
    </xf>
    <xf numFmtId="0" fontId="21" fillId="2" borderId="45" xfId="0" applyFont="1" applyFill="1" applyBorder="1" applyAlignment="1" applyProtection="1">
      <alignment vertical="top" wrapText="1"/>
      <protection locked="0"/>
    </xf>
    <xf numFmtId="0" fontId="20" fillId="2" borderId="3" xfId="0" applyFont="1" applyFill="1" applyBorder="1"/>
    <xf numFmtId="0" fontId="21" fillId="2" borderId="48" xfId="0" applyFont="1" applyFill="1" applyBorder="1" applyAlignment="1">
      <alignment vertical="center"/>
    </xf>
    <xf numFmtId="0" fontId="21" fillId="2" borderId="6" xfId="0" applyFont="1" applyFill="1" applyBorder="1" applyAlignment="1">
      <alignment vertical="top"/>
    </xf>
    <xf numFmtId="0" fontId="21" fillId="3" borderId="7" xfId="0" applyFont="1" applyFill="1" applyBorder="1" applyAlignment="1" applyProtection="1">
      <alignment horizontal="left" vertical="top"/>
      <protection locked="0"/>
    </xf>
    <xf numFmtId="0" fontId="21" fillId="2" borderId="7" xfId="2" applyFont="1" applyFill="1" applyBorder="1" applyAlignment="1" applyProtection="1">
      <alignment horizontal="right" vertical="center" wrapText="1"/>
      <protection locked="0"/>
    </xf>
    <xf numFmtId="0" fontId="25" fillId="2" borderId="7" xfId="2" applyFont="1" applyFill="1" applyBorder="1" applyAlignment="1" applyProtection="1">
      <alignment horizontal="center" vertical="center" wrapText="1"/>
      <protection locked="0"/>
    </xf>
    <xf numFmtId="0" fontId="21" fillId="2" borderId="66" xfId="0" applyFont="1" applyFill="1" applyBorder="1"/>
    <xf numFmtId="0" fontId="20" fillId="3" borderId="105" xfId="0" applyFont="1" applyFill="1" applyBorder="1" applyAlignment="1" applyProtection="1">
      <alignment vertical="top" wrapText="1"/>
      <protection locked="0"/>
    </xf>
    <xf numFmtId="0" fontId="24" fillId="0" borderId="0" xfId="0" applyFont="1"/>
    <xf numFmtId="0" fontId="24" fillId="0" borderId="145" xfId="0" applyFont="1" applyBorder="1"/>
    <xf numFmtId="0" fontId="21" fillId="0" borderId="148" xfId="0" applyFont="1" applyBorder="1"/>
    <xf numFmtId="0" fontId="26" fillId="0" borderId="116" xfId="0" applyFont="1" applyBorder="1"/>
    <xf numFmtId="0" fontId="26" fillId="0" borderId="115" xfId="0" applyFont="1" applyBorder="1"/>
    <xf numFmtId="0" fontId="24" fillId="0" borderId="147" xfId="0" applyFont="1" applyBorder="1"/>
    <xf numFmtId="0" fontId="21" fillId="2" borderId="6" xfId="0" applyFont="1" applyFill="1" applyBorder="1"/>
    <xf numFmtId="49" fontId="21" fillId="2" borderId="7" xfId="0" applyNumberFormat="1" applyFont="1" applyFill="1" applyBorder="1" applyAlignment="1" applyProtection="1">
      <alignment horizontal="center" vertical="top" wrapText="1"/>
      <protection locked="0"/>
    </xf>
    <xf numFmtId="0" fontId="21" fillId="2" borderId="7" xfId="0" applyFont="1" applyFill="1" applyBorder="1" applyAlignment="1" applyProtection="1">
      <alignment vertical="top" wrapText="1"/>
      <protection locked="0"/>
    </xf>
    <xf numFmtId="49" fontId="21" fillId="2" borderId="7" xfId="0" applyNumberFormat="1" applyFont="1" applyFill="1" applyBorder="1" applyAlignment="1" applyProtection="1">
      <alignment vertical="top" wrapText="1"/>
      <protection locked="0"/>
    </xf>
    <xf numFmtId="0" fontId="21" fillId="2" borderId="7" xfId="0" applyFont="1" applyFill="1" applyBorder="1" applyAlignment="1">
      <alignment horizontal="right" vertical="top"/>
    </xf>
    <xf numFmtId="14" fontId="21" fillId="2" borderId="7" xfId="0" applyNumberFormat="1" applyFont="1" applyFill="1" applyBorder="1" applyAlignment="1" applyProtection="1">
      <alignment horizontal="right" vertical="top"/>
      <protection locked="0"/>
    </xf>
    <xf numFmtId="0" fontId="26" fillId="0" borderId="117" xfId="0" applyFont="1" applyBorder="1"/>
    <xf numFmtId="0" fontId="20" fillId="2" borderId="35" xfId="0" applyFont="1" applyFill="1" applyBorder="1"/>
    <xf numFmtId="0" fontId="20" fillId="2" borderId="105" xfId="0" applyFont="1" applyFill="1" applyBorder="1"/>
    <xf numFmtId="0" fontId="21" fillId="2" borderId="46" xfId="0" applyFont="1" applyFill="1" applyBorder="1"/>
    <xf numFmtId="0" fontId="21" fillId="3" borderId="57" xfId="0" applyFont="1" applyFill="1" applyBorder="1"/>
    <xf numFmtId="0" fontId="21" fillId="3" borderId="52" xfId="0" applyFont="1" applyFill="1" applyBorder="1"/>
    <xf numFmtId="0" fontId="21" fillId="3" borderId="52" xfId="0" applyFont="1" applyFill="1" applyBorder="1" applyAlignment="1">
      <alignment horizontal="center" vertical="center"/>
    </xf>
    <xf numFmtId="0" fontId="21" fillId="2" borderId="52" xfId="0" applyFont="1" applyFill="1" applyBorder="1"/>
    <xf numFmtId="0" fontId="21" fillId="2" borderId="52" xfId="0" applyFont="1" applyFill="1" applyBorder="1" applyAlignment="1">
      <alignment horizontal="right"/>
    </xf>
    <xf numFmtId="0" fontId="21" fillId="2" borderId="0" xfId="0" applyFont="1" applyFill="1" applyAlignment="1" applyProtection="1">
      <alignment vertical="center"/>
      <protection locked="0"/>
    </xf>
    <xf numFmtId="0" fontId="21" fillId="2" borderId="52" xfId="0" applyFont="1" applyFill="1" applyBorder="1" applyAlignment="1" applyProtection="1">
      <alignment horizontal="right" vertical="center"/>
      <protection locked="0"/>
    </xf>
    <xf numFmtId="0" fontId="21" fillId="3" borderId="6" xfId="0" applyFont="1" applyFill="1" applyBorder="1"/>
    <xf numFmtId="0" fontId="21" fillId="3" borderId="7" xfId="0" applyFont="1" applyFill="1" applyBorder="1"/>
    <xf numFmtId="0" fontId="21" fillId="3" borderId="7" xfId="0" applyFont="1" applyFill="1" applyBorder="1" applyAlignment="1">
      <alignment horizontal="center" vertical="center"/>
    </xf>
    <xf numFmtId="0" fontId="21" fillId="2" borderId="7" xfId="0" applyFont="1" applyFill="1" applyBorder="1" applyAlignment="1">
      <alignment horizontal="right"/>
    </xf>
    <xf numFmtId="0" fontId="25" fillId="2" borderId="7" xfId="2" applyFont="1" applyFill="1" applyBorder="1" applyAlignment="1" applyProtection="1">
      <alignment horizontal="left" vertical="center" wrapText="1"/>
      <protection locked="0"/>
    </xf>
    <xf numFmtId="49" fontId="21" fillId="2" borderId="66" xfId="0" applyNumberFormat="1" applyFont="1" applyFill="1" applyBorder="1" applyAlignment="1">
      <alignment horizontal="center" vertical="center"/>
    </xf>
    <xf numFmtId="0" fontId="22" fillId="2" borderId="0" xfId="0" applyFont="1" applyFill="1"/>
    <xf numFmtId="14" fontId="21" fillId="2" borderId="0" xfId="0" applyNumberFormat="1" applyFont="1" applyFill="1" applyAlignment="1" applyProtection="1">
      <alignment vertical="center"/>
      <protection locked="0"/>
    </xf>
    <xf numFmtId="14" fontId="21" fillId="2" borderId="54" xfId="0" applyNumberFormat="1" applyFont="1" applyFill="1" applyBorder="1" applyAlignment="1" applyProtection="1">
      <alignment horizontal="right" vertical="center"/>
      <protection locked="0"/>
    </xf>
    <xf numFmtId="0" fontId="25" fillId="2" borderId="0" xfId="2" applyFont="1" applyFill="1" applyAlignment="1" applyProtection="1">
      <alignment horizontal="center" vertical="center" wrapText="1"/>
      <protection locked="0"/>
    </xf>
    <xf numFmtId="0" fontId="22" fillId="2" borderId="161" xfId="0" applyFont="1" applyFill="1" applyBorder="1"/>
    <xf numFmtId="0" fontId="21" fillId="2" borderId="59" xfId="0" applyFont="1" applyFill="1" applyBorder="1"/>
    <xf numFmtId="0" fontId="22" fillId="2" borderId="50" xfId="0" applyFont="1" applyFill="1" applyBorder="1"/>
    <xf numFmtId="0" fontId="21" fillId="2" borderId="58" xfId="0" applyFont="1" applyFill="1" applyBorder="1" applyAlignment="1">
      <alignment vertical="top"/>
    </xf>
    <xf numFmtId="0" fontId="21" fillId="2" borderId="57" xfId="0" applyFont="1" applyFill="1" applyBorder="1"/>
    <xf numFmtId="177" fontId="25" fillId="0" borderId="0" xfId="0" applyNumberFormat="1" applyFont="1" applyAlignment="1" applyProtection="1">
      <alignment vertical="top"/>
      <protection locked="0"/>
    </xf>
    <xf numFmtId="0" fontId="21" fillId="0" borderId="34" xfId="0" applyFont="1" applyBorder="1"/>
    <xf numFmtId="0" fontId="21" fillId="2" borderId="0" xfId="0" applyFont="1" applyFill="1" applyAlignment="1" applyProtection="1">
      <alignment horizontal="right"/>
      <protection locked="0"/>
    </xf>
    <xf numFmtId="0" fontId="21" fillId="2" borderId="0" xfId="0" applyFont="1" applyFill="1" applyProtection="1">
      <protection locked="0"/>
    </xf>
    <xf numFmtId="0" fontId="21" fillId="2" borderId="0" xfId="0" applyFont="1" applyFill="1" applyAlignment="1">
      <alignment horizontal="left" vertical="center"/>
    </xf>
    <xf numFmtId="0" fontId="21" fillId="3" borderId="3" xfId="0" applyFont="1" applyFill="1" applyBorder="1"/>
    <xf numFmtId="0" fontId="21" fillId="3" borderId="0" xfId="0" applyFont="1" applyFill="1"/>
    <xf numFmtId="0" fontId="21" fillId="3" borderId="0" xfId="0" applyFont="1" applyFill="1" applyAlignment="1" applyProtection="1">
      <alignment horizontal="left"/>
      <protection locked="0"/>
    </xf>
    <xf numFmtId="0" fontId="21" fillId="2" borderId="7" xfId="0" applyFont="1" applyFill="1" applyBorder="1" applyAlignment="1">
      <alignment horizontal="center"/>
    </xf>
    <xf numFmtId="0" fontId="22" fillId="0" borderId="6" xfId="0" applyFont="1" applyBorder="1" applyAlignment="1">
      <alignment vertical="center"/>
    </xf>
    <xf numFmtId="0" fontId="21" fillId="0" borderId="7" xfId="0" applyFont="1" applyBorder="1"/>
    <xf numFmtId="0" fontId="21" fillId="0" borderId="36" xfId="0" applyFont="1" applyBorder="1" applyAlignment="1">
      <alignment horizontal="left"/>
    </xf>
    <xf numFmtId="0" fontId="36" fillId="0" borderId="0" xfId="11" applyFont="1"/>
    <xf numFmtId="0" fontId="38" fillId="0" borderId="0" xfId="11" applyFont="1"/>
    <xf numFmtId="0" fontId="39" fillId="0" borderId="0" xfId="11" applyFont="1"/>
    <xf numFmtId="0" fontId="39" fillId="0" borderId="33" xfId="11" applyFont="1" applyBorder="1"/>
    <xf numFmtId="0" fontId="36" fillId="0" borderId="1" xfId="11" applyFont="1" applyBorder="1"/>
    <xf numFmtId="0" fontId="36" fillId="0" borderId="2" xfId="11" applyFont="1" applyBorder="1"/>
    <xf numFmtId="0" fontId="36" fillId="0" borderId="9" xfId="11" applyFont="1" applyBorder="1"/>
    <xf numFmtId="0" fontId="40" fillId="0" borderId="0" xfId="11" applyFont="1"/>
    <xf numFmtId="0" fontId="40" fillId="11" borderId="163" xfId="11" applyFont="1" applyFill="1" applyBorder="1"/>
    <xf numFmtId="0" fontId="40" fillId="0" borderId="5" xfId="11" applyFont="1" applyBorder="1"/>
    <xf numFmtId="10" fontId="40" fillId="11" borderId="163" xfId="11" applyNumberFormat="1" applyFont="1" applyFill="1" applyBorder="1"/>
    <xf numFmtId="0" fontId="36" fillId="0" borderId="30" xfId="11" applyFont="1" applyBorder="1"/>
    <xf numFmtId="0" fontId="40" fillId="0" borderId="31" xfId="11" applyFont="1" applyBorder="1"/>
    <xf numFmtId="0" fontId="40" fillId="0" borderId="32" xfId="11" applyFont="1" applyBorder="1"/>
    <xf numFmtId="0" fontId="39" fillId="0" borderId="0" xfId="11" applyFont="1" applyAlignment="1">
      <alignment horizontal="left"/>
    </xf>
    <xf numFmtId="0" fontId="40" fillId="0" borderId="1" xfId="11" applyFont="1" applyBorder="1"/>
    <xf numFmtId="10" fontId="40" fillId="0" borderId="0" xfId="11" applyNumberFormat="1" applyFont="1"/>
    <xf numFmtId="0" fontId="36" fillId="0" borderId="5" xfId="11" applyFont="1" applyBorder="1"/>
    <xf numFmtId="0" fontId="36" fillId="10" borderId="9" xfId="11" applyFont="1" applyFill="1" applyBorder="1"/>
    <xf numFmtId="0" fontId="40" fillId="10" borderId="0" xfId="11" applyFont="1" applyFill="1"/>
    <xf numFmtId="0" fontId="36" fillId="10" borderId="0" xfId="11" applyFont="1" applyFill="1"/>
    <xf numFmtId="0" fontId="36" fillId="10" borderId="5" xfId="11" applyFont="1" applyFill="1" applyBorder="1"/>
    <xf numFmtId="0" fontId="38" fillId="0" borderId="163" xfId="11" applyFont="1" applyBorder="1"/>
    <xf numFmtId="180" fontId="40" fillId="0" borderId="0" xfId="11" applyNumberFormat="1" applyFont="1"/>
    <xf numFmtId="0" fontId="42" fillId="0" borderId="0" xfId="11" applyFont="1"/>
    <xf numFmtId="0" fontId="43" fillId="9" borderId="163" xfId="11" applyFont="1" applyFill="1" applyBorder="1" applyAlignment="1">
      <alignment horizontal="right"/>
    </xf>
    <xf numFmtId="0" fontId="40" fillId="0" borderId="0" xfId="11" applyFont="1" applyAlignment="1">
      <alignment horizontal="left"/>
    </xf>
    <xf numFmtId="0" fontId="36" fillId="0" borderId="5" xfId="11" applyFont="1" applyBorder="1" applyAlignment="1">
      <alignment horizontal="left"/>
    </xf>
    <xf numFmtId="180" fontId="36" fillId="0" borderId="0" xfId="11" applyNumberFormat="1" applyFont="1"/>
    <xf numFmtId="0" fontId="36" fillId="0" borderId="0" xfId="11" applyFont="1" applyAlignment="1">
      <alignment vertical="center"/>
    </xf>
    <xf numFmtId="176" fontId="40" fillId="0" borderId="0" xfId="12" applyFont="1" applyBorder="1" applyAlignment="1">
      <alignment horizontal="left"/>
    </xf>
    <xf numFmtId="179" fontId="43" fillId="9" borderId="163" xfId="12" applyNumberFormat="1" applyFont="1" applyFill="1" applyBorder="1" applyAlignment="1">
      <alignment horizontal="right" vertical="center"/>
    </xf>
    <xf numFmtId="0" fontId="40" fillId="0" borderId="0" xfId="11" applyFont="1" applyAlignment="1">
      <alignment horizontal="center"/>
    </xf>
    <xf numFmtId="1" fontId="43" fillId="9" borderId="163" xfId="11" applyNumberFormat="1" applyFont="1" applyFill="1" applyBorder="1" applyAlignment="1">
      <alignment horizontal="left" vertical="center"/>
    </xf>
    <xf numFmtId="176" fontId="36" fillId="0" borderId="0" xfId="12" applyFont="1" applyBorder="1" applyAlignment="1">
      <alignment vertical="center"/>
    </xf>
    <xf numFmtId="0" fontId="38" fillId="0" borderId="165" xfId="11" applyFont="1" applyBorder="1"/>
    <xf numFmtId="0" fontId="36" fillId="0" borderId="164" xfId="11" applyFont="1" applyBorder="1"/>
    <xf numFmtId="0" fontId="36" fillId="0" borderId="31" xfId="11" applyFont="1" applyBorder="1"/>
    <xf numFmtId="0" fontId="36" fillId="0" borderId="32" xfId="11" applyFont="1" applyBorder="1"/>
    <xf numFmtId="0" fontId="1" fillId="0" borderId="0" xfId="14"/>
    <xf numFmtId="0" fontId="45" fillId="0" borderId="0" xfId="14" applyFont="1" applyAlignment="1">
      <alignment horizontal="left"/>
    </xf>
    <xf numFmtId="0" fontId="1" fillId="0" borderId="0" xfId="14" applyAlignment="1">
      <alignment horizontal="center"/>
    </xf>
    <xf numFmtId="0" fontId="1" fillId="0" borderId="0" xfId="14" applyAlignment="1">
      <alignment horizontal="center" vertical="center" textRotation="90" wrapText="1"/>
    </xf>
    <xf numFmtId="0" fontId="7" fillId="0" borderId="0" xfId="7" applyAlignment="1">
      <alignment horizontal="left"/>
    </xf>
    <xf numFmtId="0" fontId="7" fillId="0" borderId="0" xfId="7" applyAlignment="1">
      <alignment horizontal="center"/>
    </xf>
    <xf numFmtId="0" fontId="46" fillId="0" borderId="0" xfId="7" applyFont="1" applyAlignment="1">
      <alignment horizontal="right"/>
    </xf>
    <xf numFmtId="0" fontId="7" fillId="0" borderId="0" xfId="7"/>
    <xf numFmtId="0" fontId="7" fillId="0" borderId="0" xfId="7" applyProtection="1">
      <protection locked="0"/>
    </xf>
    <xf numFmtId="0" fontId="7" fillId="0" borderId="0" xfId="7" applyAlignment="1" applyProtection="1">
      <alignment horizontal="center"/>
      <protection locked="0"/>
    </xf>
    <xf numFmtId="0" fontId="47" fillId="0" borderId="0" xfId="7" applyFont="1" applyAlignment="1" applyProtection="1">
      <alignment horizontal="right" vertical="center"/>
      <protection locked="0"/>
    </xf>
    <xf numFmtId="1" fontId="47" fillId="0" borderId="0" xfId="7" applyNumberFormat="1" applyFont="1" applyAlignment="1" applyProtection="1">
      <alignment horizontal="center" vertical="center" wrapText="1"/>
      <protection locked="0"/>
    </xf>
    <xf numFmtId="0" fontId="7" fillId="0" borderId="0" xfId="7" applyAlignment="1">
      <alignment horizontal="center" vertical="center"/>
    </xf>
    <xf numFmtId="0" fontId="48" fillId="0" borderId="0" xfId="7" applyFont="1" applyAlignment="1" applyProtection="1">
      <alignment horizontal="center"/>
      <protection locked="0"/>
    </xf>
    <xf numFmtId="0" fontId="7" fillId="0" borderId="0" xfId="7" applyAlignment="1">
      <alignment vertical="center"/>
    </xf>
    <xf numFmtId="0" fontId="46" fillId="0" borderId="0" xfId="7" applyFont="1" applyAlignment="1">
      <alignment horizontal="right" vertical="center"/>
    </xf>
    <xf numFmtId="0" fontId="48" fillId="0" borderId="0" xfId="7" applyFont="1" applyAlignment="1" applyProtection="1">
      <alignment horizontal="center" vertical="center"/>
      <protection locked="0"/>
    </xf>
    <xf numFmtId="0" fontId="47" fillId="0" borderId="0" xfId="7" applyFont="1" applyAlignment="1" applyProtection="1">
      <alignment horizontal="center" vertical="center"/>
      <protection locked="0"/>
    </xf>
    <xf numFmtId="0" fontId="47" fillId="0" borderId="0" xfId="7" applyFont="1" applyAlignment="1" applyProtection="1">
      <alignment horizontal="left" wrapText="1"/>
      <protection locked="0"/>
    </xf>
    <xf numFmtId="181" fontId="47" fillId="0" borderId="0" xfId="7" applyNumberFormat="1" applyFont="1" applyAlignment="1" applyProtection="1">
      <alignment horizontal="center" vertical="center" wrapText="1"/>
      <protection locked="0"/>
    </xf>
    <xf numFmtId="0" fontId="49" fillId="0" borderId="0" xfId="14" applyFont="1" applyAlignment="1">
      <alignment horizontal="left"/>
    </xf>
    <xf numFmtId="0" fontId="1" fillId="12" borderId="0" xfId="14" applyFill="1" applyAlignment="1">
      <alignment horizontal="center"/>
    </xf>
    <xf numFmtId="0" fontId="1" fillId="12" borderId="0" xfId="14" applyFill="1"/>
    <xf numFmtId="0" fontId="21" fillId="0" borderId="0" xfId="7" applyFont="1" applyAlignment="1">
      <alignment horizontal="center"/>
    </xf>
    <xf numFmtId="0" fontId="21" fillId="0" borderId="0" xfId="7" applyFont="1" applyProtection="1">
      <protection locked="0"/>
    </xf>
    <xf numFmtId="0" fontId="21" fillId="0" borderId="0" xfId="7" applyFont="1" applyAlignment="1" applyProtection="1">
      <alignment horizontal="center"/>
      <protection locked="0"/>
    </xf>
    <xf numFmtId="0" fontId="21" fillId="0" borderId="0" xfId="7" applyFont="1"/>
    <xf numFmtId="0" fontId="20" fillId="0" borderId="0" xfId="7" applyFont="1" applyAlignment="1" applyProtection="1">
      <alignment horizontal="left" vertical="center"/>
      <protection locked="0"/>
    </xf>
    <xf numFmtId="0" fontId="21" fillId="0" borderId="0" xfId="7" applyFont="1" applyAlignment="1">
      <alignment vertical="center"/>
    </xf>
    <xf numFmtId="0" fontId="20" fillId="0" borderId="0" xfId="7" applyFont="1" applyAlignment="1" applyProtection="1">
      <alignment vertical="center"/>
      <protection locked="0"/>
    </xf>
    <xf numFmtId="0" fontId="21" fillId="0" borderId="0" xfId="7" applyFont="1" applyAlignment="1" applyProtection="1">
      <alignment vertical="center"/>
      <protection locked="0"/>
    </xf>
    <xf numFmtId="0" fontId="26" fillId="0" borderId="0" xfId="14" applyFont="1" applyAlignment="1">
      <alignment horizontal="center"/>
    </xf>
    <xf numFmtId="0" fontId="26" fillId="0" borderId="0" xfId="14" applyFont="1" applyAlignment="1">
      <alignment horizontal="center" vertical="center" textRotation="90" wrapText="1"/>
    </xf>
    <xf numFmtId="0" fontId="26" fillId="0" borderId="0" xfId="14" applyFont="1"/>
    <xf numFmtId="0" fontId="52" fillId="0" borderId="0" xfId="14" applyFont="1" applyAlignment="1">
      <alignment horizontal="left" vertical="center" textRotation="90" wrapText="1"/>
    </xf>
    <xf numFmtId="0" fontId="52" fillId="0" borderId="0" xfId="14" applyFont="1" applyAlignment="1">
      <alignment horizontal="left"/>
    </xf>
    <xf numFmtId="0" fontId="52" fillId="0" borderId="0" xfId="14" applyFont="1" applyAlignment="1">
      <alignment horizontal="center"/>
    </xf>
    <xf numFmtId="0" fontId="52" fillId="0" borderId="0" xfId="14" applyFont="1"/>
    <xf numFmtId="0" fontId="26" fillId="13" borderId="169" xfId="14" applyFont="1" applyFill="1" applyBorder="1" applyAlignment="1" applyProtection="1">
      <alignment vertical="top" wrapText="1"/>
      <protection locked="0"/>
    </xf>
    <xf numFmtId="0" fontId="26" fillId="0" borderId="168" xfId="14" applyFont="1" applyBorder="1" applyAlignment="1">
      <alignment vertical="top" wrapText="1"/>
    </xf>
    <xf numFmtId="0" fontId="53" fillId="0" borderId="66" xfId="14" applyFont="1" applyBorder="1" applyAlignment="1" applyProtection="1">
      <alignment horizontal="center"/>
      <protection locked="0"/>
    </xf>
    <xf numFmtId="0" fontId="53" fillId="0" borderId="168" xfId="14" applyFont="1" applyBorder="1" applyAlignment="1">
      <alignment horizontal="left" vertical="top" wrapText="1" indent="2"/>
    </xf>
    <xf numFmtId="0" fontId="53" fillId="0" borderId="170" xfId="14" applyFont="1" applyBorder="1" applyAlignment="1" applyProtection="1">
      <alignment horizontal="center"/>
      <protection locked="0"/>
    </xf>
    <xf numFmtId="0" fontId="26" fillId="0" borderId="170" xfId="14" applyFont="1" applyBorder="1" applyAlignment="1" applyProtection="1">
      <alignment horizontal="center"/>
      <protection locked="0"/>
    </xf>
    <xf numFmtId="0" fontId="26" fillId="0" borderId="168" xfId="14" applyFont="1" applyBorder="1" applyAlignment="1">
      <alignment horizontal="left" vertical="top" wrapText="1" indent="2"/>
    </xf>
    <xf numFmtId="0" fontId="53" fillId="0" borderId="168" xfId="14" applyFont="1" applyBorder="1" applyAlignment="1">
      <alignment vertical="top" wrapText="1"/>
    </xf>
    <xf numFmtId="0" fontId="26" fillId="12" borderId="0" xfId="14" applyFont="1" applyFill="1" applyAlignment="1">
      <alignment horizontal="center"/>
    </xf>
    <xf numFmtId="0" fontId="26" fillId="12" borderId="0" xfId="14" applyFont="1" applyFill="1" applyAlignment="1">
      <alignment horizontal="center" vertical="center" textRotation="90" wrapText="1"/>
    </xf>
    <xf numFmtId="0" fontId="26" fillId="12" borderId="0" xfId="14" applyFont="1" applyFill="1" applyAlignment="1">
      <alignment vertical="top" wrapText="1"/>
    </xf>
    <xf numFmtId="0" fontId="26" fillId="12" borderId="0" xfId="14" applyFont="1" applyFill="1" applyAlignment="1" applyProtection="1">
      <alignment vertical="top" wrapText="1"/>
      <protection locked="0"/>
    </xf>
    <xf numFmtId="0" fontId="53" fillId="13" borderId="169" xfId="14" applyFont="1" applyFill="1" applyBorder="1" applyAlignment="1" applyProtection="1">
      <alignment vertical="top" wrapText="1"/>
      <protection locked="0"/>
    </xf>
    <xf numFmtId="0" fontId="26" fillId="0" borderId="171" xfId="14" applyFont="1" applyBorder="1" applyAlignment="1">
      <alignment vertical="top" wrapText="1"/>
    </xf>
    <xf numFmtId="0" fontId="53" fillId="0" borderId="171" xfId="14" applyFont="1" applyBorder="1" applyAlignment="1">
      <alignment vertical="top" wrapText="1"/>
    </xf>
    <xf numFmtId="0" fontId="26" fillId="0" borderId="0" xfId="14" applyFont="1" applyAlignment="1" applyProtection="1">
      <alignment horizontal="center"/>
      <protection locked="0"/>
    </xf>
    <xf numFmtId="0" fontId="26" fillId="0" borderId="0" xfId="14" applyFont="1" applyAlignment="1">
      <alignment vertical="top" wrapText="1"/>
    </xf>
    <xf numFmtId="0" fontId="26" fillId="0" borderId="0" xfId="14" applyFont="1" applyAlignment="1" applyProtection="1">
      <alignment vertical="top" wrapText="1"/>
      <protection locked="0"/>
    </xf>
    <xf numFmtId="0" fontId="26" fillId="0" borderId="170" xfId="14" applyFont="1" applyBorder="1" applyAlignment="1">
      <alignment horizontal="center"/>
    </xf>
    <xf numFmtId="1" fontId="26" fillId="0" borderId="0" xfId="14" applyNumberFormat="1" applyFont="1" applyAlignment="1">
      <alignment horizontal="center" vertical="center" wrapText="1"/>
    </xf>
    <xf numFmtId="0" fontId="35" fillId="0" borderId="0" xfId="7" applyFont="1" applyAlignment="1" applyProtection="1">
      <alignment horizontal="left" vertical="top"/>
      <protection locked="0"/>
    </xf>
    <xf numFmtId="0" fontId="58" fillId="2" borderId="7" xfId="0" applyFont="1" applyFill="1" applyBorder="1" applyAlignment="1">
      <alignment horizontal="left"/>
    </xf>
    <xf numFmtId="0" fontId="58" fillId="2" borderId="7" xfId="0" applyFont="1" applyFill="1" applyBorder="1"/>
    <xf numFmtId="0" fontId="58" fillId="2" borderId="7" xfId="0" applyFont="1" applyFill="1" applyBorder="1" applyAlignment="1">
      <alignment vertical="top"/>
    </xf>
    <xf numFmtId="0" fontId="58" fillId="2" borderId="7" xfId="0" applyFont="1" applyFill="1" applyBorder="1" applyAlignment="1">
      <alignment horizontal="center" vertical="top" wrapText="1"/>
    </xf>
    <xf numFmtId="0" fontId="57" fillId="0" borderId="3" xfId="0" applyFont="1" applyBorder="1" applyAlignment="1" applyProtection="1">
      <alignment horizontal="left" vertical="top"/>
      <protection locked="0"/>
    </xf>
    <xf numFmtId="0" fontId="60" fillId="0" borderId="0" xfId="0" applyFont="1" applyAlignment="1">
      <alignment horizontal="left"/>
    </xf>
    <xf numFmtId="0" fontId="58" fillId="0" borderId="0" xfId="0" applyFont="1" applyAlignment="1">
      <alignment horizontal="left"/>
    </xf>
    <xf numFmtId="0" fontId="58" fillId="0" borderId="3" xfId="0" applyFont="1" applyBorder="1" applyAlignment="1">
      <alignment horizontal="left"/>
    </xf>
    <xf numFmtId="0" fontId="0" fillId="2" borderId="0" xfId="0" applyFill="1"/>
    <xf numFmtId="0" fontId="63" fillId="2" borderId="0" xfId="0" applyFont="1" applyFill="1" applyAlignment="1">
      <alignment horizontal="left" vertical="center"/>
    </xf>
    <xf numFmtId="0" fontId="0" fillId="2" borderId="0" xfId="0" applyFill="1" applyAlignment="1">
      <alignment vertical="top"/>
    </xf>
    <xf numFmtId="0" fontId="65" fillId="2" borderId="0" xfId="0" applyFont="1" applyFill="1" applyAlignment="1">
      <alignment horizontal="center" vertical="center"/>
    </xf>
    <xf numFmtId="0" fontId="64" fillId="2" borderId="0" xfId="0" applyFont="1" applyFill="1" applyAlignment="1">
      <alignment horizontal="center" vertical="center"/>
    </xf>
    <xf numFmtId="0" fontId="66" fillId="2" borderId="0" xfId="0" applyFont="1" applyFill="1" applyAlignment="1">
      <alignment horizontal="center" vertical="center" wrapText="1"/>
    </xf>
    <xf numFmtId="0" fontId="67" fillId="2" borderId="0" xfId="0" applyFont="1" applyFill="1" applyAlignment="1">
      <alignment horizontal="left" vertical="top"/>
    </xf>
    <xf numFmtId="0" fontId="5" fillId="2" borderId="129" xfId="0" applyFont="1" applyFill="1" applyBorder="1" applyAlignment="1" applyProtection="1">
      <alignment horizontal="left" vertical="center"/>
      <protection locked="0"/>
    </xf>
    <xf numFmtId="0" fontId="67" fillId="2" borderId="0" xfId="0" applyFont="1" applyFill="1" applyAlignment="1">
      <alignment horizontal="left"/>
    </xf>
    <xf numFmtId="0" fontId="5" fillId="2" borderId="4" xfId="0" applyFont="1" applyFill="1" applyBorder="1" applyAlignment="1" applyProtection="1">
      <alignment horizontal="left" vertical="center"/>
      <protection locked="0"/>
    </xf>
    <xf numFmtId="0" fontId="0" fillId="2" borderId="33" xfId="0" applyFill="1" applyBorder="1"/>
    <xf numFmtId="0" fontId="0" fillId="2" borderId="1" xfId="0" applyFill="1" applyBorder="1"/>
    <xf numFmtId="0" fontId="0" fillId="2" borderId="2" xfId="0" applyFill="1" applyBorder="1"/>
    <xf numFmtId="0" fontId="0" fillId="2" borderId="9" xfId="0" applyFill="1" applyBorder="1"/>
    <xf numFmtId="0" fontId="0" fillId="2" borderId="5" xfId="0" applyFill="1" applyBorder="1"/>
    <xf numFmtId="0" fontId="0" fillId="2" borderId="0" xfId="0" applyFill="1" applyAlignment="1">
      <alignment horizontal="center"/>
    </xf>
    <xf numFmtId="0" fontId="68" fillId="2" borderId="0" xfId="0" applyFont="1" applyFill="1" applyAlignment="1">
      <alignment horizontal="center" vertical="center"/>
    </xf>
    <xf numFmtId="0" fontId="69" fillId="2" borderId="0" xfId="0" applyFont="1" applyFill="1" applyAlignment="1">
      <alignment horizontal="center" vertical="center"/>
    </xf>
    <xf numFmtId="0" fontId="70" fillId="0" borderId="0" xfId="0" applyFont="1"/>
    <xf numFmtId="0" fontId="0" fillId="2" borderId="30" xfId="0" applyFill="1" applyBorder="1"/>
    <xf numFmtId="0" fontId="0" fillId="2" borderId="31" xfId="0" applyFill="1" applyBorder="1"/>
    <xf numFmtId="0" fontId="0" fillId="2" borderId="32" xfId="0" applyFill="1" applyBorder="1"/>
    <xf numFmtId="0" fontId="60" fillId="0" borderId="0" xfId="17" applyFont="1">
      <alignment vertical="center"/>
    </xf>
    <xf numFmtId="0" fontId="7" fillId="0" borderId="0" xfId="18"/>
    <xf numFmtId="0" fontId="77" fillId="0" borderId="0" xfId="17" applyFont="1">
      <alignment vertical="center"/>
    </xf>
    <xf numFmtId="0" fontId="78" fillId="0" borderId="55" xfId="17" applyFont="1" applyBorder="1" applyAlignment="1">
      <alignment vertical="center" wrapText="1"/>
    </xf>
    <xf numFmtId="0" fontId="78" fillId="0" borderId="8" xfId="17" applyFont="1" applyBorder="1" applyAlignment="1">
      <alignment vertical="center" wrapText="1"/>
    </xf>
    <xf numFmtId="0" fontId="78" fillId="0" borderId="37" xfId="17" applyFont="1" applyBorder="1" applyAlignment="1">
      <alignment vertical="center" wrapText="1"/>
    </xf>
    <xf numFmtId="0" fontId="78" fillId="0" borderId="118" xfId="17" applyFont="1" applyBorder="1" applyAlignment="1">
      <alignment vertical="center" wrapText="1"/>
    </xf>
    <xf numFmtId="0" fontId="78" fillId="0" borderId="3" xfId="17" applyFont="1" applyBorder="1" applyAlignment="1">
      <alignment vertical="center" wrapText="1"/>
    </xf>
    <xf numFmtId="0" fontId="78" fillId="0" borderId="0" xfId="17" applyFont="1" applyAlignment="1">
      <alignment vertical="center" wrapText="1"/>
    </xf>
    <xf numFmtId="0" fontId="78" fillId="0" borderId="35" xfId="17" applyFont="1" applyBorder="1" applyAlignment="1">
      <alignment vertical="center" wrapText="1"/>
    </xf>
    <xf numFmtId="0" fontId="78" fillId="0" borderId="5" xfId="17" applyFont="1" applyBorder="1" applyAlignment="1">
      <alignment vertical="center" wrapText="1"/>
    </xf>
    <xf numFmtId="0" fontId="78" fillId="0" borderId="3" xfId="17" applyFont="1" applyBorder="1" applyAlignment="1">
      <alignment horizontal="left" vertical="center"/>
    </xf>
    <xf numFmtId="0" fontId="78" fillId="0" borderId="0" xfId="17" applyFont="1" applyAlignment="1">
      <alignment horizontal="left" vertical="center"/>
    </xf>
    <xf numFmtId="0" fontId="78" fillId="0" borderId="0" xfId="20" applyFont="1" applyAlignment="1">
      <alignment horizontal="left" vertical="center" indent="1"/>
    </xf>
    <xf numFmtId="0" fontId="78" fillId="0" borderId="35" xfId="17" applyFont="1" applyBorder="1" applyAlignment="1">
      <alignment horizontal="left" vertical="center" indent="1"/>
    </xf>
    <xf numFmtId="0" fontId="78" fillId="0" borderId="5" xfId="17" applyFont="1" applyBorder="1" applyAlignment="1">
      <alignment horizontal="left" vertical="center" indent="1"/>
    </xf>
    <xf numFmtId="0" fontId="1" fillId="0" borderId="66" xfId="14" applyBorder="1" applyAlignment="1" applyProtection="1">
      <alignment horizontal="center"/>
      <protection locked="0"/>
    </xf>
    <xf numFmtId="0" fontId="26" fillId="13" borderId="169" xfId="14" applyFont="1" applyFill="1" applyBorder="1" applyAlignment="1" applyProtection="1">
      <alignment horizontal="left" vertical="top" wrapText="1"/>
      <protection locked="0"/>
    </xf>
    <xf numFmtId="0" fontId="1" fillId="0" borderId="170" xfId="14" applyBorder="1" applyAlignment="1" applyProtection="1">
      <alignment horizontal="center"/>
      <protection locked="0"/>
    </xf>
    <xf numFmtId="0" fontId="1" fillId="0" borderId="170" xfId="14" applyBorder="1" applyAlignment="1" applyProtection="1">
      <alignment horizontal="center" vertical="center"/>
      <protection locked="0"/>
    </xf>
    <xf numFmtId="0" fontId="1" fillId="0" borderId="66" xfId="14" applyBorder="1" applyAlignment="1" applyProtection="1">
      <alignment horizontal="center" vertical="center"/>
      <protection locked="0"/>
    </xf>
    <xf numFmtId="0" fontId="57" fillId="4" borderId="74" xfId="7" applyFont="1" applyFill="1" applyBorder="1" applyAlignment="1" applyProtection="1">
      <alignment vertical="top" wrapText="1"/>
      <protection locked="0"/>
    </xf>
    <xf numFmtId="0" fontId="57" fillId="4" borderId="137" xfId="7" applyFont="1" applyFill="1" applyBorder="1" applyAlignment="1" applyProtection="1">
      <alignment vertical="top" wrapText="1"/>
      <protection locked="0"/>
    </xf>
    <xf numFmtId="14" fontId="57" fillId="4" borderId="88" xfId="7" applyNumberFormat="1" applyFont="1" applyFill="1" applyBorder="1" applyAlignment="1" applyProtection="1">
      <alignment vertical="top" wrapText="1"/>
      <protection locked="0"/>
    </xf>
    <xf numFmtId="0" fontId="57" fillId="4" borderId="89" xfId="7" applyFont="1" applyFill="1" applyBorder="1" applyAlignment="1" applyProtection="1">
      <alignment vertical="top" wrapText="1"/>
      <protection locked="0"/>
    </xf>
    <xf numFmtId="14" fontId="57" fillId="4" borderId="93" xfId="7" applyNumberFormat="1" applyFont="1" applyFill="1" applyBorder="1" applyAlignment="1" applyProtection="1">
      <alignment vertical="top" wrapText="1"/>
      <protection locked="0"/>
    </xf>
    <xf numFmtId="0" fontId="57" fillId="4" borderId="94" xfId="7" applyFont="1" applyFill="1" applyBorder="1" applyAlignment="1" applyProtection="1">
      <alignment vertical="top" wrapText="1"/>
      <protection locked="0"/>
    </xf>
    <xf numFmtId="0" fontId="57" fillId="4" borderId="73" xfId="7" applyFont="1" applyFill="1" applyBorder="1" applyAlignment="1" applyProtection="1">
      <alignment vertical="top" wrapText="1"/>
      <protection locked="0"/>
    </xf>
    <xf numFmtId="0" fontId="57" fillId="4" borderId="139" xfId="7" applyFont="1" applyFill="1" applyBorder="1" applyAlignment="1" applyProtection="1">
      <alignment vertical="top" wrapText="1"/>
      <protection locked="0"/>
    </xf>
    <xf numFmtId="0" fontId="57" fillId="4" borderId="90" xfId="7" applyFont="1" applyFill="1" applyBorder="1" applyAlignment="1" applyProtection="1">
      <alignment vertical="top" wrapText="1"/>
      <protection locked="0"/>
    </xf>
    <xf numFmtId="0" fontId="57" fillId="4" borderId="77" xfId="7" applyFont="1" applyFill="1" applyBorder="1" applyAlignment="1" applyProtection="1">
      <alignment vertical="top" wrapText="1"/>
      <protection locked="0"/>
    </xf>
    <xf numFmtId="0" fontId="57" fillId="4" borderId="68" xfId="7" applyFont="1" applyFill="1" applyBorder="1" applyAlignment="1" applyProtection="1">
      <alignment vertical="top" wrapText="1"/>
      <protection locked="0"/>
    </xf>
    <xf numFmtId="0" fontId="57" fillId="4" borderId="138" xfId="7" applyFont="1" applyFill="1" applyBorder="1" applyAlignment="1" applyProtection="1">
      <alignment vertical="top" wrapText="1"/>
      <protection locked="0"/>
    </xf>
    <xf numFmtId="0" fontId="57" fillId="4" borderId="93" xfId="7" applyFont="1" applyFill="1" applyBorder="1" applyAlignment="1" applyProtection="1">
      <alignment vertical="top" wrapText="1"/>
      <protection locked="0"/>
    </xf>
    <xf numFmtId="0" fontId="86" fillId="0" borderId="0" xfId="0" applyFont="1"/>
    <xf numFmtId="0" fontId="21" fillId="0" borderId="7" xfId="0" applyFont="1" applyBorder="1" applyAlignment="1">
      <alignment horizontal="left" wrapText="1"/>
    </xf>
    <xf numFmtId="0" fontId="57" fillId="4" borderId="146" xfId="7" applyFont="1" applyFill="1" applyBorder="1" applyAlignment="1" applyProtection="1">
      <alignment horizontal="left" vertical="top" wrapText="1"/>
      <protection locked="0"/>
    </xf>
    <xf numFmtId="0" fontId="58" fillId="4" borderId="148" xfId="7" applyFont="1" applyFill="1" applyBorder="1" applyAlignment="1" applyProtection="1">
      <alignment horizontal="left" vertical="top" wrapText="1"/>
      <protection locked="0"/>
    </xf>
    <xf numFmtId="0" fontId="24" fillId="0" borderId="141" xfId="0" applyFont="1" applyBorder="1" applyAlignment="1">
      <alignment horizontal="center"/>
    </xf>
    <xf numFmtId="0" fontId="24" fillId="0" borderId="67" xfId="0" applyFont="1" applyBorder="1" applyAlignment="1">
      <alignment horizontal="center"/>
    </xf>
    <xf numFmtId="0" fontId="24" fillId="0" borderId="142" xfId="0" applyFont="1" applyBorder="1" applyAlignment="1">
      <alignment horizontal="center"/>
    </xf>
    <xf numFmtId="0" fontId="24" fillId="0" borderId="153" xfId="0" applyFont="1" applyBorder="1" applyAlignment="1">
      <alignment horizontal="center"/>
    </xf>
    <xf numFmtId="0" fontId="24" fillId="0" borderId="154" xfId="0" applyFont="1" applyBorder="1" applyAlignment="1">
      <alignment horizontal="center"/>
    </xf>
    <xf numFmtId="0" fontId="24" fillId="0" borderId="155" xfId="0" applyFont="1" applyBorder="1" applyAlignment="1">
      <alignment horizontal="center"/>
    </xf>
    <xf numFmtId="0" fontId="58" fillId="4" borderId="149" xfId="7" applyFont="1" applyFill="1" applyBorder="1" applyAlignment="1" applyProtection="1">
      <alignment horizontal="left" vertical="top" wrapText="1"/>
      <protection locked="0"/>
    </xf>
    <xf numFmtId="0" fontId="58" fillId="4" borderId="76" xfId="7" applyFont="1" applyFill="1" applyBorder="1" applyAlignment="1" applyProtection="1">
      <alignment horizontal="left" vertical="top" wrapText="1"/>
      <protection locked="0"/>
    </xf>
    <xf numFmtId="0" fontId="58" fillId="4" borderId="144" xfId="7" applyFont="1" applyFill="1" applyBorder="1" applyAlignment="1" applyProtection="1">
      <alignment horizontal="left" vertical="top" wrapText="1"/>
      <protection locked="0"/>
    </xf>
    <xf numFmtId="0" fontId="58" fillId="4" borderId="150" xfId="7" applyFont="1" applyFill="1" applyBorder="1" applyAlignment="1" applyProtection="1">
      <alignment horizontal="left" vertical="top" wrapText="1"/>
      <protection locked="0"/>
    </xf>
    <xf numFmtId="0" fontId="58" fillId="4" borderId="70" xfId="7" applyFont="1" applyFill="1" applyBorder="1" applyAlignment="1" applyProtection="1">
      <alignment horizontal="left" vertical="top" wrapText="1"/>
      <protection locked="0"/>
    </xf>
    <xf numFmtId="0" fontId="58" fillId="4" borderId="143" xfId="7" applyFont="1" applyFill="1" applyBorder="1" applyAlignment="1" applyProtection="1">
      <alignment horizontal="left" vertical="top" wrapText="1"/>
      <protection locked="0"/>
    </xf>
    <xf numFmtId="0" fontId="24" fillId="0" borderId="55" xfId="0" applyFont="1" applyBorder="1" applyAlignment="1">
      <alignment horizontal="center" vertical="center"/>
    </xf>
    <xf numFmtId="0" fontId="24" fillId="0" borderId="8" xfId="0" applyFont="1" applyBorder="1" applyAlignment="1">
      <alignment horizontal="center" vertical="center"/>
    </xf>
    <xf numFmtId="0" fontId="24" fillId="0" borderId="37" xfId="0" applyFont="1" applyBorder="1" applyAlignment="1">
      <alignment horizontal="center" vertical="center"/>
    </xf>
    <xf numFmtId="0" fontId="24" fillId="0" borderId="3" xfId="0" applyFont="1" applyBorder="1" applyAlignment="1">
      <alignment horizontal="center" vertical="center"/>
    </xf>
    <xf numFmtId="0" fontId="24" fillId="0" borderId="0" xfId="0" applyFont="1" applyAlignment="1">
      <alignment horizontal="center" vertical="center"/>
    </xf>
    <xf numFmtId="0" fontId="24" fillId="0" borderId="35" xfId="0" applyFont="1" applyBorder="1" applyAlignment="1">
      <alignment horizontal="center" vertical="center"/>
    </xf>
    <xf numFmtId="0" fontId="24" fillId="0" borderId="103" xfId="0" applyFont="1" applyBorder="1" applyAlignment="1">
      <alignment horizontal="center" vertical="center"/>
    </xf>
    <xf numFmtId="0" fontId="24" fillId="0" borderId="64" xfId="0" applyFont="1" applyBorder="1" applyAlignment="1">
      <alignment horizontal="center" vertical="center"/>
    </xf>
    <xf numFmtId="0" fontId="24" fillId="0" borderId="65" xfId="0" applyFont="1" applyBorder="1" applyAlignment="1">
      <alignment horizontal="center" vertical="center"/>
    </xf>
    <xf numFmtId="0" fontId="57" fillId="4" borderId="151" xfId="7" applyFont="1" applyFill="1" applyBorder="1" applyAlignment="1" applyProtection="1">
      <alignment horizontal="left" vertical="top" wrapText="1"/>
      <protection locked="0"/>
    </xf>
    <xf numFmtId="0" fontId="58" fillId="4" borderId="96" xfId="7" applyFont="1" applyFill="1" applyBorder="1" applyAlignment="1" applyProtection="1">
      <alignment horizontal="left" vertical="top" wrapText="1"/>
      <protection locked="0"/>
    </xf>
    <xf numFmtId="0" fontId="58" fillId="4" borderId="152" xfId="7" applyFont="1" applyFill="1" applyBorder="1" applyAlignment="1" applyProtection="1">
      <alignment horizontal="left" vertical="top" wrapText="1"/>
      <protection locked="0"/>
    </xf>
    <xf numFmtId="0" fontId="58" fillId="4" borderId="90" xfId="7" applyFont="1" applyFill="1" applyBorder="1" applyAlignment="1" applyProtection="1">
      <alignment horizontal="left" vertical="top" shrinkToFit="1"/>
      <protection locked="0"/>
    </xf>
    <xf numFmtId="0" fontId="58" fillId="4" borderId="68" xfId="7" applyFont="1" applyFill="1" applyBorder="1" applyAlignment="1" applyProtection="1">
      <alignment horizontal="left" vertical="top" shrinkToFit="1"/>
      <protection locked="0"/>
    </xf>
    <xf numFmtId="0" fontId="58" fillId="4" borderId="77" xfId="7" applyFont="1" applyFill="1" applyBorder="1" applyAlignment="1" applyProtection="1">
      <alignment horizontal="left" vertical="top" shrinkToFit="1"/>
      <protection locked="0"/>
    </xf>
    <xf numFmtId="0" fontId="58" fillId="4" borderId="151" xfId="7" applyFont="1" applyFill="1" applyBorder="1" applyAlignment="1" applyProtection="1">
      <alignment horizontal="left" vertical="top" wrapText="1"/>
      <protection locked="0"/>
    </xf>
    <xf numFmtId="0" fontId="58" fillId="4" borderId="93" xfId="7" applyFont="1" applyFill="1" applyBorder="1" applyAlignment="1" applyProtection="1">
      <alignment horizontal="center" vertical="top" wrapText="1"/>
      <protection locked="0"/>
    </xf>
    <xf numFmtId="0" fontId="58" fillId="4" borderId="73" xfId="7" applyFont="1" applyFill="1" applyBorder="1" applyAlignment="1" applyProtection="1">
      <alignment horizontal="center" vertical="top" wrapText="1"/>
      <protection locked="0"/>
    </xf>
    <xf numFmtId="0" fontId="58" fillId="4" borderId="94" xfId="7" applyFont="1" applyFill="1" applyBorder="1" applyAlignment="1" applyProtection="1">
      <alignment horizontal="center" vertical="top" wrapText="1"/>
      <protection locked="0"/>
    </xf>
    <xf numFmtId="0" fontId="58" fillId="4" borderId="90" xfId="7" applyFont="1" applyFill="1" applyBorder="1" applyAlignment="1" applyProtection="1">
      <alignment horizontal="left" vertical="top" wrapText="1"/>
      <protection locked="0"/>
    </xf>
    <xf numFmtId="0" fontId="58" fillId="4" borderId="77" xfId="7" applyFont="1" applyFill="1" applyBorder="1" applyAlignment="1" applyProtection="1">
      <alignment horizontal="left" vertical="top" wrapText="1"/>
      <protection locked="0"/>
    </xf>
    <xf numFmtId="0" fontId="58" fillId="4" borderId="90" xfId="7" applyFont="1" applyFill="1" applyBorder="1" applyAlignment="1" applyProtection="1">
      <alignment horizontal="center" vertical="top" wrapText="1"/>
      <protection locked="0"/>
    </xf>
    <xf numFmtId="0" fontId="58" fillId="4" borderId="138" xfId="7" applyFont="1" applyFill="1" applyBorder="1" applyAlignment="1" applyProtection="1">
      <alignment horizontal="center" vertical="top" wrapText="1"/>
      <protection locked="0"/>
    </xf>
    <xf numFmtId="0" fontId="21" fillId="4" borderId="107" xfId="7" applyFont="1" applyFill="1" applyBorder="1" applyAlignment="1" applyProtection="1">
      <alignment horizontal="left" vertical="top" wrapText="1"/>
      <protection locked="0"/>
    </xf>
    <xf numFmtId="0" fontId="21" fillId="4" borderId="49" xfId="7" applyFont="1" applyFill="1" applyBorder="1" applyAlignment="1" applyProtection="1">
      <alignment horizontal="left" vertical="top" wrapText="1"/>
      <protection locked="0"/>
    </xf>
    <xf numFmtId="0" fontId="21" fillId="4" borderId="56" xfId="7" applyFont="1" applyFill="1" applyBorder="1" applyAlignment="1" applyProtection="1">
      <alignment horizontal="left" vertical="top" wrapText="1"/>
      <protection locked="0"/>
    </xf>
    <xf numFmtId="0" fontId="21" fillId="4" borderId="3" xfId="7" applyFont="1" applyFill="1" applyBorder="1" applyAlignment="1" applyProtection="1">
      <alignment horizontal="left" vertical="top" wrapText="1"/>
      <protection locked="0"/>
    </xf>
    <xf numFmtId="0" fontId="21" fillId="4" borderId="0" xfId="7" applyFont="1" applyFill="1" applyAlignment="1" applyProtection="1">
      <alignment horizontal="left" vertical="top" wrapText="1"/>
      <protection locked="0"/>
    </xf>
    <xf numFmtId="0" fontId="21" fillId="4" borderId="35" xfId="7" applyFont="1" applyFill="1" applyBorder="1" applyAlignment="1" applyProtection="1">
      <alignment horizontal="left" vertical="top" wrapText="1"/>
      <protection locked="0"/>
    </xf>
    <xf numFmtId="0" fontId="58" fillId="4" borderId="93" xfId="7" applyFont="1" applyFill="1" applyBorder="1" applyAlignment="1" applyProtection="1">
      <alignment horizontal="left" vertical="top" wrapText="1"/>
      <protection locked="0"/>
    </xf>
    <xf numFmtId="0" fontId="58" fillId="4" borderId="94" xfId="7" applyFont="1" applyFill="1" applyBorder="1" applyAlignment="1" applyProtection="1">
      <alignment horizontal="left" vertical="top" wrapText="1"/>
      <protection locked="0"/>
    </xf>
    <xf numFmtId="0" fontId="58" fillId="4" borderId="139" xfId="7" applyFont="1" applyFill="1" applyBorder="1" applyAlignment="1" applyProtection="1">
      <alignment horizontal="center" vertical="top" wrapText="1"/>
      <protection locked="0"/>
    </xf>
    <xf numFmtId="14" fontId="58" fillId="4" borderId="51" xfId="7" applyNumberFormat="1" applyFont="1" applyFill="1" applyBorder="1" applyAlignment="1" applyProtection="1">
      <alignment horizontal="left" vertical="top" wrapText="1"/>
      <protection locked="0"/>
    </xf>
    <xf numFmtId="0" fontId="58" fillId="4" borderId="51" xfId="7" applyFont="1" applyFill="1" applyBorder="1" applyAlignment="1" applyProtection="1">
      <alignment horizontal="left" vertical="top" wrapText="1"/>
      <protection locked="0"/>
    </xf>
    <xf numFmtId="0" fontId="21" fillId="4" borderId="156" xfId="7" applyFont="1" applyFill="1" applyBorder="1" applyAlignment="1" applyProtection="1">
      <alignment horizontal="left" vertical="top" wrapText="1"/>
      <protection locked="0"/>
    </xf>
    <xf numFmtId="0" fontId="21" fillId="4" borderId="157" xfId="7" applyFont="1" applyFill="1" applyBorder="1" applyAlignment="1" applyProtection="1">
      <alignment horizontal="left" vertical="top" wrapText="1"/>
      <protection locked="0"/>
    </xf>
    <xf numFmtId="0" fontId="21" fillId="4" borderId="158" xfId="7" applyFont="1" applyFill="1" applyBorder="1" applyAlignment="1" applyProtection="1">
      <alignment horizontal="left" vertical="top" wrapText="1"/>
      <protection locked="0"/>
    </xf>
    <xf numFmtId="0" fontId="21" fillId="3" borderId="6" xfId="0" applyFont="1" applyFill="1" applyBorder="1" applyAlignment="1" applyProtection="1">
      <alignment vertical="top" wrapText="1"/>
      <protection locked="0"/>
    </xf>
    <xf numFmtId="0" fontId="21" fillId="3" borderId="7" xfId="0" applyFont="1" applyFill="1" applyBorder="1" applyAlignment="1" applyProtection="1">
      <alignment vertical="top" wrapText="1"/>
      <protection locked="0"/>
    </xf>
    <xf numFmtId="0" fontId="21" fillId="4" borderId="50" xfId="7" applyFont="1" applyFill="1" applyBorder="1" applyAlignment="1" applyProtection="1">
      <alignment horizontal="left" vertical="top" wrapText="1"/>
      <protection locked="0"/>
    </xf>
    <xf numFmtId="0" fontId="21" fillId="4" borderId="162" xfId="7" applyFont="1" applyFill="1" applyBorder="1" applyAlignment="1" applyProtection="1">
      <alignment horizontal="left" vertical="top" wrapText="1"/>
      <protection locked="0"/>
    </xf>
    <xf numFmtId="0" fontId="58" fillId="4" borderId="42" xfId="7" applyFont="1" applyFill="1" applyBorder="1" applyAlignment="1" applyProtection="1">
      <alignment horizontal="left" vertical="top" wrapText="1"/>
      <protection locked="0"/>
    </xf>
    <xf numFmtId="0" fontId="58" fillId="4" borderId="40" xfId="7" applyFont="1" applyFill="1" applyBorder="1" applyAlignment="1" applyProtection="1">
      <alignment horizontal="left" vertical="top" wrapText="1"/>
      <protection locked="0"/>
    </xf>
    <xf numFmtId="0" fontId="58" fillId="4" borderId="43" xfId="7" applyFont="1" applyFill="1" applyBorder="1" applyAlignment="1" applyProtection="1">
      <alignment horizontal="left" vertical="top" wrapText="1"/>
      <protection locked="0"/>
    </xf>
    <xf numFmtId="0" fontId="58" fillId="4" borderId="10" xfId="7" applyFont="1" applyFill="1" applyBorder="1" applyAlignment="1" applyProtection="1">
      <alignment horizontal="left" vertical="top" wrapText="1"/>
      <protection locked="0"/>
    </xf>
    <xf numFmtId="0" fontId="58" fillId="4" borderId="0" xfId="7" applyFont="1" applyFill="1" applyAlignment="1" applyProtection="1">
      <alignment horizontal="left" vertical="top" wrapText="1"/>
      <protection locked="0"/>
    </xf>
    <xf numFmtId="0" fontId="58" fillId="4" borderId="4" xfId="7" applyFont="1" applyFill="1" applyBorder="1" applyAlignment="1" applyProtection="1">
      <alignment horizontal="left" vertical="top" wrapText="1"/>
      <protection locked="0"/>
    </xf>
    <xf numFmtId="0" fontId="58" fillId="4" borderId="134" xfId="7" applyFont="1" applyFill="1" applyBorder="1" applyAlignment="1" applyProtection="1">
      <alignment horizontal="left" vertical="top" wrapText="1"/>
      <protection locked="0"/>
    </xf>
    <xf numFmtId="0" fontId="58" fillId="4" borderId="135" xfId="7" applyFont="1" applyFill="1" applyBorder="1" applyAlignment="1" applyProtection="1">
      <alignment horizontal="left" vertical="top" wrapText="1"/>
      <protection locked="0"/>
    </xf>
    <xf numFmtId="0" fontId="24" fillId="2" borderId="27" xfId="2" applyFont="1" applyFill="1" applyBorder="1" applyAlignment="1">
      <alignment horizontal="center" vertical="center"/>
    </xf>
    <xf numFmtId="0" fontId="24" fillId="2" borderId="28" xfId="2" applyFont="1" applyFill="1" applyBorder="1" applyAlignment="1">
      <alignment horizontal="center" vertical="center"/>
    </xf>
    <xf numFmtId="0" fontId="24" fillId="2" borderId="29" xfId="2" applyFont="1" applyFill="1" applyBorder="1" applyAlignment="1">
      <alignment horizontal="center" vertical="center"/>
    </xf>
    <xf numFmtId="0" fontId="24" fillId="2" borderId="27" xfId="2" applyFont="1" applyFill="1" applyBorder="1" applyAlignment="1">
      <alignment horizontal="center" vertical="center" wrapText="1"/>
    </xf>
    <xf numFmtId="0" fontId="24" fillId="2" borderId="29" xfId="2" applyFont="1" applyFill="1" applyBorder="1" applyAlignment="1">
      <alignment horizontal="center" vertical="center" wrapText="1"/>
    </xf>
    <xf numFmtId="0" fontId="58" fillId="4" borderId="68" xfId="7" applyFont="1" applyFill="1" applyBorder="1" applyAlignment="1" applyProtection="1">
      <alignment horizontal="left" vertical="top" wrapText="1"/>
      <protection locked="0"/>
    </xf>
    <xf numFmtId="0" fontId="58" fillId="4" borderId="90" xfId="7" applyFont="1" applyFill="1" applyBorder="1" applyAlignment="1" applyProtection="1">
      <alignment vertical="top" wrapText="1"/>
      <protection locked="0"/>
    </xf>
    <xf numFmtId="0" fontId="58" fillId="4" borderId="68" xfId="7" applyFont="1" applyFill="1" applyBorder="1" applyAlignment="1" applyProtection="1">
      <alignment vertical="top" wrapText="1"/>
      <protection locked="0"/>
    </xf>
    <xf numFmtId="0" fontId="58" fillId="4" borderId="77" xfId="7" applyFont="1" applyFill="1" applyBorder="1" applyAlignment="1" applyProtection="1">
      <alignment vertical="top" wrapText="1"/>
      <protection locked="0"/>
    </xf>
    <xf numFmtId="14" fontId="58" fillId="4" borderId="88" xfId="7" applyNumberFormat="1" applyFont="1" applyFill="1" applyBorder="1" applyAlignment="1" applyProtection="1">
      <alignment horizontal="center" vertical="top" wrapText="1"/>
      <protection locked="0"/>
    </xf>
    <xf numFmtId="0" fontId="58" fillId="4" borderId="137" xfId="7" applyFont="1" applyFill="1" applyBorder="1" applyAlignment="1" applyProtection="1">
      <alignment horizontal="center" vertical="top" wrapText="1"/>
      <protection locked="0"/>
    </xf>
    <xf numFmtId="0" fontId="57" fillId="4" borderId="42" xfId="7" applyFont="1" applyFill="1" applyBorder="1" applyAlignment="1" applyProtection="1">
      <alignment horizontal="left" vertical="top" wrapText="1"/>
      <protection locked="0"/>
    </xf>
    <xf numFmtId="0" fontId="57" fillId="4" borderId="40" xfId="7" applyFont="1" applyFill="1" applyBorder="1" applyAlignment="1" applyProtection="1">
      <alignment horizontal="left" vertical="top" wrapText="1"/>
      <protection locked="0"/>
    </xf>
    <xf numFmtId="0" fontId="57" fillId="4" borderId="43" xfId="7" applyFont="1" applyFill="1" applyBorder="1" applyAlignment="1" applyProtection="1">
      <alignment horizontal="left" vertical="top" wrapText="1"/>
      <protection locked="0"/>
    </xf>
    <xf numFmtId="0" fontId="57" fillId="4" borderId="10" xfId="7" applyFont="1" applyFill="1" applyBorder="1" applyAlignment="1" applyProtection="1">
      <alignment horizontal="left" vertical="top" wrapText="1"/>
      <protection locked="0"/>
    </xf>
    <xf numFmtId="0" fontId="57" fillId="4" borderId="0" xfId="7" applyFont="1" applyFill="1" applyAlignment="1" applyProtection="1">
      <alignment horizontal="left" vertical="top" wrapText="1"/>
      <protection locked="0"/>
    </xf>
    <xf numFmtId="0" fontId="57" fillId="4" borderId="4" xfId="7" applyFont="1" applyFill="1" applyBorder="1" applyAlignment="1" applyProtection="1">
      <alignment horizontal="left" vertical="top" wrapText="1"/>
      <protection locked="0"/>
    </xf>
    <xf numFmtId="0" fontId="57" fillId="4" borderId="134" xfId="7" applyFont="1" applyFill="1" applyBorder="1" applyAlignment="1" applyProtection="1">
      <alignment horizontal="left" vertical="top" wrapText="1"/>
      <protection locked="0"/>
    </xf>
    <xf numFmtId="0" fontId="57" fillId="4" borderId="70" xfId="7" applyFont="1" applyFill="1" applyBorder="1" applyAlignment="1" applyProtection="1">
      <alignment horizontal="left" vertical="top" wrapText="1"/>
      <protection locked="0"/>
    </xf>
    <xf numFmtId="0" fontId="57" fillId="4" borderId="135" xfId="7" applyFont="1" applyFill="1" applyBorder="1" applyAlignment="1" applyProtection="1">
      <alignment horizontal="left" vertical="top" wrapText="1"/>
      <protection locked="0"/>
    </xf>
    <xf numFmtId="0" fontId="57" fillId="4" borderId="185" xfId="7" applyFont="1" applyFill="1" applyBorder="1" applyAlignment="1" applyProtection="1">
      <alignment horizontal="left" vertical="top" wrapText="1"/>
      <protection locked="0"/>
    </xf>
    <xf numFmtId="0" fontId="57" fillId="4" borderId="71" xfId="7" applyFont="1" applyFill="1" applyBorder="1" applyAlignment="1" applyProtection="1">
      <alignment horizontal="left" vertical="top" wrapText="1"/>
      <protection locked="0"/>
    </xf>
    <xf numFmtId="0" fontId="57" fillId="4" borderId="186" xfId="7" applyFont="1" applyFill="1" applyBorder="1" applyAlignment="1" applyProtection="1">
      <alignment horizontal="left" vertical="top" wrapText="1"/>
      <protection locked="0"/>
    </xf>
    <xf numFmtId="0" fontId="24" fillId="2" borderId="136" xfId="2" applyFont="1" applyFill="1" applyBorder="1" applyAlignment="1">
      <alignment horizontal="center" vertical="center" wrapText="1"/>
    </xf>
    <xf numFmtId="0" fontId="58" fillId="4" borderId="73" xfId="7" applyFont="1" applyFill="1" applyBorder="1" applyAlignment="1" applyProtection="1">
      <alignment horizontal="left" vertical="top" wrapText="1"/>
      <protection locked="0"/>
    </xf>
    <xf numFmtId="9" fontId="58" fillId="4" borderId="88" xfId="7" applyNumberFormat="1" applyFont="1" applyFill="1" applyBorder="1" applyAlignment="1" applyProtection="1">
      <alignment horizontal="left" vertical="top" wrapText="1"/>
      <protection locked="0"/>
    </xf>
    <xf numFmtId="0" fontId="58" fillId="4" borderId="89" xfId="7" applyFont="1" applyFill="1" applyBorder="1" applyAlignment="1" applyProtection="1">
      <alignment horizontal="left" vertical="top" wrapText="1"/>
      <protection locked="0"/>
    </xf>
    <xf numFmtId="0" fontId="57" fillId="4" borderId="88" xfId="7" applyFont="1" applyFill="1" applyBorder="1" applyAlignment="1" applyProtection="1">
      <alignment horizontal="left" vertical="top" wrapText="1"/>
      <protection locked="0"/>
    </xf>
    <xf numFmtId="0" fontId="58" fillId="4" borderId="74" xfId="7" applyFont="1" applyFill="1" applyBorder="1" applyAlignment="1" applyProtection="1">
      <alignment horizontal="left" vertical="top" wrapText="1"/>
      <protection locked="0"/>
    </xf>
    <xf numFmtId="0" fontId="58" fillId="4" borderId="93" xfId="7" applyFont="1" applyFill="1" applyBorder="1" applyAlignment="1" applyProtection="1">
      <alignment vertical="top" wrapText="1"/>
      <protection locked="0"/>
    </xf>
    <xf numFmtId="0" fontId="58" fillId="4" borderId="73" xfId="7" applyFont="1" applyFill="1" applyBorder="1" applyAlignment="1" applyProtection="1">
      <alignment vertical="top" wrapText="1"/>
      <protection locked="0"/>
    </xf>
    <xf numFmtId="0" fontId="58" fillId="4" borderId="94" xfId="7" applyFont="1" applyFill="1" applyBorder="1" applyAlignment="1" applyProtection="1">
      <alignment vertical="top" wrapText="1"/>
      <protection locked="0"/>
    </xf>
    <xf numFmtId="0" fontId="26" fillId="0" borderId="8" xfId="3" applyFont="1" applyBorder="1" applyAlignment="1">
      <alignment vertical="center" wrapText="1"/>
    </xf>
    <xf numFmtId="0" fontId="26" fillId="0" borderId="118" xfId="3" applyFont="1" applyBorder="1" applyAlignment="1">
      <alignment vertical="center" wrapText="1"/>
    </xf>
    <xf numFmtId="0" fontId="26" fillId="0" borderId="7" xfId="3" applyFont="1" applyBorder="1" applyAlignment="1">
      <alignment vertical="center" wrapText="1"/>
    </xf>
    <xf numFmtId="0" fontId="26" fillId="0" borderId="62" xfId="3" applyFont="1" applyBorder="1" applyAlignment="1">
      <alignment vertical="center" wrapText="1"/>
    </xf>
    <xf numFmtId="0" fontId="26" fillId="0" borderId="0" xfId="3" applyFont="1" applyAlignment="1">
      <alignment vertical="center" wrapText="1"/>
    </xf>
    <xf numFmtId="0" fontId="26" fillId="0" borderId="5" xfId="3" applyFont="1" applyBorder="1" applyAlignment="1">
      <alignment vertical="center" wrapText="1"/>
    </xf>
    <xf numFmtId="0" fontId="26" fillId="5" borderId="99" xfId="3" applyFont="1" applyFill="1" applyBorder="1" applyAlignment="1">
      <alignment horizontal="center" vertical="center" textRotation="90"/>
    </xf>
    <xf numFmtId="0" fontId="26" fillId="5" borderId="98" xfId="3" applyFont="1" applyFill="1" applyBorder="1" applyAlignment="1">
      <alignment horizontal="center" vertical="center" textRotation="90"/>
    </xf>
    <xf numFmtId="0" fontId="26" fillId="5" borderId="97" xfId="3" applyFont="1" applyFill="1" applyBorder="1" applyAlignment="1">
      <alignment horizontal="center" vertical="center" textRotation="90"/>
    </xf>
    <xf numFmtId="49" fontId="26" fillId="0" borderId="8" xfId="3" applyNumberFormat="1" applyFont="1" applyBorder="1" applyAlignment="1">
      <alignment horizontal="left" vertical="center" wrapText="1"/>
    </xf>
    <xf numFmtId="49" fontId="26" fillId="0" borderId="118" xfId="3" applyNumberFormat="1" applyFont="1" applyBorder="1" applyAlignment="1">
      <alignment horizontal="left" vertical="center" wrapText="1"/>
    </xf>
    <xf numFmtId="49" fontId="26" fillId="0" borderId="7" xfId="3" applyNumberFormat="1" applyFont="1" applyBorder="1" applyAlignment="1">
      <alignment horizontal="left" vertical="center" wrapText="1"/>
    </xf>
    <xf numFmtId="49" fontId="26" fillId="0" borderId="62" xfId="3" applyNumberFormat="1" applyFont="1" applyBorder="1" applyAlignment="1">
      <alignment horizontal="left" vertical="center" wrapText="1"/>
    </xf>
    <xf numFmtId="0" fontId="58" fillId="4" borderId="87" xfId="7" applyFont="1" applyFill="1" applyBorder="1" applyAlignment="1" applyProtection="1">
      <alignment horizontal="left" vertical="top" shrinkToFit="1"/>
      <protection locked="0"/>
    </xf>
    <xf numFmtId="0" fontId="58" fillId="4" borderId="84" xfId="7" applyFont="1" applyFill="1" applyBorder="1" applyAlignment="1" applyProtection="1">
      <alignment horizontal="left" vertical="top" shrinkToFit="1"/>
      <protection locked="0"/>
    </xf>
    <xf numFmtId="0" fontId="58" fillId="4" borderId="85" xfId="7" applyFont="1" applyFill="1" applyBorder="1" applyAlignment="1" applyProtection="1">
      <alignment horizontal="left" vertical="top" shrinkToFit="1"/>
      <protection locked="0"/>
    </xf>
    <xf numFmtId="0" fontId="21" fillId="2" borderId="35" xfId="0" applyFont="1" applyFill="1" applyBorder="1" applyAlignment="1">
      <alignment horizontal="left"/>
    </xf>
    <xf numFmtId="0" fontId="21" fillId="2" borderId="34" xfId="0" applyFont="1" applyFill="1" applyBorder="1" applyAlignment="1">
      <alignment horizontal="left"/>
    </xf>
    <xf numFmtId="0" fontId="21" fillId="2" borderId="3" xfId="0" applyFont="1" applyFill="1" applyBorder="1" applyAlignment="1">
      <alignment horizontal="left"/>
    </xf>
    <xf numFmtId="0" fontId="20" fillId="2" borderId="0" xfId="0" applyFont="1" applyFill="1" applyAlignment="1">
      <alignment horizontal="left"/>
    </xf>
    <xf numFmtId="0" fontId="21" fillId="2" borderId="0" xfId="0" applyFont="1" applyFill="1" applyAlignment="1" applyProtection="1">
      <alignment horizontal="center" vertical="top" wrapText="1"/>
      <protection locked="0"/>
    </xf>
    <xf numFmtId="49" fontId="57" fillId="4" borderId="48" xfId="7" quotePrefix="1" applyNumberFormat="1" applyFont="1" applyFill="1" applyBorder="1" applyAlignment="1" applyProtection="1">
      <alignment horizontal="left" vertical="top" wrapText="1"/>
      <protection locked="0"/>
    </xf>
    <xf numFmtId="49" fontId="58" fillId="4" borderId="48" xfId="7" applyNumberFormat="1" applyFont="1" applyFill="1" applyBorder="1" applyAlignment="1" applyProtection="1">
      <alignment horizontal="left" vertical="top" wrapText="1"/>
      <protection locked="0"/>
    </xf>
    <xf numFmtId="0" fontId="57" fillId="4" borderId="76" xfId="7" applyFont="1" applyFill="1" applyBorder="1" applyAlignment="1" applyProtection="1">
      <alignment horizontal="left" vertical="top" wrapText="1"/>
      <protection locked="0"/>
    </xf>
    <xf numFmtId="49" fontId="8" fillId="4" borderId="72" xfId="1" applyNumberFormat="1" applyFill="1" applyBorder="1" applyAlignment="1" applyProtection="1">
      <alignment horizontal="left" vertical="top" shrinkToFit="1"/>
      <protection locked="0"/>
    </xf>
    <xf numFmtId="49" fontId="21" fillId="4" borderId="72" xfId="7" applyNumberFormat="1" applyFont="1" applyFill="1" applyBorder="1" applyAlignment="1" applyProtection="1">
      <alignment horizontal="left" vertical="top" shrinkToFit="1"/>
      <protection locked="0"/>
    </xf>
    <xf numFmtId="0" fontId="58" fillId="4" borderId="75" xfId="7" applyFont="1" applyFill="1" applyBorder="1" applyAlignment="1" applyProtection="1">
      <alignment horizontal="left" vertical="top"/>
      <protection locked="0"/>
    </xf>
    <xf numFmtId="0" fontId="58" fillId="4" borderId="119" xfId="7" applyFont="1" applyFill="1" applyBorder="1" applyAlignment="1" applyProtection="1">
      <alignment horizontal="left" vertical="top"/>
      <protection locked="0"/>
    </xf>
    <xf numFmtId="0" fontId="57" fillId="4" borderId="48" xfId="7" applyFont="1" applyFill="1" applyBorder="1" applyAlignment="1" applyProtection="1">
      <alignment horizontal="left" vertical="top" wrapText="1"/>
      <protection locked="0"/>
    </xf>
    <xf numFmtId="0" fontId="58" fillId="4" borderId="72" xfId="7" applyFont="1" applyFill="1" applyBorder="1" applyAlignment="1" applyProtection="1">
      <alignment horizontal="left" vertical="top" wrapText="1"/>
      <protection locked="0"/>
    </xf>
    <xf numFmtId="0" fontId="21" fillId="3" borderId="160" xfId="0" applyFont="1" applyFill="1" applyBorder="1" applyAlignment="1" applyProtection="1">
      <alignment horizontal="left" vertical="center"/>
      <protection locked="0"/>
    </xf>
    <xf numFmtId="0" fontId="21" fillId="3" borderId="161" xfId="0" applyFont="1" applyFill="1" applyBorder="1" applyAlignment="1" applyProtection="1">
      <alignment horizontal="left" vertical="center"/>
      <protection locked="0"/>
    </xf>
    <xf numFmtId="0" fontId="58" fillId="4" borderId="47" xfId="7" applyFont="1" applyFill="1" applyBorder="1" applyAlignment="1" applyProtection="1">
      <alignment horizontal="left" vertical="top" wrapText="1"/>
      <protection locked="0"/>
    </xf>
    <xf numFmtId="0" fontId="20" fillId="2" borderId="3" xfId="0" applyFont="1" applyFill="1" applyBorder="1" applyAlignment="1">
      <alignment horizontal="left"/>
    </xf>
    <xf numFmtId="0" fontId="57" fillId="4" borderId="106" xfId="7" applyFont="1" applyFill="1" applyBorder="1" applyAlignment="1" applyProtection="1">
      <alignment horizontal="left" vertical="top" wrapText="1"/>
      <protection locked="0"/>
    </xf>
    <xf numFmtId="0" fontId="58" fillId="4" borderId="71" xfId="7" applyFont="1" applyFill="1" applyBorder="1" applyAlignment="1" applyProtection="1">
      <alignment horizontal="left" vertical="top" wrapText="1"/>
      <protection locked="0"/>
    </xf>
    <xf numFmtId="0" fontId="58" fillId="4" borderId="3" xfId="7" applyFont="1" applyFill="1" applyBorder="1" applyAlignment="1" applyProtection="1">
      <alignment horizontal="left" vertical="top" wrapText="1"/>
      <protection locked="0"/>
    </xf>
    <xf numFmtId="0" fontId="21" fillId="3" borderId="108" xfId="0" applyFont="1" applyFill="1" applyBorder="1" applyAlignment="1">
      <alignment horizontal="left" vertical="top" wrapText="1"/>
    </xf>
    <xf numFmtId="0" fontId="21" fillId="3" borderId="60" xfId="0" applyFont="1" applyFill="1" applyBorder="1" applyAlignment="1">
      <alignment horizontal="left" vertical="top" wrapText="1"/>
    </xf>
    <xf numFmtId="0" fontId="62" fillId="2" borderId="78" xfId="2" applyFont="1" applyFill="1" applyBorder="1" applyAlignment="1">
      <alignment horizontal="center" vertical="center" wrapText="1"/>
    </xf>
    <xf numFmtId="0" fontId="62" fillId="2" borderId="79" xfId="2" applyFont="1" applyFill="1" applyBorder="1" applyAlignment="1">
      <alignment horizontal="center" vertical="center" wrapText="1"/>
    </xf>
    <xf numFmtId="0" fontId="62" fillId="2" borderId="81" xfId="2" applyFont="1" applyFill="1" applyBorder="1" applyAlignment="1">
      <alignment horizontal="center" vertical="center" wrapText="1"/>
    </xf>
    <xf numFmtId="41" fontId="58" fillId="4" borderId="84" xfId="16" applyFont="1" applyFill="1" applyBorder="1" applyAlignment="1" applyProtection="1">
      <alignment horizontal="center" vertical="center" shrinkToFit="1"/>
      <protection locked="0"/>
    </xf>
    <xf numFmtId="0" fontId="58" fillId="4" borderId="84" xfId="7" applyFont="1" applyFill="1" applyBorder="1" applyAlignment="1" applyProtection="1">
      <alignment horizontal="center" vertical="center" shrinkToFit="1"/>
      <protection locked="0"/>
    </xf>
    <xf numFmtId="41" fontId="57" fillId="4" borderId="82" xfId="16" applyFont="1" applyFill="1" applyBorder="1" applyAlignment="1" applyProtection="1">
      <alignment horizontal="center" vertical="center" shrinkToFit="1"/>
      <protection locked="0"/>
    </xf>
    <xf numFmtId="0" fontId="24" fillId="0" borderId="104" xfId="0" applyFont="1" applyBorder="1" applyAlignment="1">
      <alignment horizontal="center" vertical="center"/>
    </xf>
    <xf numFmtId="0" fontId="24" fillId="0" borderId="45" xfId="0" applyFont="1" applyBorder="1" applyAlignment="1">
      <alignment horizontal="center" vertical="center"/>
    </xf>
    <xf numFmtId="0" fontId="24" fillId="0" borderId="128" xfId="0" applyFont="1" applyBorder="1" applyAlignment="1">
      <alignment horizontal="center" vertical="center"/>
    </xf>
    <xf numFmtId="0" fontId="8" fillId="4" borderId="48" xfId="1" applyFill="1" applyBorder="1" applyAlignment="1" applyProtection="1">
      <alignment horizontal="left" vertical="top" shrinkToFit="1"/>
      <protection locked="0"/>
    </xf>
    <xf numFmtId="0" fontId="21" fillId="4" borderId="48" xfId="7" applyFont="1" applyFill="1" applyBorder="1" applyAlignment="1" applyProtection="1">
      <alignment horizontal="left" vertical="top" shrinkToFit="1"/>
      <protection locked="0"/>
    </xf>
    <xf numFmtId="0" fontId="8" fillId="4" borderId="72" xfId="1" applyFill="1" applyBorder="1" applyAlignment="1" applyProtection="1">
      <alignment horizontal="left" vertical="top" shrinkToFit="1"/>
      <protection locked="0"/>
    </xf>
    <xf numFmtId="0" fontId="21" fillId="4" borderId="72" xfId="7" applyFont="1" applyFill="1" applyBorder="1" applyAlignment="1" applyProtection="1">
      <alignment horizontal="left" vertical="top" shrinkToFit="1"/>
      <protection locked="0"/>
    </xf>
    <xf numFmtId="0" fontId="8" fillId="4" borderId="167" xfId="1" applyFill="1" applyBorder="1" applyAlignment="1" applyProtection="1">
      <alignment horizontal="left" vertical="top" shrinkToFit="1"/>
      <protection locked="0"/>
    </xf>
    <xf numFmtId="0" fontId="29" fillId="4" borderId="167" xfId="1" applyFont="1" applyFill="1" applyBorder="1" applyAlignment="1" applyProtection="1">
      <alignment horizontal="left" vertical="top" shrinkToFit="1"/>
      <protection locked="0"/>
    </xf>
    <xf numFmtId="0" fontId="23" fillId="0" borderId="101" xfId="0" applyFont="1" applyBorder="1" applyAlignment="1">
      <alignment horizontal="left" vertical="top" wrapText="1"/>
    </xf>
    <xf numFmtId="0" fontId="23" fillId="0" borderId="8" xfId="0" applyFont="1" applyBorder="1" applyAlignment="1">
      <alignment horizontal="left" vertical="top" wrapText="1"/>
    </xf>
    <xf numFmtId="0" fontId="23" fillId="0" borderId="37" xfId="0" applyFont="1" applyBorder="1" applyAlignment="1">
      <alignment horizontal="left" vertical="top" wrapText="1"/>
    </xf>
    <xf numFmtId="0" fontId="23" fillId="0" borderId="10" xfId="0" applyFont="1" applyBorder="1" applyAlignment="1">
      <alignment horizontal="left" vertical="top" wrapText="1"/>
    </xf>
    <xf numFmtId="0" fontId="23" fillId="0" borderId="0" xfId="0" applyFont="1" applyAlignment="1">
      <alignment horizontal="left" vertical="top" wrapText="1"/>
    </xf>
    <xf numFmtId="0" fontId="23" fillId="0" borderId="35" xfId="0" applyFont="1" applyBorder="1" applyAlignment="1">
      <alignment horizontal="left" vertical="top" wrapText="1"/>
    </xf>
    <xf numFmtId="0" fontId="23" fillId="0" borderId="61" xfId="0" applyFont="1" applyBorder="1" applyAlignment="1">
      <alignment horizontal="left" vertical="top" wrapText="1"/>
    </xf>
    <xf numFmtId="0" fontId="23" fillId="0" borderId="7" xfId="0" applyFont="1" applyBorder="1" applyAlignment="1">
      <alignment horizontal="left" vertical="top" wrapText="1"/>
    </xf>
    <xf numFmtId="0" fontId="23" fillId="0" borderId="36" xfId="0" applyFont="1" applyBorder="1" applyAlignment="1">
      <alignment horizontal="left" vertical="top" wrapText="1"/>
    </xf>
    <xf numFmtId="0" fontId="20" fillId="2" borderId="55" xfId="0" applyFont="1" applyFill="1" applyBorder="1" applyAlignment="1">
      <alignment horizontal="center"/>
    </xf>
    <xf numFmtId="0" fontId="20" fillId="2" borderId="8" xfId="0" applyFont="1" applyFill="1" applyBorder="1" applyAlignment="1">
      <alignment horizontal="center"/>
    </xf>
    <xf numFmtId="0" fontId="20" fillId="2" borderId="37" xfId="0" applyFont="1" applyFill="1" applyBorder="1" applyAlignment="1">
      <alignment horizontal="center"/>
    </xf>
    <xf numFmtId="49" fontId="21" fillId="2" borderId="102" xfId="0" applyNumberFormat="1" applyFont="1" applyFill="1" applyBorder="1" applyAlignment="1">
      <alignment horizontal="center" vertical="center" textRotation="90" wrapText="1"/>
    </xf>
    <xf numFmtId="49" fontId="21" fillId="2" borderId="34" xfId="0" applyNumberFormat="1" applyFont="1" applyFill="1" applyBorder="1" applyAlignment="1">
      <alignment horizontal="center" vertical="center" textRotation="90" wrapText="1"/>
    </xf>
    <xf numFmtId="49" fontId="21" fillId="2" borderId="66" xfId="0" applyNumberFormat="1" applyFont="1" applyFill="1" applyBorder="1" applyAlignment="1">
      <alignment horizontal="center" vertical="center" textRotation="90" wrapText="1"/>
    </xf>
    <xf numFmtId="0" fontId="21" fillId="4" borderId="68" xfId="7" quotePrefix="1" applyFont="1" applyFill="1" applyBorder="1" applyAlignment="1" applyProtection="1">
      <alignment horizontal="left" vertical="top"/>
      <protection locked="0"/>
    </xf>
    <xf numFmtId="0" fontId="21" fillId="4" borderId="68" xfId="7" applyFont="1" applyFill="1" applyBorder="1" applyAlignment="1" applyProtection="1">
      <alignment horizontal="left" vertical="top"/>
      <protection locked="0"/>
    </xf>
    <xf numFmtId="49" fontId="21" fillId="2" borderId="35" xfId="0" applyNumberFormat="1" applyFont="1" applyFill="1" applyBorder="1" applyAlignment="1">
      <alignment horizontal="center" vertical="center" textRotation="90"/>
    </xf>
    <xf numFmtId="0" fontId="57" fillId="4" borderId="107" xfId="7" applyFont="1" applyFill="1" applyBorder="1" applyAlignment="1" applyProtection="1">
      <alignment horizontal="left" vertical="top" wrapText="1"/>
      <protection locked="0"/>
    </xf>
    <xf numFmtId="0" fontId="58" fillId="4" borderId="49" xfId="7" applyFont="1" applyFill="1" applyBorder="1" applyAlignment="1" applyProtection="1">
      <alignment horizontal="left" vertical="top" wrapText="1"/>
      <protection locked="0"/>
    </xf>
    <xf numFmtId="0" fontId="58" fillId="4" borderId="68" xfId="7" applyFont="1" applyFill="1" applyBorder="1" applyAlignment="1" applyProtection="1">
      <alignment horizontal="center" vertical="top" wrapText="1"/>
      <protection locked="0"/>
    </xf>
    <xf numFmtId="0" fontId="58" fillId="4" borderId="92" xfId="7" applyFont="1" applyFill="1" applyBorder="1" applyAlignment="1" applyProtection="1">
      <alignment horizontal="left" vertical="top" shrinkToFit="1"/>
      <protection locked="0"/>
    </xf>
    <xf numFmtId="0" fontId="24" fillId="2" borderId="38" xfId="2" applyFont="1" applyFill="1" applyBorder="1" applyAlignment="1">
      <alignment horizontal="center" vertical="center" wrapText="1"/>
    </xf>
    <xf numFmtId="0" fontId="58" fillId="4" borderId="74" xfId="7" applyFont="1" applyFill="1" applyBorder="1" applyAlignment="1" applyProtection="1">
      <alignment horizontal="center" vertical="top" wrapText="1"/>
      <protection locked="0"/>
    </xf>
    <xf numFmtId="0" fontId="58" fillId="4" borderId="93" xfId="7" applyFont="1" applyFill="1" applyBorder="1" applyAlignment="1" applyProtection="1">
      <alignment horizontal="left" vertical="top" shrinkToFit="1"/>
      <protection locked="0"/>
    </xf>
    <xf numFmtId="0" fontId="34" fillId="2" borderId="133" xfId="0" applyFont="1" applyFill="1" applyBorder="1" applyAlignment="1">
      <alignment horizontal="center" vertical="center"/>
    </xf>
    <xf numFmtId="0" fontId="34" fillId="2" borderId="38" xfId="0" applyFont="1" applyFill="1" applyBorder="1" applyAlignment="1">
      <alignment horizontal="center" vertical="center"/>
    </xf>
    <xf numFmtId="0" fontId="24" fillId="2" borderId="28" xfId="2" applyFont="1" applyFill="1" applyBorder="1" applyAlignment="1">
      <alignment horizontal="center" vertical="center" wrapText="1"/>
    </xf>
    <xf numFmtId="0" fontId="58" fillId="4" borderId="91" xfId="7" applyFont="1" applyFill="1" applyBorder="1" applyAlignment="1" applyProtection="1">
      <alignment horizontal="left" vertical="top" shrinkToFit="1"/>
      <protection locked="0"/>
    </xf>
    <xf numFmtId="0" fontId="21" fillId="3" borderId="3" xfId="0" applyFont="1" applyFill="1" applyBorder="1" applyAlignment="1" applyProtection="1">
      <alignment vertical="top" wrapText="1"/>
      <protection locked="0"/>
    </xf>
    <xf numFmtId="0" fontId="21" fillId="3" borderId="0" xfId="0" applyFont="1" applyFill="1" applyAlignment="1" applyProtection="1">
      <alignment vertical="top" wrapText="1"/>
      <protection locked="0"/>
    </xf>
    <xf numFmtId="0" fontId="57" fillId="4" borderId="86" xfId="7" applyFont="1" applyFill="1" applyBorder="1" applyAlignment="1" applyProtection="1">
      <alignment horizontal="left" vertical="top" shrinkToFit="1"/>
      <protection locked="0"/>
    </xf>
    <xf numFmtId="0" fontId="57" fillId="4" borderId="82" xfId="7" applyFont="1" applyFill="1" applyBorder="1" applyAlignment="1" applyProtection="1">
      <alignment horizontal="left" vertical="top" shrinkToFit="1"/>
      <protection locked="0"/>
    </xf>
    <xf numFmtId="0" fontId="58" fillId="4" borderId="73" xfId="7" applyFont="1" applyFill="1" applyBorder="1" applyAlignment="1" applyProtection="1">
      <alignment horizontal="left" vertical="top" shrinkToFit="1"/>
      <protection locked="0"/>
    </xf>
    <xf numFmtId="0" fontId="58" fillId="4" borderId="94" xfId="7" applyFont="1" applyFill="1" applyBorder="1" applyAlignment="1" applyProtection="1">
      <alignment horizontal="left" vertical="top" shrinkToFit="1"/>
      <protection locked="0"/>
    </xf>
    <xf numFmtId="49" fontId="21" fillId="4" borderId="70" xfId="7" quotePrefix="1" applyNumberFormat="1" applyFont="1" applyFill="1" applyBorder="1" applyAlignment="1" applyProtection="1">
      <alignment horizontal="left" vertical="top" wrapText="1"/>
      <protection locked="0"/>
    </xf>
    <xf numFmtId="49" fontId="21" fillId="4" borderId="70" xfId="7" applyNumberFormat="1" applyFont="1" applyFill="1" applyBorder="1" applyAlignment="1" applyProtection="1">
      <alignment horizontal="left" vertical="top" wrapText="1"/>
      <protection locked="0"/>
    </xf>
    <xf numFmtId="49" fontId="21" fillId="4" borderId="120" xfId="7" applyNumberFormat="1" applyFont="1" applyFill="1" applyBorder="1" applyAlignment="1" applyProtection="1">
      <alignment horizontal="left" vertical="top" wrapText="1"/>
      <protection locked="0"/>
    </xf>
    <xf numFmtId="0" fontId="57" fillId="4" borderId="72" xfId="7" applyFont="1" applyFill="1" applyBorder="1" applyAlignment="1" applyProtection="1">
      <alignment horizontal="left" vertical="top" wrapText="1"/>
      <protection locked="0"/>
    </xf>
    <xf numFmtId="0" fontId="58" fillId="4" borderId="88" xfId="7" applyFont="1" applyFill="1" applyBorder="1" applyAlignment="1" applyProtection="1">
      <alignment horizontal="center" vertical="center" shrinkToFit="1"/>
      <protection locked="0"/>
    </xf>
    <xf numFmtId="0" fontId="58" fillId="4" borderId="74" xfId="7" applyFont="1" applyFill="1" applyBorder="1" applyAlignment="1" applyProtection="1">
      <alignment horizontal="center" vertical="center" shrinkToFit="1"/>
      <protection locked="0"/>
    </xf>
    <xf numFmtId="0" fontId="58" fillId="4" borderId="89" xfId="7" applyFont="1" applyFill="1" applyBorder="1" applyAlignment="1" applyProtection="1">
      <alignment horizontal="center" vertical="center" shrinkToFit="1"/>
      <protection locked="0"/>
    </xf>
    <xf numFmtId="0" fontId="57" fillId="4" borderId="82" xfId="7" applyFont="1" applyFill="1" applyBorder="1" applyAlignment="1" applyProtection="1">
      <alignment horizontal="center" vertical="center" shrinkToFit="1"/>
      <protection locked="0"/>
    </xf>
    <xf numFmtId="177" fontId="25" fillId="3" borderId="0" xfId="0" applyNumberFormat="1" applyFont="1" applyFill="1" applyAlignment="1" applyProtection="1">
      <alignment horizontal="center" vertical="top"/>
      <protection locked="0"/>
    </xf>
    <xf numFmtId="0" fontId="21" fillId="4" borderId="72" xfId="7" applyFont="1" applyFill="1" applyBorder="1" applyAlignment="1" applyProtection="1">
      <alignment horizontal="left" vertical="top" wrapText="1"/>
      <protection locked="0"/>
    </xf>
    <xf numFmtId="177" fontId="31" fillId="3" borderId="3" xfId="0" applyNumberFormat="1" applyFont="1" applyFill="1" applyBorder="1" applyAlignment="1" applyProtection="1">
      <alignment horizontal="left" vertical="top"/>
      <protection locked="0"/>
    </xf>
    <xf numFmtId="177" fontId="31" fillId="3" borderId="0" xfId="0" applyNumberFormat="1" applyFont="1" applyFill="1" applyAlignment="1" applyProtection="1">
      <alignment horizontal="left" vertical="top"/>
      <protection locked="0"/>
    </xf>
    <xf numFmtId="0" fontId="21" fillId="2" borderId="160" xfId="0" applyFont="1" applyFill="1" applyBorder="1" applyAlignment="1" applyProtection="1">
      <alignment vertical="center"/>
      <protection locked="0"/>
    </xf>
    <xf numFmtId="0" fontId="30" fillId="3" borderId="0" xfId="1" applyFont="1" applyFill="1" applyBorder="1" applyAlignment="1" applyProtection="1">
      <alignment vertical="top" wrapText="1"/>
      <protection locked="0"/>
    </xf>
    <xf numFmtId="49" fontId="58" fillId="4" borderId="72" xfId="7" applyNumberFormat="1" applyFont="1" applyFill="1" applyBorder="1" applyAlignment="1" applyProtection="1">
      <alignment horizontal="left" vertical="top" wrapText="1"/>
      <protection locked="0"/>
    </xf>
    <xf numFmtId="0" fontId="29" fillId="4" borderId="72" xfId="1" applyFont="1" applyFill="1" applyBorder="1" applyAlignment="1" applyProtection="1">
      <alignment horizontal="left" vertical="top" shrinkToFit="1"/>
      <protection locked="0"/>
    </xf>
    <xf numFmtId="0" fontId="25" fillId="3" borderId="52" xfId="0" applyFont="1" applyFill="1" applyBorder="1" applyAlignment="1">
      <alignment horizontal="left" vertical="top" wrapText="1"/>
    </xf>
    <xf numFmtId="0" fontId="21" fillId="2" borderId="50" xfId="0" applyFont="1" applyFill="1" applyBorder="1" applyAlignment="1" applyProtection="1">
      <alignment horizontal="center" vertical="top" wrapText="1"/>
      <protection locked="0"/>
    </xf>
    <xf numFmtId="0" fontId="21" fillId="3" borderId="3" xfId="0" applyFont="1" applyFill="1" applyBorder="1" applyAlignment="1">
      <alignment horizontal="left" vertical="top" wrapText="1"/>
    </xf>
    <xf numFmtId="0" fontId="21" fillId="3" borderId="0" xfId="0" applyFont="1" applyFill="1" applyAlignment="1">
      <alignment horizontal="left" vertical="top" wrapText="1"/>
    </xf>
    <xf numFmtId="0" fontId="58" fillId="0" borderId="3" xfId="0" applyFont="1" applyBorder="1" applyAlignment="1">
      <alignment horizontal="left" vertical="top" shrinkToFit="1"/>
    </xf>
    <xf numFmtId="0" fontId="58" fillId="0" borderId="0" xfId="0" applyFont="1" applyAlignment="1">
      <alignment horizontal="left" vertical="top" shrinkToFit="1"/>
    </xf>
    <xf numFmtId="14" fontId="21" fillId="4" borderId="68" xfId="7" applyNumberFormat="1" applyFont="1" applyFill="1" applyBorder="1" applyAlignment="1" applyProtection="1">
      <alignment horizontal="left" vertical="top"/>
      <protection locked="0"/>
    </xf>
    <xf numFmtId="0" fontId="21" fillId="2" borderId="55" xfId="0" applyFont="1" applyFill="1" applyBorder="1" applyAlignment="1">
      <alignment horizontal="center" vertical="center"/>
    </xf>
    <xf numFmtId="0" fontId="21" fillId="2" borderId="8" xfId="0" applyFont="1" applyFill="1" applyBorder="1" applyAlignment="1">
      <alignment horizontal="center" vertical="center"/>
    </xf>
    <xf numFmtId="0" fontId="21" fillId="2" borderId="37" xfId="0" applyFont="1" applyFill="1" applyBorder="1" applyAlignment="1">
      <alignment horizontal="center" vertical="center"/>
    </xf>
    <xf numFmtId="0" fontId="21" fillId="2" borderId="3" xfId="0" applyFont="1" applyFill="1" applyBorder="1" applyAlignment="1">
      <alignment horizontal="center" vertical="center"/>
    </xf>
    <xf numFmtId="0" fontId="21" fillId="2" borderId="0" xfId="0" applyFont="1" applyFill="1" applyAlignment="1">
      <alignment horizontal="center" vertical="center"/>
    </xf>
    <xf numFmtId="0" fontId="21" fillId="2" borderId="35" xfId="0" applyFont="1" applyFill="1" applyBorder="1" applyAlignment="1">
      <alignment horizontal="center" vertical="center"/>
    </xf>
    <xf numFmtId="0" fontId="21" fillId="2" borderId="6" xfId="0" applyFont="1" applyFill="1" applyBorder="1" applyAlignment="1">
      <alignment horizontal="center" vertical="center"/>
    </xf>
    <xf numFmtId="0" fontId="21" fillId="2" borderId="7" xfId="0" applyFont="1" applyFill="1" applyBorder="1" applyAlignment="1">
      <alignment horizontal="center" vertical="center"/>
    </xf>
    <xf numFmtId="0" fontId="21" fillId="2" borderId="36" xfId="0" applyFont="1" applyFill="1" applyBorder="1" applyAlignment="1">
      <alignment horizontal="center" vertical="center"/>
    </xf>
    <xf numFmtId="0" fontId="57" fillId="2" borderId="3" xfId="0" applyFont="1" applyFill="1" applyBorder="1" applyAlignment="1">
      <alignment horizontal="left" vertical="top" wrapText="1"/>
    </xf>
    <xf numFmtId="0" fontId="58" fillId="2" borderId="0" xfId="0" applyFont="1" applyFill="1" applyAlignment="1">
      <alignment horizontal="left" vertical="top" wrapText="1"/>
    </xf>
    <xf numFmtId="0" fontId="21" fillId="2" borderId="64" xfId="0" applyFont="1" applyFill="1" applyBorder="1" applyAlignment="1">
      <alignment horizontal="left" vertical="top" wrapText="1"/>
    </xf>
    <xf numFmtId="49" fontId="8" fillId="4" borderId="76" xfId="1" applyNumberFormat="1" applyFill="1" applyBorder="1" applyAlignment="1" applyProtection="1">
      <alignment horizontal="left" vertical="top" shrinkToFit="1"/>
      <protection locked="0"/>
    </xf>
    <xf numFmtId="49" fontId="21" fillId="4" borderId="76" xfId="7" applyNumberFormat="1" applyFont="1" applyFill="1" applyBorder="1" applyAlignment="1" applyProtection="1">
      <alignment horizontal="left" vertical="top" shrinkToFit="1"/>
      <protection locked="0"/>
    </xf>
    <xf numFmtId="49" fontId="21" fillId="4" borderId="121" xfId="7" applyNumberFormat="1" applyFont="1" applyFill="1" applyBorder="1" applyAlignment="1" applyProtection="1">
      <alignment horizontal="left" vertical="top" shrinkToFit="1"/>
      <protection locked="0"/>
    </xf>
    <xf numFmtId="0" fontId="35" fillId="2" borderId="55" xfId="0" applyFont="1" applyFill="1" applyBorder="1" applyAlignment="1">
      <alignment horizontal="center" vertical="center" wrapText="1"/>
    </xf>
    <xf numFmtId="0" fontId="35" fillId="2" borderId="8" xfId="0" applyFont="1" applyFill="1" applyBorder="1" applyAlignment="1">
      <alignment horizontal="center" vertical="center" wrapText="1"/>
    </xf>
    <xf numFmtId="0" fontId="35" fillId="2" borderId="100" xfId="0" applyFont="1" applyFill="1" applyBorder="1" applyAlignment="1">
      <alignment horizontal="center" vertical="center" wrapText="1"/>
    </xf>
    <xf numFmtId="0" fontId="35" fillId="2" borderId="3" xfId="0" applyFont="1" applyFill="1" applyBorder="1" applyAlignment="1">
      <alignment horizontal="center" vertical="center" wrapText="1"/>
    </xf>
    <xf numFmtId="0" fontId="35" fillId="2" borderId="0" xfId="0" applyFont="1" applyFill="1" applyAlignment="1">
      <alignment horizontal="center" vertical="center" wrapText="1"/>
    </xf>
    <xf numFmtId="0" fontId="35" fillId="2" borderId="4" xfId="0" applyFont="1" applyFill="1" applyBorder="1" applyAlignment="1">
      <alignment horizontal="center" vertical="center" wrapText="1"/>
    </xf>
    <xf numFmtId="0" fontId="84" fillId="2" borderId="3" xfId="0" applyFont="1" applyFill="1" applyBorder="1" applyAlignment="1">
      <alignment horizontal="center" vertical="top" wrapText="1"/>
    </xf>
    <xf numFmtId="0" fontId="85" fillId="2" borderId="0" xfId="0" applyFont="1" applyFill="1" applyAlignment="1">
      <alignment horizontal="center" vertical="top" wrapText="1"/>
    </xf>
    <xf numFmtId="0" fontId="85" fillId="2" borderId="4" xfId="0" applyFont="1" applyFill="1" applyBorder="1" applyAlignment="1">
      <alignment horizontal="center" vertical="top" wrapText="1"/>
    </xf>
    <xf numFmtId="0" fontId="85" fillId="2" borderId="6" xfId="0" applyFont="1" applyFill="1" applyBorder="1" applyAlignment="1">
      <alignment horizontal="center" vertical="top" wrapText="1"/>
    </xf>
    <xf numFmtId="0" fontId="85" fillId="2" borderId="7" xfId="0" applyFont="1" applyFill="1" applyBorder="1" applyAlignment="1">
      <alignment horizontal="center" vertical="top" wrapText="1"/>
    </xf>
    <xf numFmtId="0" fontId="85" fillId="2" borderId="63" xfId="0" applyFont="1" applyFill="1" applyBorder="1" applyAlignment="1">
      <alignment horizontal="center" vertical="top" wrapText="1"/>
    </xf>
    <xf numFmtId="0" fontId="57" fillId="4" borderId="72" xfId="7" applyFont="1" applyFill="1" applyBorder="1" applyAlignment="1" applyProtection="1">
      <alignment horizontal="left" vertical="top"/>
      <protection locked="0"/>
    </xf>
    <xf numFmtId="49" fontId="21" fillId="4" borderId="96" xfId="7" quotePrefix="1" applyNumberFormat="1" applyFont="1" applyFill="1" applyBorder="1" applyAlignment="1" applyProtection="1">
      <alignment horizontal="left" vertical="top" wrapText="1"/>
      <protection locked="0"/>
    </xf>
    <xf numFmtId="49" fontId="21" fillId="4" borderId="96" xfId="7" applyNumberFormat="1" applyFont="1" applyFill="1" applyBorder="1" applyAlignment="1" applyProtection="1">
      <alignment horizontal="left" vertical="top" wrapText="1"/>
      <protection locked="0"/>
    </xf>
    <xf numFmtId="49" fontId="21" fillId="4" borderId="95" xfId="7" applyNumberFormat="1" applyFont="1" applyFill="1" applyBorder="1" applyAlignment="1" applyProtection="1">
      <alignment horizontal="left" vertical="top" wrapText="1"/>
      <protection locked="0"/>
    </xf>
    <xf numFmtId="14" fontId="21" fillId="4" borderId="51" xfId="7" applyNumberFormat="1" applyFont="1" applyFill="1" applyBorder="1" applyAlignment="1" applyProtection="1">
      <alignment horizontal="left" vertical="top" wrapText="1"/>
      <protection locked="0"/>
    </xf>
    <xf numFmtId="0" fontId="21" fillId="4" borderId="51" xfId="7" applyFont="1" applyFill="1" applyBorder="1" applyAlignment="1" applyProtection="1">
      <alignment horizontal="left" vertical="top" wrapText="1"/>
      <protection locked="0"/>
    </xf>
    <xf numFmtId="0" fontId="57" fillId="4" borderId="51" xfId="7" applyFont="1" applyFill="1" applyBorder="1" applyAlignment="1" applyProtection="1">
      <alignment horizontal="left" vertical="top" wrapText="1"/>
      <protection locked="0"/>
    </xf>
    <xf numFmtId="0" fontId="58" fillId="4" borderId="27" xfId="7" applyFont="1" applyFill="1" applyBorder="1" applyAlignment="1" applyProtection="1">
      <alignment horizontal="left" vertical="top" wrapText="1"/>
      <protection locked="0"/>
    </xf>
    <xf numFmtId="0" fontId="58" fillId="4" borderId="28" xfId="7" applyFont="1" applyFill="1" applyBorder="1" applyAlignment="1" applyProtection="1">
      <alignment horizontal="left" vertical="top" wrapText="1"/>
      <protection locked="0"/>
    </xf>
    <xf numFmtId="0" fontId="58" fillId="4" borderId="29" xfId="7" applyFont="1" applyFill="1" applyBorder="1" applyAlignment="1" applyProtection="1">
      <alignment horizontal="left" vertical="top" wrapText="1"/>
      <protection locked="0"/>
    </xf>
    <xf numFmtId="0" fontId="24" fillId="2" borderId="131" xfId="2" applyFont="1" applyFill="1" applyBorder="1" applyAlignment="1" applyProtection="1">
      <alignment horizontal="center" vertical="center" wrapText="1"/>
      <protection locked="0"/>
    </xf>
    <xf numFmtId="0" fontId="24" fillId="2" borderId="40" xfId="2" applyFont="1" applyFill="1" applyBorder="1" applyAlignment="1" applyProtection="1">
      <alignment horizontal="center" vertical="center" wrapText="1"/>
      <protection locked="0"/>
    </xf>
    <xf numFmtId="0" fontId="24" fillId="2" borderId="43" xfId="2" applyFont="1" applyFill="1" applyBorder="1" applyAlignment="1" applyProtection="1">
      <alignment horizontal="center" vertical="center" wrapText="1"/>
      <protection locked="0"/>
    </xf>
    <xf numFmtId="0" fontId="24" fillId="2" borderId="3" xfId="2" applyFont="1" applyFill="1" applyBorder="1" applyAlignment="1" applyProtection="1">
      <alignment horizontal="center" vertical="center" wrapText="1"/>
      <protection locked="0"/>
    </xf>
    <xf numFmtId="0" fontId="24" fillId="2" borderId="0" xfId="2" applyFont="1" applyFill="1" applyAlignment="1" applyProtection="1">
      <alignment horizontal="center" vertical="center" wrapText="1"/>
      <protection locked="0"/>
    </xf>
    <xf numFmtId="0" fontId="24" fillId="2" borderId="4" xfId="2" applyFont="1" applyFill="1" applyBorder="1" applyAlignment="1" applyProtection="1">
      <alignment horizontal="center" vertical="center" wrapText="1"/>
      <protection locked="0"/>
    </xf>
    <xf numFmtId="0" fontId="24" fillId="2" borderId="132" xfId="2" applyFont="1" applyFill="1" applyBorder="1" applyAlignment="1" applyProtection="1">
      <alignment horizontal="center" vertical="center" wrapText="1"/>
      <protection locked="0"/>
    </xf>
    <xf numFmtId="0" fontId="24" fillId="2" borderId="39" xfId="2" applyFont="1" applyFill="1" applyBorder="1" applyAlignment="1" applyProtection="1">
      <alignment horizontal="center" vertical="center" wrapText="1"/>
      <protection locked="0"/>
    </xf>
    <xf numFmtId="0" fontId="24" fillId="2" borderId="41" xfId="2" applyFont="1" applyFill="1" applyBorder="1" applyAlignment="1" applyProtection="1">
      <alignment horizontal="center" vertical="center" wrapText="1"/>
      <protection locked="0"/>
    </xf>
    <xf numFmtId="0" fontId="58" fillId="4" borderId="84" xfId="7" applyFont="1" applyFill="1" applyBorder="1" applyAlignment="1" applyProtection="1">
      <alignment horizontal="center" vertical="top" shrinkToFit="1"/>
      <protection locked="0"/>
    </xf>
    <xf numFmtId="0" fontId="57" fillId="4" borderId="86" xfId="7" applyFont="1" applyFill="1" applyBorder="1" applyAlignment="1" applyProtection="1">
      <alignment horizontal="center" vertical="center" shrinkToFit="1"/>
      <protection locked="0"/>
    </xf>
    <xf numFmtId="0" fontId="58" fillId="4" borderId="83" xfId="7" applyFont="1" applyFill="1" applyBorder="1" applyAlignment="1" applyProtection="1">
      <alignment horizontal="center" vertical="center" shrinkToFit="1"/>
      <protection locked="0"/>
    </xf>
    <xf numFmtId="0" fontId="21" fillId="4" borderId="69" xfId="7" applyFont="1" applyFill="1" applyBorder="1" applyAlignment="1" applyProtection="1">
      <alignment horizontal="center" vertical="top" wrapText="1"/>
      <protection locked="0"/>
    </xf>
    <xf numFmtId="0" fontId="21" fillId="4" borderId="123" xfId="7" applyFont="1" applyFill="1" applyBorder="1" applyAlignment="1" applyProtection="1">
      <alignment horizontal="center" vertical="top" wrapText="1"/>
      <protection locked="0"/>
    </xf>
    <xf numFmtId="0" fontId="61" fillId="2" borderId="78" xfId="2" applyFont="1" applyFill="1" applyBorder="1" applyAlignment="1">
      <alignment horizontal="center" vertical="center"/>
    </xf>
    <xf numFmtId="0" fontId="62" fillId="2" borderId="80" xfId="2" applyFont="1" applyFill="1" applyBorder="1" applyAlignment="1">
      <alignment horizontal="center" vertical="center"/>
    </xf>
    <xf numFmtId="0" fontId="62" fillId="2" borderId="79" xfId="2" applyFont="1" applyFill="1" applyBorder="1" applyAlignment="1">
      <alignment horizontal="center" vertical="center"/>
    </xf>
    <xf numFmtId="0" fontId="21" fillId="3" borderId="122" xfId="0" applyFont="1" applyFill="1" applyBorder="1" applyAlignment="1">
      <alignment horizontal="left" vertical="top" wrapText="1"/>
    </xf>
    <xf numFmtId="0" fontId="21" fillId="3" borderId="70" xfId="0" applyFont="1" applyFill="1" applyBorder="1" applyAlignment="1">
      <alignment horizontal="left" vertical="top" wrapText="1"/>
    </xf>
    <xf numFmtId="0" fontId="21" fillId="3" borderId="120" xfId="0" applyFont="1" applyFill="1" applyBorder="1" applyAlignment="1">
      <alignment horizontal="left" vertical="top" wrapText="1"/>
    </xf>
    <xf numFmtId="0" fontId="62" fillId="2" borderId="81" xfId="2" applyFont="1" applyFill="1" applyBorder="1" applyAlignment="1">
      <alignment horizontal="center" vertical="center"/>
    </xf>
    <xf numFmtId="0" fontId="20" fillId="3" borderId="3" xfId="0" applyFont="1" applyFill="1" applyBorder="1" applyAlignment="1" applyProtection="1">
      <alignment vertical="top" wrapText="1"/>
      <protection locked="0"/>
    </xf>
    <xf numFmtId="0" fontId="20" fillId="3" borderId="0" xfId="0" applyFont="1" applyFill="1" applyAlignment="1" applyProtection="1">
      <alignment vertical="top" wrapText="1"/>
      <protection locked="0"/>
    </xf>
    <xf numFmtId="0" fontId="26" fillId="2" borderId="10" xfId="0" applyFont="1" applyFill="1" applyBorder="1" applyAlignment="1">
      <alignment horizontal="center" vertical="center"/>
    </xf>
    <xf numFmtId="0" fontId="26" fillId="2" borderId="0" xfId="0" applyFont="1" applyFill="1" applyAlignment="1">
      <alignment horizontal="center" vertical="center"/>
    </xf>
    <xf numFmtId="0" fontId="26" fillId="2" borderId="4" xfId="0" applyFont="1" applyFill="1" applyBorder="1" applyAlignment="1">
      <alignment horizontal="center" vertical="center"/>
    </xf>
    <xf numFmtId="0" fontId="26" fillId="2" borderId="44" xfId="0" applyFont="1" applyFill="1" applyBorder="1" applyAlignment="1">
      <alignment horizontal="center" vertical="center"/>
    </xf>
    <xf numFmtId="0" fontId="26" fillId="2" borderId="39" xfId="0" applyFont="1" applyFill="1" applyBorder="1" applyAlignment="1">
      <alignment horizontal="center" vertical="center"/>
    </xf>
    <xf numFmtId="0" fontId="26" fillId="2" borderId="41" xfId="0" applyFont="1" applyFill="1" applyBorder="1" applyAlignment="1">
      <alignment horizontal="center" vertical="center"/>
    </xf>
    <xf numFmtId="0" fontId="21" fillId="3" borderId="3" xfId="0" applyFont="1" applyFill="1" applyBorder="1"/>
    <xf numFmtId="0" fontId="21" fillId="3" borderId="0" xfId="0" applyFont="1" applyFill="1"/>
    <xf numFmtId="0" fontId="21" fillId="2" borderId="45" xfId="0" applyFont="1" applyFill="1" applyBorder="1" applyAlignment="1">
      <alignment horizontal="left"/>
    </xf>
    <xf numFmtId="0" fontId="58" fillId="4" borderId="85" xfId="7" applyFont="1" applyFill="1" applyBorder="1" applyAlignment="1" applyProtection="1">
      <alignment horizontal="center" vertical="center" shrinkToFit="1"/>
      <protection locked="0"/>
    </xf>
    <xf numFmtId="0" fontId="28" fillId="2" borderId="14" xfId="0" applyFont="1" applyFill="1" applyBorder="1" applyAlignment="1">
      <alignment horizontal="center" vertical="center" wrapText="1"/>
    </xf>
    <xf numFmtId="0" fontId="28" fillId="2" borderId="15" xfId="0" applyFont="1" applyFill="1" applyBorder="1" applyAlignment="1">
      <alignment horizontal="center" vertical="center" wrapText="1"/>
    </xf>
    <xf numFmtId="0" fontId="28" fillId="2" borderId="16" xfId="0" applyFont="1" applyFill="1" applyBorder="1" applyAlignment="1">
      <alignment horizontal="center" vertical="center" wrapText="1"/>
    </xf>
    <xf numFmtId="0" fontId="28" fillId="2" borderId="19" xfId="0" applyFont="1" applyFill="1" applyBorder="1" applyAlignment="1">
      <alignment horizontal="center" vertical="center" wrapText="1"/>
    </xf>
    <xf numFmtId="0" fontId="28" fillId="2" borderId="0" xfId="0" applyFont="1" applyFill="1" applyAlignment="1">
      <alignment horizontal="center" vertical="center" wrapText="1"/>
    </xf>
    <xf numFmtId="0" fontId="28" fillId="2" borderId="20" xfId="0" applyFont="1" applyFill="1" applyBorder="1" applyAlignment="1">
      <alignment horizontal="center" vertical="center" wrapText="1"/>
    </xf>
    <xf numFmtId="0" fontId="28" fillId="2" borderId="24" xfId="0" applyFont="1" applyFill="1" applyBorder="1" applyAlignment="1">
      <alignment horizontal="center" vertical="center" wrapText="1"/>
    </xf>
    <xf numFmtId="0" fontId="28" fillId="2" borderId="25" xfId="0" applyFont="1" applyFill="1" applyBorder="1" applyAlignment="1">
      <alignment horizontal="center" vertical="center" wrapText="1"/>
    </xf>
    <xf numFmtId="0" fontId="28" fillId="2" borderId="26" xfId="0" applyFont="1" applyFill="1" applyBorder="1" applyAlignment="1">
      <alignment horizontal="center" vertical="center" wrapText="1"/>
    </xf>
    <xf numFmtId="0" fontId="26" fillId="2" borderId="130" xfId="0" applyFont="1" applyFill="1" applyBorder="1" applyAlignment="1">
      <alignment horizontal="center"/>
    </xf>
    <xf numFmtId="0" fontId="27" fillId="2" borderId="11" xfId="0" applyFont="1" applyFill="1" applyBorder="1" applyAlignment="1">
      <alignment horizontal="center" vertical="center" wrapText="1"/>
    </xf>
    <xf numFmtId="0" fontId="27" fillId="2" borderId="12" xfId="0" applyFont="1" applyFill="1" applyBorder="1" applyAlignment="1">
      <alignment horizontal="center" vertical="center" wrapText="1"/>
    </xf>
    <xf numFmtId="0" fontId="27" fillId="2" borderId="13" xfId="0" applyFont="1" applyFill="1" applyBorder="1" applyAlignment="1">
      <alignment horizontal="center" vertical="center" wrapText="1"/>
    </xf>
    <xf numFmtId="0" fontId="27" fillId="2" borderId="17" xfId="0" applyFont="1" applyFill="1" applyBorder="1" applyAlignment="1">
      <alignment horizontal="center" vertical="center" wrapText="1"/>
    </xf>
    <xf numFmtId="0" fontId="27" fillId="2" borderId="0" xfId="0" applyFont="1" applyFill="1" applyAlignment="1">
      <alignment horizontal="center" vertical="center" wrapText="1"/>
    </xf>
    <xf numFmtId="0" fontId="27" fillId="2" borderId="18" xfId="0" applyFont="1" applyFill="1" applyBorder="1" applyAlignment="1">
      <alignment horizontal="center" vertical="center" wrapText="1"/>
    </xf>
    <xf numFmtId="0" fontId="27" fillId="2" borderId="21" xfId="0" applyFont="1" applyFill="1" applyBorder="1" applyAlignment="1">
      <alignment horizontal="center" vertical="center" wrapText="1"/>
    </xf>
    <xf numFmtId="0" fontId="27" fillId="2" borderId="22" xfId="0" applyFont="1" applyFill="1" applyBorder="1" applyAlignment="1">
      <alignment horizontal="center" vertical="center" wrapText="1"/>
    </xf>
    <xf numFmtId="0" fontId="27" fillId="2" borderId="23" xfId="0" applyFont="1" applyFill="1" applyBorder="1" applyAlignment="1">
      <alignment horizontal="center" vertical="center" wrapText="1"/>
    </xf>
    <xf numFmtId="16" fontId="21" fillId="4" borderId="49" xfId="7" quotePrefix="1" applyNumberFormat="1" applyFont="1" applyFill="1" applyBorder="1" applyAlignment="1" applyProtection="1">
      <alignment horizontal="left" vertical="top" wrapText="1"/>
      <protection locked="0"/>
    </xf>
    <xf numFmtId="16" fontId="21" fillId="4" borderId="49" xfId="7" applyNumberFormat="1" applyFont="1" applyFill="1" applyBorder="1" applyAlignment="1" applyProtection="1">
      <alignment horizontal="left" vertical="top" wrapText="1"/>
      <protection locked="0"/>
    </xf>
    <xf numFmtId="16" fontId="21" fillId="4" borderId="0" xfId="7" applyNumberFormat="1" applyFont="1" applyFill="1" applyAlignment="1" applyProtection="1">
      <alignment horizontal="left" vertical="top" wrapText="1"/>
      <protection locked="0"/>
    </xf>
    <xf numFmtId="16" fontId="21" fillId="4" borderId="48" xfId="7" applyNumberFormat="1" applyFont="1" applyFill="1" applyBorder="1" applyAlignment="1" applyProtection="1">
      <alignment horizontal="left" vertical="top" wrapText="1"/>
      <protection locked="0"/>
    </xf>
    <xf numFmtId="0" fontId="21" fillId="3" borderId="48" xfId="0" applyFont="1" applyFill="1" applyBorder="1" applyAlignment="1" applyProtection="1">
      <alignment horizontal="left" vertical="top" wrapText="1"/>
      <protection locked="0"/>
    </xf>
    <xf numFmtId="0" fontId="21" fillId="6" borderId="0" xfId="0" applyFont="1" applyFill="1"/>
    <xf numFmtId="0" fontId="21" fillId="7" borderId="0" xfId="0" applyFont="1" applyFill="1" applyAlignment="1">
      <alignment horizontal="center"/>
    </xf>
    <xf numFmtId="0" fontId="21" fillId="8" borderId="0" xfId="0" applyFont="1" applyFill="1" applyAlignment="1">
      <alignment horizontal="center"/>
    </xf>
    <xf numFmtId="0" fontId="26" fillId="2" borderId="42" xfId="0" applyFont="1" applyFill="1" applyBorder="1" applyAlignment="1">
      <alignment horizontal="left" vertical="center"/>
    </xf>
    <xf numFmtId="0" fontId="26" fillId="2" borderId="40" xfId="0" applyFont="1" applyFill="1" applyBorder="1" applyAlignment="1">
      <alignment horizontal="left" vertical="center"/>
    </xf>
    <xf numFmtId="0" fontId="26" fillId="2" borderId="43" xfId="0" applyFont="1" applyFill="1" applyBorder="1" applyAlignment="1">
      <alignment horizontal="left" vertical="center"/>
    </xf>
    <xf numFmtId="0" fontId="26" fillId="2" borderId="129" xfId="0" applyFont="1" applyFill="1" applyBorder="1" applyAlignment="1">
      <alignment horizontal="center" vertical="center"/>
    </xf>
    <xf numFmtId="0" fontId="21" fillId="2" borderId="3" xfId="0" applyFont="1" applyFill="1" applyBorder="1" applyAlignment="1">
      <alignment horizontal="left" vertical="top" wrapText="1"/>
    </xf>
    <xf numFmtId="0" fontId="21" fillId="2" borderId="0" xfId="0" applyFont="1" applyFill="1" applyAlignment="1">
      <alignment horizontal="left" vertical="top" wrapText="1"/>
    </xf>
    <xf numFmtId="0" fontId="30" fillId="3" borderId="46" xfId="1" applyFont="1" applyFill="1" applyBorder="1" applyAlignment="1" applyProtection="1">
      <alignment vertical="top" wrapText="1"/>
      <protection locked="0"/>
    </xf>
    <xf numFmtId="0" fontId="20" fillId="2" borderId="105" xfId="0" applyFont="1" applyFill="1" applyBorder="1" applyAlignment="1">
      <alignment horizontal="left"/>
    </xf>
    <xf numFmtId="0" fontId="20" fillId="2" borderId="46" xfId="0" applyFont="1" applyFill="1" applyBorder="1" applyAlignment="1">
      <alignment horizontal="left"/>
    </xf>
    <xf numFmtId="0" fontId="21" fillId="2" borderId="6" xfId="0" applyFont="1" applyFill="1" applyBorder="1" applyAlignment="1">
      <alignment horizontal="left" vertical="top" wrapText="1"/>
    </xf>
    <xf numFmtId="0" fontId="21" fillId="2" borderId="7" xfId="0" applyFont="1" applyFill="1" applyBorder="1" applyAlignment="1">
      <alignment horizontal="left" vertical="top" wrapText="1"/>
    </xf>
    <xf numFmtId="0" fontId="21" fillId="3" borderId="114" xfId="0" applyFont="1" applyFill="1" applyBorder="1" applyAlignment="1" applyProtection="1">
      <alignment vertical="top" wrapText="1"/>
      <protection locked="0"/>
    </xf>
    <xf numFmtId="0" fontId="21" fillId="3" borderId="67" xfId="0" applyFont="1" applyFill="1" applyBorder="1" applyAlignment="1" applyProtection="1">
      <alignment vertical="top" wrapText="1"/>
      <protection locked="0"/>
    </xf>
    <xf numFmtId="0" fontId="21" fillId="3" borderId="140" xfId="0" applyFont="1" applyFill="1" applyBorder="1" applyAlignment="1" applyProtection="1">
      <alignment vertical="top" wrapText="1"/>
      <protection locked="0"/>
    </xf>
    <xf numFmtId="9" fontId="57" fillId="4" borderId="88" xfId="7" applyNumberFormat="1" applyFont="1" applyFill="1" applyBorder="1" applyAlignment="1" applyProtection="1">
      <alignment horizontal="center" vertical="top" wrapText="1"/>
      <protection locked="0"/>
    </xf>
    <xf numFmtId="14" fontId="57" fillId="4" borderId="89" xfId="7" applyNumberFormat="1" applyFont="1" applyFill="1" applyBorder="1" applyAlignment="1" applyProtection="1">
      <alignment horizontal="center" vertical="top" wrapText="1"/>
      <protection locked="0"/>
    </xf>
    <xf numFmtId="0" fontId="57" fillId="4" borderId="88" xfId="7" applyFont="1" applyFill="1" applyBorder="1" applyAlignment="1" applyProtection="1">
      <alignment horizontal="center" vertical="top" wrapText="1"/>
      <protection locked="0"/>
    </xf>
    <xf numFmtId="0" fontId="57" fillId="4" borderId="137" xfId="7" applyFont="1" applyFill="1" applyBorder="1" applyAlignment="1" applyProtection="1">
      <alignment horizontal="center" vertical="top" wrapText="1"/>
      <protection locked="0"/>
    </xf>
    <xf numFmtId="0" fontId="20" fillId="0" borderId="0" xfId="11" applyFont="1" applyAlignment="1">
      <alignment horizontal="left" vertical="center" wrapText="1"/>
    </xf>
    <xf numFmtId="0" fontId="37" fillId="0" borderId="165" xfId="13" applyFont="1" applyBorder="1" applyAlignment="1">
      <alignment horizontal="center" vertical="center"/>
    </xf>
    <xf numFmtId="0" fontId="37" fillId="0" borderId="166" xfId="13" applyFont="1" applyBorder="1" applyAlignment="1">
      <alignment horizontal="center" vertical="center"/>
    </xf>
    <xf numFmtId="0" fontId="37" fillId="0" borderId="164" xfId="13" applyFont="1" applyBorder="1" applyAlignment="1">
      <alignment horizontal="center" vertical="center"/>
    </xf>
    <xf numFmtId="0" fontId="71" fillId="2" borderId="42" xfId="0" applyFont="1" applyFill="1" applyBorder="1" applyAlignment="1">
      <alignment horizontal="left" vertical="center"/>
    </xf>
    <xf numFmtId="0" fontId="71" fillId="2" borderId="40" xfId="0" applyFont="1" applyFill="1" applyBorder="1" applyAlignment="1">
      <alignment horizontal="left" vertical="center"/>
    </xf>
    <xf numFmtId="0" fontId="71" fillId="2" borderId="43" xfId="0" applyFont="1" applyFill="1" applyBorder="1" applyAlignment="1">
      <alignment horizontal="left" vertical="center"/>
    </xf>
    <xf numFmtId="0" fontId="0" fillId="2" borderId="0" xfId="0" applyFill="1" applyAlignment="1">
      <alignment horizontal="center" vertical="center"/>
    </xf>
    <xf numFmtId="0" fontId="72" fillId="2" borderId="10" xfId="0" applyFont="1" applyFill="1" applyBorder="1" applyAlignment="1" applyProtection="1">
      <alignment horizontal="center" vertical="center" wrapText="1"/>
      <protection locked="0"/>
    </xf>
    <xf numFmtId="0" fontId="73" fillId="2" borderId="0" xfId="0" applyFont="1" applyFill="1" applyAlignment="1" applyProtection="1">
      <alignment horizontal="center" vertical="center"/>
      <protection locked="0"/>
    </xf>
    <xf numFmtId="0" fontId="73" fillId="2" borderId="4" xfId="0" applyFont="1" applyFill="1" applyBorder="1" applyAlignment="1" applyProtection="1">
      <alignment horizontal="center" vertical="center"/>
      <protection locked="0"/>
    </xf>
    <xf numFmtId="0" fontId="73" fillId="2" borderId="10" xfId="0" applyFont="1" applyFill="1" applyBorder="1" applyAlignment="1" applyProtection="1">
      <alignment horizontal="center" vertical="center"/>
      <protection locked="0"/>
    </xf>
    <xf numFmtId="0" fontId="73" fillId="2" borderId="44" xfId="0" applyFont="1" applyFill="1" applyBorder="1" applyAlignment="1" applyProtection="1">
      <alignment horizontal="center" vertical="center"/>
      <protection locked="0"/>
    </xf>
    <xf numFmtId="0" fontId="73" fillId="2" borderId="39" xfId="0" applyFont="1" applyFill="1" applyBorder="1" applyAlignment="1" applyProtection="1">
      <alignment horizontal="center" vertical="center"/>
      <protection locked="0"/>
    </xf>
    <xf numFmtId="0" fontId="73" fillId="2" borderId="41" xfId="0" applyFont="1" applyFill="1" applyBorder="1" applyAlignment="1" applyProtection="1">
      <alignment horizontal="center" vertical="center"/>
      <protection locked="0"/>
    </xf>
    <xf numFmtId="0" fontId="74" fillId="2" borderId="10" xfId="0" applyFont="1" applyFill="1" applyBorder="1" applyAlignment="1" applyProtection="1">
      <alignment horizontal="center" vertical="center" wrapText="1"/>
      <protection locked="0"/>
    </xf>
    <xf numFmtId="0" fontId="75" fillId="2" borderId="0" xfId="0" applyFont="1" applyFill="1" applyAlignment="1" applyProtection="1">
      <alignment horizontal="center" vertical="center"/>
      <protection locked="0"/>
    </xf>
    <xf numFmtId="0" fontId="75" fillId="2" borderId="4" xfId="0" applyFont="1" applyFill="1" applyBorder="1" applyAlignment="1" applyProtection="1">
      <alignment horizontal="center" vertical="center"/>
      <protection locked="0"/>
    </xf>
    <xf numFmtId="0" fontId="75" fillId="2" borderId="10" xfId="0" applyFont="1" applyFill="1" applyBorder="1" applyAlignment="1" applyProtection="1">
      <alignment horizontal="center" vertical="center"/>
      <protection locked="0"/>
    </xf>
    <xf numFmtId="0" fontId="75" fillId="2" borderId="44" xfId="0" applyFont="1" applyFill="1" applyBorder="1" applyAlignment="1" applyProtection="1">
      <alignment horizontal="center" vertical="center"/>
      <protection locked="0"/>
    </xf>
    <xf numFmtId="0" fontId="75" fillId="2" borderId="39" xfId="0" applyFont="1" applyFill="1" applyBorder="1" applyAlignment="1" applyProtection="1">
      <alignment horizontal="center" vertical="center"/>
      <protection locked="0"/>
    </xf>
    <xf numFmtId="0" fontId="75" fillId="2" borderId="41" xfId="0" applyFont="1" applyFill="1" applyBorder="1" applyAlignment="1" applyProtection="1">
      <alignment horizontal="center" vertical="center"/>
      <protection locked="0"/>
    </xf>
    <xf numFmtId="0" fontId="5" fillId="2" borderId="0" xfId="0" applyFont="1" applyFill="1" applyAlignment="1" applyProtection="1">
      <alignment horizontal="left" vertical="center"/>
      <protection locked="0"/>
    </xf>
    <xf numFmtId="0" fontId="5" fillId="2" borderId="27" xfId="0" applyFont="1" applyFill="1" applyBorder="1" applyAlignment="1" applyProtection="1">
      <alignment horizontal="left" vertical="center"/>
      <protection locked="0"/>
    </xf>
    <xf numFmtId="0" fontId="5" fillId="2" borderId="29" xfId="0" applyFont="1" applyFill="1" applyBorder="1" applyAlignment="1" applyProtection="1">
      <alignment horizontal="left" vertical="center"/>
      <protection locked="0"/>
    </xf>
    <xf numFmtId="0" fontId="5" fillId="2" borderId="38" xfId="0" applyFont="1" applyFill="1" applyBorder="1" applyAlignment="1" applyProtection="1">
      <alignment horizontal="left" vertical="center"/>
      <protection locked="0"/>
    </xf>
    <xf numFmtId="0" fontId="68" fillId="2" borderId="11" xfId="0" applyFont="1" applyFill="1" applyBorder="1" applyAlignment="1">
      <alignment horizontal="center" vertical="center" wrapText="1"/>
    </xf>
    <xf numFmtId="0" fontId="68" fillId="2" borderId="12" xfId="0" applyFont="1" applyFill="1" applyBorder="1" applyAlignment="1">
      <alignment horizontal="center" vertical="center"/>
    </xf>
    <xf numFmtId="0" fontId="68" fillId="2" borderId="13" xfId="0" applyFont="1" applyFill="1" applyBorder="1" applyAlignment="1">
      <alignment horizontal="center" vertical="center"/>
    </xf>
    <xf numFmtId="0" fontId="68" fillId="2" borderId="17" xfId="0" applyFont="1" applyFill="1" applyBorder="1" applyAlignment="1">
      <alignment horizontal="center" vertical="center"/>
    </xf>
    <xf numFmtId="0" fontId="68" fillId="2" borderId="0" xfId="0" applyFont="1" applyFill="1" applyAlignment="1">
      <alignment horizontal="center" vertical="center"/>
    </xf>
    <xf numFmtId="0" fontId="68" fillId="2" borderId="18" xfId="0" applyFont="1" applyFill="1" applyBorder="1" applyAlignment="1">
      <alignment horizontal="center" vertical="center"/>
    </xf>
    <xf numFmtId="0" fontId="68" fillId="2" borderId="21" xfId="0" applyFont="1" applyFill="1" applyBorder="1" applyAlignment="1">
      <alignment horizontal="center" vertical="center"/>
    </xf>
    <xf numFmtId="0" fontId="68" fillId="2" borderId="22" xfId="0" applyFont="1" applyFill="1" applyBorder="1" applyAlignment="1">
      <alignment horizontal="center" vertical="center"/>
    </xf>
    <xf numFmtId="0" fontId="68" fillId="2" borderId="23" xfId="0" applyFont="1" applyFill="1" applyBorder="1" applyAlignment="1">
      <alignment horizontal="center" vertical="center"/>
    </xf>
    <xf numFmtId="0" fontId="0" fillId="2" borderId="0" xfId="0" applyFill="1" applyAlignment="1">
      <alignment horizontal="center"/>
    </xf>
    <xf numFmtId="0" fontId="69" fillId="2" borderId="14" xfId="0" applyFont="1" applyFill="1" applyBorder="1" applyAlignment="1">
      <alignment horizontal="center" vertical="center" wrapText="1"/>
    </xf>
    <xf numFmtId="0" fontId="69" fillId="2" borderId="15" xfId="0" applyFont="1" applyFill="1" applyBorder="1" applyAlignment="1">
      <alignment horizontal="center" vertical="center"/>
    </xf>
    <xf numFmtId="0" fontId="69" fillId="2" borderId="16" xfId="0" applyFont="1" applyFill="1" applyBorder="1" applyAlignment="1">
      <alignment horizontal="center" vertical="center"/>
    </xf>
    <xf numFmtId="0" fontId="69" fillId="2" borderId="19" xfId="0" applyFont="1" applyFill="1" applyBorder="1" applyAlignment="1">
      <alignment horizontal="center" vertical="center"/>
    </xf>
    <xf numFmtId="0" fontId="69" fillId="2" borderId="0" xfId="0" applyFont="1" applyFill="1" applyAlignment="1">
      <alignment horizontal="center" vertical="center"/>
    </xf>
    <xf numFmtId="0" fontId="69" fillId="2" borderId="20" xfId="0" applyFont="1" applyFill="1" applyBorder="1" applyAlignment="1">
      <alignment horizontal="center" vertical="center"/>
    </xf>
    <xf numFmtId="0" fontId="69" fillId="2" borderId="24" xfId="0" applyFont="1" applyFill="1" applyBorder="1" applyAlignment="1">
      <alignment horizontal="center" vertical="center"/>
    </xf>
    <xf numFmtId="0" fontId="69" fillId="2" borderId="25" xfId="0" applyFont="1" applyFill="1" applyBorder="1" applyAlignment="1">
      <alignment horizontal="center" vertical="center"/>
    </xf>
    <xf numFmtId="0" fontId="69" fillId="2" borderId="26" xfId="0" applyFont="1" applyFill="1" applyBorder="1" applyAlignment="1">
      <alignment horizontal="center" vertical="center"/>
    </xf>
    <xf numFmtId="0" fontId="5" fillId="2" borderId="28" xfId="0" applyFont="1" applyFill="1" applyBorder="1" applyAlignment="1" applyProtection="1">
      <alignment horizontal="left" vertical="center"/>
      <protection locked="0"/>
    </xf>
    <xf numFmtId="181" fontId="5" fillId="2" borderId="38" xfId="0" applyNumberFormat="1" applyFont="1" applyFill="1" applyBorder="1" applyAlignment="1" applyProtection="1">
      <alignment horizontal="left" vertical="center"/>
      <protection locked="0"/>
    </xf>
    <xf numFmtId="0" fontId="64" fillId="0" borderId="0" xfId="0" applyFont="1" applyAlignment="1">
      <alignment horizontal="center" vertical="center"/>
    </xf>
    <xf numFmtId="0" fontId="5" fillId="2" borderId="38" xfId="0" quotePrefix="1" applyFont="1" applyFill="1" applyBorder="1" applyAlignment="1" applyProtection="1">
      <alignment horizontal="left" vertical="center"/>
      <protection locked="0"/>
    </xf>
    <xf numFmtId="0" fontId="47" fillId="0" borderId="0" xfId="7" applyFont="1" applyAlignment="1" applyProtection="1">
      <alignment horizontal="left" wrapText="1"/>
      <protection locked="0"/>
    </xf>
    <xf numFmtId="0" fontId="21" fillId="12" borderId="27" xfId="0" applyFont="1" applyFill="1" applyBorder="1" applyAlignment="1" applyProtection="1">
      <alignment horizontal="left" vertical="center" wrapText="1"/>
      <protection locked="0"/>
    </xf>
    <xf numFmtId="0" fontId="21" fillId="12" borderId="28" xfId="0" applyFont="1" applyFill="1" applyBorder="1" applyAlignment="1" applyProtection="1">
      <alignment horizontal="left" vertical="center" wrapText="1"/>
      <protection locked="0"/>
    </xf>
    <xf numFmtId="0" fontId="21" fillId="12" borderId="29" xfId="0" applyFont="1" applyFill="1" applyBorder="1" applyAlignment="1" applyProtection="1">
      <alignment horizontal="left" vertical="center" wrapText="1"/>
      <protection locked="0"/>
    </xf>
    <xf numFmtId="0" fontId="26" fillId="0" borderId="170" xfId="14" applyFont="1" applyBorder="1" applyAlignment="1">
      <alignment horizontal="center" vertical="center" textRotation="90" wrapText="1"/>
    </xf>
    <xf numFmtId="0" fontId="26" fillId="0" borderId="55" xfId="14" applyFont="1" applyBorder="1" applyAlignment="1">
      <alignment horizontal="left" vertical="top" wrapText="1"/>
    </xf>
    <xf numFmtId="0" fontId="26" fillId="0" borderId="6" xfId="14" applyFont="1" applyBorder="1" applyAlignment="1">
      <alignment horizontal="left" vertical="top" wrapText="1"/>
    </xf>
    <xf numFmtId="0" fontId="52" fillId="0" borderId="0" xfId="14" applyFont="1" applyAlignment="1">
      <alignment horizontal="left"/>
    </xf>
    <xf numFmtId="0" fontId="49" fillId="0" borderId="0" xfId="14" applyFont="1" applyAlignment="1">
      <alignment horizontal="left"/>
    </xf>
    <xf numFmtId="0" fontId="53" fillId="0" borderId="0" xfId="14" applyFont="1" applyAlignment="1">
      <alignment horizontal="left"/>
    </xf>
    <xf numFmtId="0" fontId="76" fillId="0" borderId="0" xfId="17" applyFont="1" applyAlignment="1">
      <alignment horizontal="center" vertical="center"/>
    </xf>
    <xf numFmtId="0" fontId="78" fillId="14" borderId="172" xfId="17" applyFont="1" applyFill="1" applyBorder="1" applyAlignment="1">
      <alignment horizontal="center" vertical="center" wrapText="1"/>
    </xf>
    <xf numFmtId="0" fontId="78" fillId="14" borderId="173" xfId="17" applyFont="1" applyFill="1" applyBorder="1" applyAlignment="1">
      <alignment horizontal="center" vertical="center"/>
    </xf>
    <xf numFmtId="0" fontId="78" fillId="14" borderId="174" xfId="17" applyFont="1" applyFill="1" applyBorder="1" applyAlignment="1">
      <alignment horizontal="center" vertical="center"/>
    </xf>
    <xf numFmtId="0" fontId="78" fillId="0" borderId="175" xfId="17" applyFont="1" applyBorder="1" applyAlignment="1">
      <alignment horizontal="left" vertical="center" wrapText="1"/>
    </xf>
    <xf numFmtId="0" fontId="78" fillId="0" borderId="176" xfId="17" applyFont="1" applyBorder="1" applyAlignment="1">
      <alignment horizontal="left" vertical="center" wrapText="1"/>
    </xf>
    <xf numFmtId="0" fontId="78" fillId="0" borderId="177" xfId="17" applyFont="1" applyBorder="1" applyAlignment="1">
      <alignment horizontal="left" vertical="center" wrapText="1"/>
    </xf>
    <xf numFmtId="0" fontId="78" fillId="14" borderId="178" xfId="17" applyFont="1" applyFill="1" applyBorder="1" applyAlignment="1">
      <alignment horizontal="center" vertical="center" wrapText="1"/>
    </xf>
    <xf numFmtId="0" fontId="78" fillId="14" borderId="169" xfId="17" applyFont="1" applyFill="1" applyBorder="1" applyAlignment="1">
      <alignment horizontal="center" vertical="center"/>
    </xf>
    <xf numFmtId="0" fontId="78" fillId="14" borderId="170" xfId="17" applyFont="1" applyFill="1" applyBorder="1" applyAlignment="1">
      <alignment horizontal="center" vertical="center"/>
    </xf>
    <xf numFmtId="0" fontId="80" fillId="0" borderId="168" xfId="17" applyFont="1" applyBorder="1" applyAlignment="1">
      <alignment horizontal="center" vertical="center" wrapText="1"/>
    </xf>
    <xf numFmtId="0" fontId="82" fillId="0" borderId="171" xfId="19" applyFont="1" applyBorder="1" applyAlignment="1">
      <alignment vertical="center"/>
    </xf>
    <xf numFmtId="0" fontId="82" fillId="0" borderId="169" xfId="19" applyFont="1" applyBorder="1" applyAlignment="1">
      <alignment vertical="center"/>
    </xf>
    <xf numFmtId="0" fontId="78" fillId="14" borderId="170" xfId="17" applyFont="1" applyFill="1" applyBorder="1" applyAlignment="1">
      <alignment horizontal="center" vertical="center" wrapText="1"/>
    </xf>
    <xf numFmtId="14" fontId="78" fillId="0" borderId="168" xfId="17" applyNumberFormat="1" applyFont="1" applyBorder="1" applyAlignment="1">
      <alignment horizontal="center" vertical="center"/>
    </xf>
    <xf numFmtId="0" fontId="78" fillId="0" borderId="171" xfId="17" quotePrefix="1" applyFont="1" applyBorder="1" applyAlignment="1">
      <alignment horizontal="center" vertical="center"/>
    </xf>
    <xf numFmtId="0" fontId="78" fillId="0" borderId="179" xfId="17" quotePrefix="1" applyFont="1" applyBorder="1" applyAlignment="1">
      <alignment horizontal="center" vertical="center"/>
    </xf>
    <xf numFmtId="0" fontId="78" fillId="14" borderId="180" xfId="17" applyFont="1" applyFill="1" applyBorder="1" applyAlignment="1">
      <alignment horizontal="center" vertical="center" wrapText="1"/>
    </xf>
    <xf numFmtId="0" fontId="78" fillId="14" borderId="8" xfId="17" applyFont="1" applyFill="1" applyBorder="1" applyAlignment="1">
      <alignment horizontal="center" vertical="center" wrapText="1"/>
    </xf>
    <xf numFmtId="0" fontId="78" fillId="14" borderId="37" xfId="17" applyFont="1" applyFill="1" applyBorder="1" applyAlignment="1">
      <alignment horizontal="center" vertical="center" wrapText="1"/>
    </xf>
    <xf numFmtId="0" fontId="78" fillId="14" borderId="9" xfId="17" applyFont="1" applyFill="1" applyBorder="1" applyAlignment="1">
      <alignment horizontal="center" vertical="center" wrapText="1"/>
    </xf>
    <xf numFmtId="0" fontId="78" fillId="14" borderId="0" xfId="17" applyFont="1" applyFill="1" applyAlignment="1">
      <alignment horizontal="center" vertical="center" wrapText="1"/>
    </xf>
    <xf numFmtId="0" fontId="78" fillId="14" borderId="35" xfId="17" applyFont="1" applyFill="1" applyBorder="1" applyAlignment="1">
      <alignment horizontal="center" vertical="center" wrapText="1"/>
    </xf>
    <xf numFmtId="0" fontId="78" fillId="14" borderId="182" xfId="17" applyFont="1" applyFill="1" applyBorder="1" applyAlignment="1">
      <alignment horizontal="center" vertical="center" wrapText="1"/>
    </xf>
    <xf numFmtId="0" fontId="78" fillId="14" borderId="7" xfId="17" applyFont="1" applyFill="1" applyBorder="1" applyAlignment="1">
      <alignment horizontal="center" vertical="center" wrapText="1"/>
    </xf>
    <xf numFmtId="0" fontId="78" fillId="14" borderId="36" xfId="17" applyFont="1" applyFill="1" applyBorder="1" applyAlignment="1">
      <alignment horizontal="center" vertical="center" wrapText="1"/>
    </xf>
    <xf numFmtId="0" fontId="78" fillId="0" borderId="170" xfId="17" applyFont="1" applyBorder="1" applyAlignment="1">
      <alignment horizontal="center" vertical="center" wrapText="1"/>
    </xf>
    <xf numFmtId="0" fontId="78" fillId="0" borderId="181" xfId="17" applyFont="1" applyBorder="1" applyAlignment="1">
      <alignment horizontal="center" vertical="center" wrapText="1"/>
    </xf>
    <xf numFmtId="0" fontId="78" fillId="14" borderId="8" xfId="17" applyFont="1" applyFill="1" applyBorder="1" applyAlignment="1">
      <alignment horizontal="center" vertical="center"/>
    </xf>
    <xf numFmtId="0" fontId="78" fillId="14" borderId="37" xfId="17" applyFont="1" applyFill="1" applyBorder="1" applyAlignment="1">
      <alignment horizontal="center" vertical="center"/>
    </xf>
    <xf numFmtId="0" fontId="78" fillId="14" borderId="9" xfId="17" applyFont="1" applyFill="1" applyBorder="1" applyAlignment="1">
      <alignment horizontal="center" vertical="center"/>
    </xf>
    <xf numFmtId="0" fontId="78" fillId="14" borderId="0" xfId="17" applyFont="1" applyFill="1" applyAlignment="1">
      <alignment horizontal="center" vertical="center"/>
    </xf>
    <xf numFmtId="0" fontId="78" fillId="14" borderId="35" xfId="17" applyFont="1" applyFill="1" applyBorder="1" applyAlignment="1">
      <alignment horizontal="center" vertical="center"/>
    </xf>
    <xf numFmtId="0" fontId="78" fillId="14" borderId="30" xfId="17" applyFont="1" applyFill="1" applyBorder="1" applyAlignment="1">
      <alignment horizontal="center" vertical="center"/>
    </xf>
    <xf numFmtId="0" fontId="78" fillId="14" borderId="31" xfId="17" applyFont="1" applyFill="1" applyBorder="1" applyAlignment="1">
      <alignment horizontal="center" vertical="center"/>
    </xf>
    <xf numFmtId="0" fontId="78" fillId="14" borderId="183" xfId="17" applyFont="1" applyFill="1" applyBorder="1" applyAlignment="1">
      <alignment horizontal="center" vertical="center"/>
    </xf>
    <xf numFmtId="0" fontId="78" fillId="0" borderId="55" xfId="17" applyFont="1" applyBorder="1" applyAlignment="1">
      <alignment horizontal="left" vertical="top" wrapText="1"/>
    </xf>
    <xf numFmtId="0" fontId="78" fillId="0" borderId="8" xfId="17" applyFont="1" applyBorder="1" applyAlignment="1">
      <alignment horizontal="left" vertical="top" wrapText="1"/>
    </xf>
    <xf numFmtId="0" fontId="78" fillId="0" borderId="118" xfId="17" applyFont="1" applyBorder="1" applyAlignment="1">
      <alignment horizontal="left" vertical="top" wrapText="1"/>
    </xf>
    <xf numFmtId="0" fontId="78" fillId="0" borderId="3" xfId="17" applyFont="1" applyBorder="1" applyAlignment="1">
      <alignment horizontal="left" vertical="top" wrapText="1"/>
    </xf>
    <xf numFmtId="0" fontId="78" fillId="0" borderId="0" xfId="17" applyFont="1" applyAlignment="1">
      <alignment horizontal="left" vertical="top" wrapText="1"/>
    </xf>
    <xf numFmtId="0" fontId="78" fillId="0" borderId="5" xfId="17" applyFont="1" applyBorder="1" applyAlignment="1">
      <alignment horizontal="left" vertical="top" wrapText="1"/>
    </xf>
    <xf numFmtId="0" fontId="78" fillId="0" borderId="184" xfId="17" applyFont="1" applyBorder="1" applyAlignment="1">
      <alignment horizontal="left" vertical="top" wrapText="1"/>
    </xf>
    <xf numFmtId="0" fontId="78" fillId="0" borderId="31" xfId="17" applyFont="1" applyBorder="1" applyAlignment="1">
      <alignment horizontal="left" vertical="top" wrapText="1"/>
    </xf>
    <xf numFmtId="0" fontId="78" fillId="0" borderId="32" xfId="17" applyFont="1" applyBorder="1" applyAlignment="1">
      <alignment horizontal="left" vertical="top" wrapText="1"/>
    </xf>
    <xf numFmtId="0" fontId="58" fillId="4" borderId="75" xfId="7" applyFont="1" applyFill="1" applyBorder="1" applyAlignment="1" applyProtection="1">
      <alignment horizontal="left" vertical="top" wrapText="1"/>
      <protection locked="0"/>
    </xf>
    <xf numFmtId="0" fontId="26" fillId="0" borderId="0" xfId="0" applyFont="1" applyAlignment="1">
      <alignment wrapText="1"/>
    </xf>
    <xf numFmtId="0" fontId="21" fillId="0" borderId="0" xfId="0" applyFont="1" applyAlignment="1">
      <alignment wrapText="1"/>
    </xf>
    <xf numFmtId="0" fontId="21" fillId="8" borderId="0" xfId="0" applyFont="1" applyFill="1" applyAlignment="1">
      <alignment horizontal="left" vertical="center" shrinkToFit="1"/>
    </xf>
    <xf numFmtId="0" fontId="21" fillId="8" borderId="5" xfId="0" applyFont="1" applyFill="1" applyBorder="1" applyAlignment="1">
      <alignment horizontal="left" vertical="center" shrinkToFit="1"/>
    </xf>
    <xf numFmtId="0" fontId="21" fillId="8" borderId="7" xfId="0" applyFont="1" applyFill="1" applyBorder="1" applyAlignment="1">
      <alignment horizontal="left" vertical="center" shrinkToFit="1"/>
    </xf>
    <xf numFmtId="0" fontId="21" fillId="8" borderId="62" xfId="0" applyFont="1" applyFill="1" applyBorder="1" applyAlignment="1">
      <alignment horizontal="left" vertical="center" shrinkToFit="1"/>
    </xf>
    <xf numFmtId="0" fontId="21" fillId="6" borderId="0" xfId="0" applyFont="1" applyFill="1" applyAlignment="1">
      <alignment horizontal="left" vertical="center" shrinkToFit="1"/>
    </xf>
    <xf numFmtId="0" fontId="21" fillId="6" borderId="5" xfId="0" applyFont="1" applyFill="1" applyBorder="1" applyAlignment="1">
      <alignment horizontal="left" vertical="center" shrinkToFit="1"/>
    </xf>
    <xf numFmtId="0" fontId="21" fillId="6" borderId="7" xfId="0" applyFont="1" applyFill="1" applyBorder="1" applyAlignment="1">
      <alignment horizontal="left" vertical="center" shrinkToFit="1"/>
    </xf>
    <xf numFmtId="0" fontId="21" fillId="6" borderId="62" xfId="0" applyFont="1" applyFill="1" applyBorder="1" applyAlignment="1">
      <alignment horizontal="left" vertical="center" shrinkToFit="1"/>
    </xf>
  </cellXfs>
  <cellStyles count="21">
    <cellStyle name="Euro" xfId="4" xr:uid="{00000000-0005-0000-0000-000000000000}"/>
    <cellStyle name="Euro 2" xfId="9" xr:uid="{00000000-0005-0000-0000-000001000000}"/>
    <cellStyle name="Moneda_110331_Berechnungsblatt_Risikobewertung_01_EN" xfId="12" xr:uid="{00000000-0005-0000-0000-000004000000}"/>
    <cellStyle name="Normal 2" xfId="5" xr:uid="{00000000-0005-0000-0000-000006000000}"/>
    <cellStyle name="Normál 2" xfId="13" xr:uid="{00000000-0005-0000-0000-000007000000}"/>
    <cellStyle name="Normál 3" xfId="15" xr:uid="{00000000-0005-0000-0000-000008000000}"/>
    <cellStyle name="Normal 4" xfId="2" xr:uid="{00000000-0005-0000-0000-000009000000}"/>
    <cellStyle name="Normal_110331_Berechnungsblatt_Risikobewertung_01_EN" xfId="11" xr:uid="{00000000-0005-0000-0000-00000A000000}"/>
    <cellStyle name="Prozent 2" xfId="6" xr:uid="{00000000-0005-0000-0000-00000B000000}"/>
    <cellStyle name="Standard 2" xfId="3" xr:uid="{00000000-0005-0000-0000-00000C000000}"/>
    <cellStyle name="Standard 2 2" xfId="7" xr:uid="{00000000-0005-0000-0000-00000D000000}"/>
    <cellStyle name="Standard 2 3" xfId="14" xr:uid="{00000000-0005-0000-0000-00000E000000}"/>
    <cellStyle name="Standard 3" xfId="8" xr:uid="{00000000-0005-0000-0000-00000F000000}"/>
    <cellStyle name="Standard 4" xfId="10" xr:uid="{00000000-0005-0000-0000-000010000000}"/>
    <cellStyle name="쉼표 [0]" xfId="16" builtinId="6"/>
    <cellStyle name="표준" xfId="0" builtinId="0"/>
    <cellStyle name="표준 2" xfId="18" xr:uid="{00000000-0005-0000-0000-000011000000}"/>
    <cellStyle name="표준 6" xfId="19" xr:uid="{00000000-0005-0000-0000-000012000000}"/>
    <cellStyle name="표준_(동아전장) 품질회의_090224-1차의 워크시트 2" xfId="20" xr:uid="{00000000-0005-0000-0000-000013000000}"/>
    <cellStyle name="표준_200016722_그로메트 찢어짐 불량_D8_20090116 2" xfId="17" xr:uid="{00000000-0005-0000-0000-000014000000}"/>
    <cellStyle name="하이퍼링크" xfId="1" builtinId="8"/>
  </cellStyles>
  <dxfs count="41">
    <dxf>
      <fill>
        <patternFill>
          <bgColor rgb="FFEAEDF6"/>
        </patternFill>
      </fill>
    </dxf>
    <dxf>
      <fill>
        <patternFill>
          <bgColor rgb="FFEAEDF6"/>
        </patternFill>
      </fill>
    </dxf>
    <dxf>
      <fill>
        <patternFill>
          <bgColor rgb="FFEAEDF6"/>
        </patternFill>
      </fill>
    </dxf>
    <dxf>
      <fill>
        <patternFill>
          <bgColor rgb="FFEAEDF6"/>
        </patternFill>
      </fill>
    </dxf>
    <dxf>
      <fill>
        <patternFill>
          <bgColor rgb="FFEAEDF6"/>
        </patternFill>
      </fill>
    </dxf>
    <dxf>
      <fill>
        <patternFill>
          <bgColor rgb="FFEAEDF6"/>
        </patternFill>
      </fill>
    </dxf>
    <dxf>
      <fill>
        <patternFill>
          <bgColor rgb="FFEAEDF6"/>
        </patternFill>
      </fill>
    </dxf>
    <dxf>
      <fill>
        <patternFill>
          <bgColor rgb="FFEAEDF6"/>
        </patternFill>
      </fill>
    </dxf>
    <dxf>
      <fill>
        <patternFill>
          <bgColor rgb="FFEAEDF6"/>
        </patternFill>
      </fill>
    </dxf>
    <dxf>
      <fill>
        <patternFill>
          <bgColor rgb="FFEAEDF6"/>
        </patternFill>
      </fill>
    </dxf>
    <dxf>
      <fill>
        <patternFill>
          <bgColor rgb="FFEAEDF6"/>
        </patternFill>
      </fill>
    </dxf>
    <dxf>
      <fill>
        <patternFill>
          <bgColor rgb="FFEAEDF6"/>
        </patternFill>
      </fill>
    </dxf>
    <dxf>
      <fill>
        <patternFill>
          <bgColor rgb="FFEAEDF6"/>
        </patternFill>
      </fill>
    </dxf>
    <dxf>
      <fill>
        <patternFill>
          <bgColor rgb="FFEAEDF6"/>
        </patternFill>
      </fill>
    </dxf>
    <dxf>
      <fill>
        <patternFill>
          <bgColor rgb="FFEAEDF6"/>
        </patternFill>
      </fill>
    </dxf>
    <dxf>
      <fill>
        <patternFill>
          <bgColor rgb="FFEAEDF6"/>
        </patternFill>
      </fill>
    </dxf>
    <dxf>
      <fill>
        <patternFill>
          <bgColor rgb="FFEAEDF6"/>
        </patternFill>
      </fill>
    </dxf>
    <dxf>
      <fill>
        <patternFill>
          <bgColor rgb="FFEAEDF6"/>
        </patternFill>
      </fill>
    </dxf>
    <dxf>
      <fill>
        <patternFill>
          <bgColor rgb="FFEAEDF6"/>
        </patternFill>
      </fill>
    </dxf>
    <dxf>
      <fill>
        <patternFill>
          <bgColor rgb="FFEAEDF6"/>
        </patternFill>
      </fill>
    </dxf>
    <dxf>
      <fill>
        <patternFill>
          <bgColor rgb="FFEAEDF6"/>
        </patternFill>
      </fill>
    </dxf>
    <dxf>
      <fill>
        <patternFill>
          <bgColor rgb="FFEAEDF6"/>
        </patternFill>
      </fill>
    </dxf>
    <dxf>
      <fill>
        <patternFill>
          <bgColor rgb="FFEAEDF6"/>
        </patternFill>
      </fill>
    </dxf>
    <dxf>
      <fill>
        <patternFill>
          <bgColor rgb="FFEAEDF6"/>
        </patternFill>
      </fill>
    </dxf>
    <dxf>
      <fill>
        <patternFill>
          <bgColor rgb="FFEAEDF6"/>
        </patternFill>
      </fill>
    </dxf>
    <dxf>
      <fill>
        <patternFill>
          <bgColor rgb="FFEAEDF6"/>
        </patternFill>
      </fill>
    </dxf>
    <dxf>
      <fill>
        <patternFill>
          <bgColor rgb="FFEAEDF6"/>
        </patternFill>
      </fill>
    </dxf>
    <dxf>
      <fill>
        <patternFill>
          <bgColor rgb="FFEAEDF6"/>
        </patternFill>
      </fill>
    </dxf>
    <dxf>
      <fill>
        <patternFill>
          <bgColor rgb="FFEAEDF6"/>
        </patternFill>
      </fill>
    </dxf>
    <dxf>
      <fill>
        <patternFill>
          <bgColor rgb="FFEAEDF6"/>
        </patternFill>
      </fill>
    </dxf>
    <dxf>
      <fill>
        <patternFill>
          <bgColor rgb="FFEAEDF6"/>
        </patternFill>
      </fill>
    </dxf>
    <dxf>
      <fill>
        <patternFill>
          <bgColor rgb="FFEAEDF6"/>
        </patternFill>
      </fill>
    </dxf>
    <dxf>
      <fill>
        <patternFill>
          <bgColor rgb="FFEAEDF6"/>
        </patternFill>
      </fill>
    </dxf>
    <dxf>
      <fill>
        <patternFill>
          <bgColor rgb="FFEAEDF6"/>
        </patternFill>
      </fill>
    </dxf>
    <dxf>
      <fill>
        <patternFill>
          <bgColor rgb="FFEAEDF6"/>
        </patternFill>
      </fill>
    </dxf>
    <dxf>
      <fill>
        <patternFill>
          <bgColor rgb="FFEAEDF6"/>
        </patternFill>
      </fill>
    </dxf>
    <dxf>
      <fill>
        <patternFill>
          <bgColor rgb="FFEAEDF6"/>
        </patternFill>
      </fill>
    </dxf>
    <dxf>
      <fill>
        <patternFill>
          <bgColor rgb="FFEAEDF6"/>
        </patternFill>
      </fill>
    </dxf>
    <dxf>
      <fill>
        <patternFill>
          <bgColor rgb="FFEAEDF6"/>
        </patternFill>
      </fill>
    </dxf>
    <dxf>
      <fill>
        <patternFill>
          <bgColor rgb="FFEAEDF6"/>
        </patternFill>
      </fill>
    </dxf>
    <dxf>
      <fill>
        <patternFill>
          <bgColor rgb="FFEAEDF6"/>
        </patternFill>
      </fill>
    </dxf>
  </dxfs>
  <tableStyles count="0" defaultTableStyle="TableStyleMedium9" defaultPivotStyle="PivotStyleLight16"/>
  <colors>
    <mruColors>
      <color rgb="FF0000FF"/>
      <color rgb="FF00FF00"/>
      <color rgb="FFFFFF99"/>
      <color rgb="FFEAEDF6"/>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sharedStrings" Target="sharedStrings.xml"/><Relationship Id="rId3" Type="http://schemas.openxmlformats.org/officeDocument/2006/relationships/worksheet" Target="worksheets/sheet3.xml"/><Relationship Id="rId7" Type="http://schemas.openxmlformats.org/officeDocument/2006/relationships/styles" Target="styles.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theme" Target="theme/theme1.xml"/><Relationship Id="rId5" Type="http://schemas.openxmlformats.org/officeDocument/2006/relationships/worksheet" Target="worksheets/sheet5.xml"/><Relationship Id="rId4" Type="http://schemas.openxmlformats.org/officeDocument/2006/relationships/worksheet" Target="worksheets/sheet4.xml"/><Relationship Id="rId9" Type="http://schemas.openxmlformats.org/officeDocument/2006/relationships/calcChain" Target="calcChain.xml"/></Relationships>
</file>

<file path=xl/ctrlProps/ctrlProp1.xml><?xml version="1.0" encoding="utf-8"?>
<formControlPr xmlns="http://schemas.microsoft.com/office/spreadsheetml/2009/9/main" objectType="Drop" dropLines="15" dropStyle="combo" dx="16" fmlaRange="$G$1:$G$15" sel="12" val="0"/>
</file>

<file path=xl/drawings/_rels/drawing1.xml.rels><?xml version="1.0" encoding="UTF-8" standalone="yes"?>
<Relationships xmlns="http://schemas.openxmlformats.org/package/2006/relationships"><Relationship Id="rId3" Type="http://schemas.openxmlformats.org/officeDocument/2006/relationships/image" Target="../media/image3.png"/><Relationship Id="rId2" Type="http://schemas.openxmlformats.org/officeDocument/2006/relationships/image" Target="../media/image2.png"/><Relationship Id="rId1" Type="http://schemas.openxmlformats.org/officeDocument/2006/relationships/image" Target="../media/image1.png"/><Relationship Id="rId6" Type="http://schemas.openxmlformats.org/officeDocument/2006/relationships/image" Target="../media/image5.png"/><Relationship Id="rId5" Type="http://schemas.openxmlformats.org/officeDocument/2006/relationships/image" Target="../media/image4.png"/><Relationship Id="rId4" Type="http://schemas.microsoft.com/office/2007/relationships/hdphoto" Target="../media/hdphoto1.wdp"/></Relationships>
</file>

<file path=xl/drawings/_rels/drawing2.xml.rels><?xml version="1.0" encoding="UTF-8" standalone="yes"?>
<Relationships xmlns="http://schemas.openxmlformats.org/package/2006/relationships"><Relationship Id="rId2" Type="http://schemas.openxmlformats.org/officeDocument/2006/relationships/image" Target="../media/image1.png"/><Relationship Id="rId1" Type="http://schemas.openxmlformats.org/officeDocument/2006/relationships/image" Target="../media/image6.emf"/></Relationships>
</file>

<file path=xl/drawings/_rels/drawing4.xml.rels><?xml version="1.0" encoding="UTF-8" standalone="yes"?>
<Relationships xmlns="http://schemas.openxmlformats.org/package/2006/relationships"><Relationship Id="rId1" Type="http://schemas.openxmlformats.org/officeDocument/2006/relationships/image" Target="../media/image1.png"/></Relationships>
</file>

<file path=xl/drawings/_rels/drawing5.xml.rels><?xml version="1.0" encoding="UTF-8" standalone="yes"?>
<Relationships xmlns="http://schemas.openxmlformats.org/package/2006/relationships"><Relationship Id="rId2" Type="http://schemas.openxmlformats.org/officeDocument/2006/relationships/image" Target="../media/image8.png"/><Relationship Id="rId1" Type="http://schemas.openxmlformats.org/officeDocument/2006/relationships/image" Target="../media/image7.png"/></Relationships>
</file>

<file path=xl/drawings/drawing1.xml><?xml version="1.0" encoding="utf-8"?>
<xdr:wsDr xmlns:xdr="http://schemas.openxmlformats.org/drawingml/2006/spreadsheetDrawing" xmlns:a="http://schemas.openxmlformats.org/drawingml/2006/main">
  <xdr:twoCellAnchor>
    <xdr:from>
      <xdr:col>28</xdr:col>
      <xdr:colOff>402804</xdr:colOff>
      <xdr:row>72</xdr:row>
      <xdr:rowOff>43889</xdr:rowOff>
    </xdr:from>
    <xdr:to>
      <xdr:col>41</xdr:col>
      <xdr:colOff>263105</xdr:colOff>
      <xdr:row>72</xdr:row>
      <xdr:rowOff>43890</xdr:rowOff>
    </xdr:to>
    <xdr:sp macro="" textlink="">
      <xdr:nvSpPr>
        <xdr:cNvPr id="42" name="Line 49">
          <a:extLst>
            <a:ext uri="{FF2B5EF4-FFF2-40B4-BE49-F238E27FC236}">
              <a16:creationId xmlns:a16="http://schemas.microsoft.com/office/drawing/2014/main" id="{00000000-0008-0000-0000-00002A000000}"/>
            </a:ext>
          </a:extLst>
        </xdr:cNvPr>
        <xdr:cNvSpPr>
          <a:spLocks noChangeShapeType="1"/>
        </xdr:cNvSpPr>
      </xdr:nvSpPr>
      <xdr:spPr bwMode="auto">
        <a:xfrm>
          <a:off x="12774098" y="9770595"/>
          <a:ext cx="9329272" cy="1"/>
        </a:xfrm>
        <a:prstGeom prst="line">
          <a:avLst/>
        </a:prstGeom>
        <a:noFill/>
        <a:ln w="31750">
          <a:solidFill>
            <a:schemeClr val="tx1"/>
          </a:solidFill>
          <a:round/>
          <a:headEnd/>
          <a:tailEnd type="triangle" w="lg" len="lg"/>
        </a:ln>
        <a:effectLst/>
      </xdr:spPr>
      <xdr:txBody>
        <a:bodyPr wrap="square" anchor="ctr"/>
        <a:lstStyle>
          <a:defPPr>
            <a:defRPr lang="de-DE"/>
          </a:defPPr>
          <a:lvl1pPr algn="l" rtl="0" eaLnBrk="0" fontAlgn="base" hangingPunct="0">
            <a:spcBef>
              <a:spcPct val="0"/>
            </a:spcBef>
            <a:spcAft>
              <a:spcPct val="0"/>
            </a:spcAft>
            <a:defRPr kern="1200">
              <a:solidFill>
                <a:schemeClr val="tx1"/>
              </a:solidFill>
              <a:latin typeface="Bosch Office Sans" pitchFamily="34" charset="0"/>
              <a:ea typeface="+mn-ea"/>
              <a:cs typeface="+mn-cs"/>
            </a:defRPr>
          </a:lvl1pPr>
          <a:lvl2pPr marL="457200" algn="l" rtl="0" eaLnBrk="0" fontAlgn="base" hangingPunct="0">
            <a:spcBef>
              <a:spcPct val="0"/>
            </a:spcBef>
            <a:spcAft>
              <a:spcPct val="0"/>
            </a:spcAft>
            <a:defRPr kern="1200">
              <a:solidFill>
                <a:schemeClr val="tx1"/>
              </a:solidFill>
              <a:latin typeface="Bosch Office Sans" pitchFamily="34" charset="0"/>
              <a:ea typeface="+mn-ea"/>
              <a:cs typeface="+mn-cs"/>
            </a:defRPr>
          </a:lvl2pPr>
          <a:lvl3pPr marL="914400" algn="l" rtl="0" eaLnBrk="0" fontAlgn="base" hangingPunct="0">
            <a:spcBef>
              <a:spcPct val="0"/>
            </a:spcBef>
            <a:spcAft>
              <a:spcPct val="0"/>
            </a:spcAft>
            <a:defRPr kern="1200">
              <a:solidFill>
                <a:schemeClr val="tx1"/>
              </a:solidFill>
              <a:latin typeface="Bosch Office Sans" pitchFamily="34" charset="0"/>
              <a:ea typeface="+mn-ea"/>
              <a:cs typeface="+mn-cs"/>
            </a:defRPr>
          </a:lvl3pPr>
          <a:lvl4pPr marL="1371600" algn="l" rtl="0" eaLnBrk="0" fontAlgn="base" hangingPunct="0">
            <a:spcBef>
              <a:spcPct val="0"/>
            </a:spcBef>
            <a:spcAft>
              <a:spcPct val="0"/>
            </a:spcAft>
            <a:defRPr kern="1200">
              <a:solidFill>
                <a:schemeClr val="tx1"/>
              </a:solidFill>
              <a:latin typeface="Bosch Office Sans" pitchFamily="34" charset="0"/>
              <a:ea typeface="+mn-ea"/>
              <a:cs typeface="+mn-cs"/>
            </a:defRPr>
          </a:lvl4pPr>
          <a:lvl5pPr marL="1828800" algn="l" rtl="0" eaLnBrk="0" fontAlgn="base" hangingPunct="0">
            <a:spcBef>
              <a:spcPct val="0"/>
            </a:spcBef>
            <a:spcAft>
              <a:spcPct val="0"/>
            </a:spcAft>
            <a:defRPr kern="1200">
              <a:solidFill>
                <a:schemeClr val="tx1"/>
              </a:solidFill>
              <a:latin typeface="Bosch Office Sans" pitchFamily="34" charset="0"/>
              <a:ea typeface="+mn-ea"/>
              <a:cs typeface="+mn-cs"/>
            </a:defRPr>
          </a:lvl5pPr>
          <a:lvl6pPr marL="2286000" algn="l" defTabSz="914400" rtl="0" eaLnBrk="1" latinLnBrk="0" hangingPunct="1">
            <a:defRPr kern="1200">
              <a:solidFill>
                <a:schemeClr val="tx1"/>
              </a:solidFill>
              <a:latin typeface="Bosch Office Sans" pitchFamily="34" charset="0"/>
              <a:ea typeface="+mn-ea"/>
              <a:cs typeface="+mn-cs"/>
            </a:defRPr>
          </a:lvl6pPr>
          <a:lvl7pPr marL="2743200" algn="l" defTabSz="914400" rtl="0" eaLnBrk="1" latinLnBrk="0" hangingPunct="1">
            <a:defRPr kern="1200">
              <a:solidFill>
                <a:schemeClr val="tx1"/>
              </a:solidFill>
              <a:latin typeface="Bosch Office Sans" pitchFamily="34" charset="0"/>
              <a:ea typeface="+mn-ea"/>
              <a:cs typeface="+mn-cs"/>
            </a:defRPr>
          </a:lvl7pPr>
          <a:lvl8pPr marL="3200400" algn="l" defTabSz="914400" rtl="0" eaLnBrk="1" latinLnBrk="0" hangingPunct="1">
            <a:defRPr kern="1200">
              <a:solidFill>
                <a:schemeClr val="tx1"/>
              </a:solidFill>
              <a:latin typeface="Bosch Office Sans" pitchFamily="34" charset="0"/>
              <a:ea typeface="+mn-ea"/>
              <a:cs typeface="+mn-cs"/>
            </a:defRPr>
          </a:lvl8pPr>
          <a:lvl9pPr marL="3657600" algn="l" defTabSz="914400" rtl="0" eaLnBrk="1" latinLnBrk="0" hangingPunct="1">
            <a:defRPr kern="1200">
              <a:solidFill>
                <a:schemeClr val="tx1"/>
              </a:solidFill>
              <a:latin typeface="Bosch Office Sans" pitchFamily="34" charset="0"/>
              <a:ea typeface="+mn-ea"/>
              <a:cs typeface="+mn-cs"/>
            </a:defRPr>
          </a:lvl9pPr>
        </a:lstStyle>
        <a:p>
          <a:endParaRPr lang="de-DE"/>
        </a:p>
      </xdr:txBody>
    </xdr:sp>
    <xdr:clientData/>
  </xdr:twoCellAnchor>
  <xdr:twoCellAnchor>
    <xdr:from>
      <xdr:col>30</xdr:col>
      <xdr:colOff>190500</xdr:colOff>
      <xdr:row>71</xdr:row>
      <xdr:rowOff>0</xdr:rowOff>
    </xdr:from>
    <xdr:to>
      <xdr:col>30</xdr:col>
      <xdr:colOff>392206</xdr:colOff>
      <xdr:row>72</xdr:row>
      <xdr:rowOff>33618</xdr:rowOff>
    </xdr:to>
    <xdr:cxnSp macro="">
      <xdr:nvCxnSpPr>
        <xdr:cNvPr id="43" name="Gerade Verbindung mit Pfeil 58">
          <a:extLst>
            <a:ext uri="{FF2B5EF4-FFF2-40B4-BE49-F238E27FC236}">
              <a16:creationId xmlns:a16="http://schemas.microsoft.com/office/drawing/2014/main" id="{00000000-0008-0000-0000-00002B000000}"/>
            </a:ext>
          </a:extLst>
        </xdr:cNvPr>
        <xdr:cNvCxnSpPr/>
      </xdr:nvCxnSpPr>
      <xdr:spPr>
        <a:xfrm>
          <a:off x="14018559" y="9233647"/>
          <a:ext cx="201706" cy="526677"/>
        </a:xfrm>
        <a:prstGeom prst="straightConnector1">
          <a:avLst/>
        </a:prstGeom>
        <a:ln w="25400">
          <a:solidFill>
            <a:schemeClr val="tx1"/>
          </a:solidFill>
          <a:tailEnd type="triangle" w="med" len="lg"/>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35</xdr:col>
      <xdr:colOff>178593</xdr:colOff>
      <xdr:row>71</xdr:row>
      <xdr:rowOff>11906</xdr:rowOff>
    </xdr:from>
    <xdr:to>
      <xdr:col>35</xdr:col>
      <xdr:colOff>308043</xdr:colOff>
      <xdr:row>72</xdr:row>
      <xdr:rowOff>40532</xdr:rowOff>
    </xdr:to>
    <xdr:cxnSp macro="">
      <xdr:nvCxnSpPr>
        <xdr:cNvPr id="44" name="Gerade Verbindung mit Pfeil 59">
          <a:extLst>
            <a:ext uri="{FF2B5EF4-FFF2-40B4-BE49-F238E27FC236}">
              <a16:creationId xmlns:a16="http://schemas.microsoft.com/office/drawing/2014/main" id="{00000000-0008-0000-0000-00002C000000}"/>
            </a:ext>
          </a:extLst>
        </xdr:cNvPr>
        <xdr:cNvCxnSpPr/>
      </xdr:nvCxnSpPr>
      <xdr:spPr>
        <a:xfrm>
          <a:off x="17518146" y="9423417"/>
          <a:ext cx="129450" cy="523115"/>
        </a:xfrm>
        <a:prstGeom prst="straightConnector1">
          <a:avLst/>
        </a:prstGeom>
        <a:ln w="25400">
          <a:solidFill>
            <a:schemeClr val="tx1"/>
          </a:solidFill>
          <a:tailEnd type="triangle" w="med" len="lg"/>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40</xdr:col>
      <xdr:colOff>178593</xdr:colOff>
      <xdr:row>71</xdr:row>
      <xdr:rowOff>11905</xdr:rowOff>
    </xdr:from>
    <xdr:to>
      <xdr:col>40</xdr:col>
      <xdr:colOff>316149</xdr:colOff>
      <xdr:row>72</xdr:row>
      <xdr:rowOff>56745</xdr:rowOff>
    </xdr:to>
    <xdr:cxnSp macro="">
      <xdr:nvCxnSpPr>
        <xdr:cNvPr id="45" name="Gerade Verbindung mit Pfeil 60">
          <a:extLst>
            <a:ext uri="{FF2B5EF4-FFF2-40B4-BE49-F238E27FC236}">
              <a16:creationId xmlns:a16="http://schemas.microsoft.com/office/drawing/2014/main" id="{00000000-0008-0000-0000-00002D000000}"/>
            </a:ext>
          </a:extLst>
        </xdr:cNvPr>
        <xdr:cNvCxnSpPr/>
      </xdr:nvCxnSpPr>
      <xdr:spPr>
        <a:xfrm>
          <a:off x="21145753" y="9423416"/>
          <a:ext cx="137556" cy="539329"/>
        </a:xfrm>
        <a:prstGeom prst="straightConnector1">
          <a:avLst/>
        </a:prstGeom>
        <a:ln w="25400">
          <a:solidFill>
            <a:schemeClr val="tx1"/>
          </a:solidFill>
          <a:tailEnd type="triangle" w="med" len="lg"/>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30</xdr:col>
      <xdr:colOff>190500</xdr:colOff>
      <xdr:row>72</xdr:row>
      <xdr:rowOff>48638</xdr:rowOff>
    </xdr:from>
    <xdr:to>
      <xdr:col>30</xdr:col>
      <xdr:colOff>385053</xdr:colOff>
      <xdr:row>75</xdr:row>
      <xdr:rowOff>154782</xdr:rowOff>
    </xdr:to>
    <xdr:cxnSp macro="">
      <xdr:nvCxnSpPr>
        <xdr:cNvPr id="46" name="Gerade Verbindung mit Pfeil 61">
          <a:extLst>
            <a:ext uri="{FF2B5EF4-FFF2-40B4-BE49-F238E27FC236}">
              <a16:creationId xmlns:a16="http://schemas.microsoft.com/office/drawing/2014/main" id="{00000000-0008-0000-0000-00002E000000}"/>
            </a:ext>
          </a:extLst>
        </xdr:cNvPr>
        <xdr:cNvCxnSpPr/>
      </xdr:nvCxnSpPr>
      <xdr:spPr>
        <a:xfrm flipV="1">
          <a:off x="13902447" y="9954638"/>
          <a:ext cx="194553" cy="592527"/>
        </a:xfrm>
        <a:prstGeom prst="straightConnector1">
          <a:avLst/>
        </a:prstGeom>
        <a:ln w="25400">
          <a:solidFill>
            <a:schemeClr val="tx1"/>
          </a:solidFill>
          <a:tailEnd type="triangle" w="med" len="lg"/>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35</xdr:col>
      <xdr:colOff>166687</xdr:colOff>
      <xdr:row>72</xdr:row>
      <xdr:rowOff>56745</xdr:rowOff>
    </xdr:from>
    <xdr:to>
      <xdr:col>35</xdr:col>
      <xdr:colOff>299936</xdr:colOff>
      <xdr:row>75</xdr:row>
      <xdr:rowOff>142873</xdr:rowOff>
    </xdr:to>
    <xdr:cxnSp macro="">
      <xdr:nvCxnSpPr>
        <xdr:cNvPr id="47" name="Gerade Verbindung mit Pfeil 62">
          <a:extLst>
            <a:ext uri="{FF2B5EF4-FFF2-40B4-BE49-F238E27FC236}">
              <a16:creationId xmlns:a16="http://schemas.microsoft.com/office/drawing/2014/main" id="{00000000-0008-0000-0000-00002F000000}"/>
            </a:ext>
          </a:extLst>
        </xdr:cNvPr>
        <xdr:cNvCxnSpPr/>
      </xdr:nvCxnSpPr>
      <xdr:spPr>
        <a:xfrm flipV="1">
          <a:off x="17506240" y="9962745"/>
          <a:ext cx="133249" cy="572511"/>
        </a:xfrm>
        <a:prstGeom prst="straightConnector1">
          <a:avLst/>
        </a:prstGeom>
        <a:ln w="25400">
          <a:solidFill>
            <a:schemeClr val="tx1"/>
          </a:solidFill>
          <a:tailEnd type="triangle" w="med" len="lg"/>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40</xdr:col>
      <xdr:colOff>166687</xdr:colOff>
      <xdr:row>72</xdr:row>
      <xdr:rowOff>60798</xdr:rowOff>
    </xdr:from>
    <xdr:to>
      <xdr:col>40</xdr:col>
      <xdr:colOff>303989</xdr:colOff>
      <xdr:row>75</xdr:row>
      <xdr:rowOff>154779</xdr:rowOff>
    </xdr:to>
    <xdr:cxnSp macro="">
      <xdr:nvCxnSpPr>
        <xdr:cNvPr id="48" name="Gerade Verbindung mit Pfeil 63">
          <a:extLst>
            <a:ext uri="{FF2B5EF4-FFF2-40B4-BE49-F238E27FC236}">
              <a16:creationId xmlns:a16="http://schemas.microsoft.com/office/drawing/2014/main" id="{00000000-0008-0000-0000-000030000000}"/>
            </a:ext>
          </a:extLst>
        </xdr:cNvPr>
        <xdr:cNvCxnSpPr/>
      </xdr:nvCxnSpPr>
      <xdr:spPr>
        <a:xfrm flipV="1">
          <a:off x="21133847" y="9966798"/>
          <a:ext cx="137302" cy="580364"/>
        </a:xfrm>
        <a:prstGeom prst="straightConnector1">
          <a:avLst/>
        </a:prstGeom>
        <a:ln w="25400">
          <a:solidFill>
            <a:schemeClr val="tx1"/>
          </a:solidFill>
          <a:tailEnd type="triangle" w="med" len="lg"/>
        </a:ln>
      </xdr:spPr>
      <xdr:style>
        <a:lnRef idx="1">
          <a:schemeClr val="accent1"/>
        </a:lnRef>
        <a:fillRef idx="0">
          <a:schemeClr val="accent1"/>
        </a:fillRef>
        <a:effectRef idx="0">
          <a:schemeClr val="accent1"/>
        </a:effectRef>
        <a:fontRef idx="minor">
          <a:schemeClr val="tx1"/>
        </a:fontRef>
      </xdr:style>
    </xdr:cxnSp>
    <xdr:clientData/>
  </xdr:twoCellAnchor>
  <mc:AlternateContent xmlns:mc="http://schemas.openxmlformats.org/markup-compatibility/2006">
    <mc:Choice xmlns:a14="http://schemas.microsoft.com/office/drawing/2010/main" Requires="a14">
      <xdr:twoCellAnchor editAs="oneCell">
        <xdr:from>
          <xdr:col>1</xdr:col>
          <xdr:colOff>28575</xdr:colOff>
          <xdr:row>103</xdr:row>
          <xdr:rowOff>9525</xdr:rowOff>
        </xdr:from>
        <xdr:to>
          <xdr:col>5</xdr:col>
          <xdr:colOff>0</xdr:colOff>
          <xdr:row>104</xdr:row>
          <xdr:rowOff>66675</xdr:rowOff>
        </xdr:to>
        <xdr:sp macro="" textlink="">
          <xdr:nvSpPr>
            <xdr:cNvPr id="1032" name="Drop Down 8" hidden="1">
              <a:extLst>
                <a:ext uri="{63B3BB69-23CF-44E3-9099-C40C66FF867C}">
                  <a14:compatExt spid="_x0000_s1032"/>
                </a:ext>
                <a:ext uri="{FF2B5EF4-FFF2-40B4-BE49-F238E27FC236}">
                  <a16:creationId xmlns:a16="http://schemas.microsoft.com/office/drawing/2014/main" id="{00000000-0008-0000-0000-000008040000}"/>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xdr:twoCellAnchor editAs="oneCell">
    <xdr:from>
      <xdr:col>1</xdr:col>
      <xdr:colOff>40105</xdr:colOff>
      <xdr:row>18</xdr:row>
      <xdr:rowOff>80210</xdr:rowOff>
    </xdr:from>
    <xdr:to>
      <xdr:col>6</xdr:col>
      <xdr:colOff>315831</xdr:colOff>
      <xdr:row>25</xdr:row>
      <xdr:rowOff>120316</xdr:rowOff>
    </xdr:to>
    <xdr:pic>
      <xdr:nvPicPr>
        <xdr:cNvPr id="3" name="Kép 2">
          <a:extLst>
            <a:ext uri="{FF2B5EF4-FFF2-40B4-BE49-F238E27FC236}">
              <a16:creationId xmlns:a16="http://schemas.microsoft.com/office/drawing/2014/main" id="{00000000-0008-0000-0000-000003000000}"/>
            </a:ext>
          </a:extLst>
        </xdr:cNvPr>
        <xdr:cNvPicPr>
          <a:picLocks noChangeAspect="1"/>
        </xdr:cNvPicPr>
      </xdr:nvPicPr>
      <xdr:blipFill>
        <a:blip xmlns:r="http://schemas.openxmlformats.org/officeDocument/2006/relationships" r:embed="rId1"/>
        <a:stretch>
          <a:fillRect/>
        </a:stretch>
      </xdr:blipFill>
      <xdr:spPr>
        <a:xfrm>
          <a:off x="220579" y="1062789"/>
          <a:ext cx="2972805" cy="1153027"/>
        </a:xfrm>
        <a:prstGeom prst="rect">
          <a:avLst/>
        </a:prstGeom>
      </xdr:spPr>
    </xdr:pic>
    <xdr:clientData/>
  </xdr:twoCellAnchor>
  <xdr:twoCellAnchor editAs="oneCell">
    <xdr:from>
      <xdr:col>21</xdr:col>
      <xdr:colOff>298637</xdr:colOff>
      <xdr:row>170</xdr:row>
      <xdr:rowOff>11207</xdr:rowOff>
    </xdr:from>
    <xdr:to>
      <xdr:col>22</xdr:col>
      <xdr:colOff>246383</xdr:colOff>
      <xdr:row>171</xdr:row>
      <xdr:rowOff>178468</xdr:rowOff>
    </xdr:to>
    <xdr:pic>
      <xdr:nvPicPr>
        <xdr:cNvPr id="4" name="Picture 14">
          <a:extLst>
            <a:ext uri="{FF2B5EF4-FFF2-40B4-BE49-F238E27FC236}">
              <a16:creationId xmlns:a16="http://schemas.microsoft.com/office/drawing/2014/main" id="{00000000-0008-0000-0000-000004000000}"/>
            </a:ext>
          </a:extLst>
        </xdr:cNvPr>
        <xdr:cNvPicPr>
          <a:picLocks noChangeAspect="1" noChangeArrowheads="1"/>
        </xdr:cNvPicPr>
      </xdr:nvPicPr>
      <xdr:blipFill>
        <a:blip xmlns:r="http://schemas.openxmlformats.org/officeDocument/2006/relationships" r:embed="rId2" cstate="print">
          <a:extLst>
            <a:ext uri="{28A0092B-C50C-407E-A947-70E740481C1C}">
              <a14:useLocalDpi xmlns:a14="http://schemas.microsoft.com/office/drawing/2010/main" val="0"/>
            </a:ext>
          </a:extLst>
        </a:blip>
        <a:srcRect/>
        <a:stretch>
          <a:fillRect/>
        </a:stretch>
      </xdr:blipFill>
      <xdr:spPr bwMode="auto">
        <a:xfrm>
          <a:off x="9879666" y="29975736"/>
          <a:ext cx="362364" cy="380172"/>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1">
              <a:solidFill>
                <a:srgbClr val="000000"/>
              </a:solidFill>
              <a:miter lim="800000"/>
              <a:headEnd/>
              <a:tailEnd/>
            </a14:hiddenLine>
          </a:ext>
        </a:extLst>
      </xdr:spPr>
    </xdr:pic>
    <xdr:clientData/>
  </xdr:twoCellAnchor>
  <xdr:twoCellAnchor editAs="oneCell">
    <xdr:from>
      <xdr:col>34</xdr:col>
      <xdr:colOff>560788</xdr:colOff>
      <xdr:row>27</xdr:row>
      <xdr:rowOff>83784</xdr:rowOff>
    </xdr:from>
    <xdr:to>
      <xdr:col>37</xdr:col>
      <xdr:colOff>320898</xdr:colOff>
      <xdr:row>37</xdr:row>
      <xdr:rowOff>121227</xdr:rowOff>
    </xdr:to>
    <xdr:pic>
      <xdr:nvPicPr>
        <xdr:cNvPr id="13" name="그림 12">
          <a:extLst>
            <a:ext uri="{FF2B5EF4-FFF2-40B4-BE49-F238E27FC236}">
              <a16:creationId xmlns:a16="http://schemas.microsoft.com/office/drawing/2014/main" id="{D903F9D5-3A45-E13F-5A38-587B4CA33EFD}"/>
            </a:ext>
          </a:extLst>
        </xdr:cNvPr>
        <xdr:cNvPicPr>
          <a:picLocks noChangeAspect="1"/>
        </xdr:cNvPicPr>
      </xdr:nvPicPr>
      <xdr:blipFill>
        <a:blip xmlns:r="http://schemas.openxmlformats.org/officeDocument/2006/relationships" r:embed="rId3">
          <a:extLst>
            <a:ext uri="{BEBA8EAE-BF5A-486C-A8C5-ECC9F3942E4B}">
              <a14:imgProps xmlns:a14="http://schemas.microsoft.com/office/drawing/2010/main">
                <a14:imgLayer r:embed="rId4">
                  <a14:imgEffect>
                    <a14:brightnessContrast bright="40000" contrast="-20000"/>
                  </a14:imgEffect>
                </a14:imgLayer>
              </a14:imgProps>
            </a:ext>
          </a:extLst>
        </a:blip>
        <a:stretch>
          <a:fillRect/>
        </a:stretch>
      </xdr:blipFill>
      <xdr:spPr>
        <a:xfrm rot="16200000">
          <a:off x="17506508" y="2724927"/>
          <a:ext cx="2236852" cy="1942201"/>
        </a:xfrm>
        <a:prstGeom prst="rect">
          <a:avLst/>
        </a:prstGeom>
      </xdr:spPr>
    </xdr:pic>
    <xdr:clientData/>
  </xdr:twoCellAnchor>
  <xdr:twoCellAnchor>
    <xdr:from>
      <xdr:col>28</xdr:col>
      <xdr:colOff>432953</xdr:colOff>
      <xdr:row>26</xdr:row>
      <xdr:rowOff>121228</xdr:rowOff>
    </xdr:from>
    <xdr:to>
      <xdr:col>32</xdr:col>
      <xdr:colOff>303364</xdr:colOff>
      <xdr:row>37</xdr:row>
      <xdr:rowOff>51955</xdr:rowOff>
    </xdr:to>
    <xdr:pic>
      <xdr:nvPicPr>
        <xdr:cNvPr id="14" name="그림 7">
          <a:extLst>
            <a:ext uri="{FF2B5EF4-FFF2-40B4-BE49-F238E27FC236}">
              <a16:creationId xmlns:a16="http://schemas.microsoft.com/office/drawing/2014/main" id="{B1F5565A-CE68-70DB-FAF5-BDF12D6C6A08}"/>
            </a:ext>
          </a:extLst>
        </xdr:cNvPr>
        <xdr:cNvPicPr>
          <a:picLocks noChangeAspect="1" noChangeArrowheads="1"/>
        </xdr:cNvPicPr>
      </xdr:nvPicPr>
      <xdr:blipFill rotWithShape="1">
        <a:blip xmlns:r="http://schemas.openxmlformats.org/officeDocument/2006/relationships" r:embed="rId5">
          <a:extLst>
            <a:ext uri="{28A0092B-C50C-407E-A947-70E740481C1C}">
              <a14:useLocalDpi xmlns:a14="http://schemas.microsoft.com/office/drawing/2010/main" val="0"/>
            </a:ext>
          </a:extLst>
        </a:blip>
        <a:srcRect l="31395" t="22269" r="14341" b="22260"/>
        <a:stretch>
          <a:fillRect/>
        </a:stretch>
      </xdr:blipFill>
      <xdr:spPr bwMode="auto">
        <a:xfrm>
          <a:off x="13161817" y="2441864"/>
          <a:ext cx="2779865" cy="2303318"/>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xdr:from>
      <xdr:col>36</xdr:col>
      <xdr:colOff>105946</xdr:colOff>
      <xdr:row>29</xdr:row>
      <xdr:rowOff>7131</xdr:rowOff>
    </xdr:from>
    <xdr:to>
      <xdr:col>38</xdr:col>
      <xdr:colOff>128358</xdr:colOff>
      <xdr:row>29</xdr:row>
      <xdr:rowOff>7131</xdr:rowOff>
    </xdr:to>
    <xdr:cxnSp macro="">
      <xdr:nvCxnSpPr>
        <xdr:cNvPr id="16" name="직선 연결선 15">
          <a:extLst>
            <a:ext uri="{FF2B5EF4-FFF2-40B4-BE49-F238E27FC236}">
              <a16:creationId xmlns:a16="http://schemas.microsoft.com/office/drawing/2014/main" id="{172A0A54-7342-2365-4773-52E835D7C487}"/>
            </a:ext>
          </a:extLst>
        </xdr:cNvPr>
        <xdr:cNvCxnSpPr/>
      </xdr:nvCxnSpPr>
      <xdr:spPr>
        <a:xfrm flipV="1">
          <a:off x="18653719" y="2829995"/>
          <a:ext cx="1477139" cy="0"/>
        </a:xfrm>
        <a:prstGeom prst="line">
          <a:avLst/>
        </a:prstGeom>
        <a:ln w="19050">
          <a:solidFill>
            <a:srgbClr val="FF0000"/>
          </a:solidFill>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36</xdr:col>
      <xdr:colOff>123265</xdr:colOff>
      <xdr:row>33</xdr:row>
      <xdr:rowOff>23430</xdr:rowOff>
    </xdr:from>
    <xdr:to>
      <xdr:col>38</xdr:col>
      <xdr:colOff>145677</xdr:colOff>
      <xdr:row>33</xdr:row>
      <xdr:rowOff>23430</xdr:rowOff>
    </xdr:to>
    <xdr:cxnSp macro="">
      <xdr:nvCxnSpPr>
        <xdr:cNvPr id="17" name="직선 연결선 16">
          <a:extLst>
            <a:ext uri="{FF2B5EF4-FFF2-40B4-BE49-F238E27FC236}">
              <a16:creationId xmlns:a16="http://schemas.microsoft.com/office/drawing/2014/main" id="{CE03B9E5-A7A5-BE9F-1A29-4AD376DE842C}"/>
            </a:ext>
          </a:extLst>
        </xdr:cNvPr>
        <xdr:cNvCxnSpPr/>
      </xdr:nvCxnSpPr>
      <xdr:spPr>
        <a:xfrm flipV="1">
          <a:off x="18671038" y="4093203"/>
          <a:ext cx="1477139" cy="0"/>
        </a:xfrm>
        <a:prstGeom prst="line">
          <a:avLst/>
        </a:prstGeom>
        <a:ln w="19050">
          <a:solidFill>
            <a:srgbClr val="FF0000"/>
          </a:solidFill>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37</xdr:col>
      <xdr:colOff>604099</xdr:colOff>
      <xdr:row>29</xdr:row>
      <xdr:rowOff>124283</xdr:rowOff>
    </xdr:from>
    <xdr:to>
      <xdr:col>37</xdr:col>
      <xdr:colOff>604099</xdr:colOff>
      <xdr:row>32</xdr:row>
      <xdr:rowOff>269959</xdr:rowOff>
    </xdr:to>
    <xdr:cxnSp macro="">
      <xdr:nvCxnSpPr>
        <xdr:cNvPr id="19" name="직선 화살표 연결선 18">
          <a:extLst>
            <a:ext uri="{FF2B5EF4-FFF2-40B4-BE49-F238E27FC236}">
              <a16:creationId xmlns:a16="http://schemas.microsoft.com/office/drawing/2014/main" id="{870280F1-AAF6-150B-A49E-AF3A3C2AE51E}"/>
            </a:ext>
          </a:extLst>
        </xdr:cNvPr>
        <xdr:cNvCxnSpPr/>
      </xdr:nvCxnSpPr>
      <xdr:spPr>
        <a:xfrm>
          <a:off x="19879235" y="2947147"/>
          <a:ext cx="0" cy="1011585"/>
        </a:xfrm>
        <a:prstGeom prst="straightConnector1">
          <a:avLst/>
        </a:prstGeom>
        <a:ln>
          <a:solidFill>
            <a:srgbClr val="FF0000"/>
          </a:solidFill>
          <a:headEnd type="triangle" w="med" len="med"/>
          <a:tailEnd type="triangle" w="med" len="med"/>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38</xdr:col>
      <xdr:colOff>17319</xdr:colOff>
      <xdr:row>30</xdr:row>
      <xdr:rowOff>242455</xdr:rowOff>
    </xdr:from>
    <xdr:to>
      <xdr:col>39</xdr:col>
      <xdr:colOff>398318</xdr:colOff>
      <xdr:row>32</xdr:row>
      <xdr:rowOff>346363</xdr:rowOff>
    </xdr:to>
    <xdr:sp macro="" textlink="">
      <xdr:nvSpPr>
        <xdr:cNvPr id="20" name="TextBox 19">
          <a:extLst>
            <a:ext uri="{FF2B5EF4-FFF2-40B4-BE49-F238E27FC236}">
              <a16:creationId xmlns:a16="http://schemas.microsoft.com/office/drawing/2014/main" id="{FE5871A3-732A-0C91-CA7E-113C1275A53C}"/>
            </a:ext>
          </a:extLst>
        </xdr:cNvPr>
        <xdr:cNvSpPr txBox="1"/>
      </xdr:nvSpPr>
      <xdr:spPr>
        <a:xfrm>
          <a:off x="20019819" y="3221182"/>
          <a:ext cx="1108363" cy="813954"/>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US" altLang="ko-KR" sz="1600">
              <a:solidFill>
                <a:srgbClr val="FF0000"/>
              </a:solidFill>
            </a:rPr>
            <a:t>NOK</a:t>
          </a:r>
        </a:p>
        <a:p>
          <a:r>
            <a:rPr lang="en-US" altLang="ko-KR" sz="1600">
              <a:solidFill>
                <a:srgbClr val="FF0000"/>
              </a:solidFill>
            </a:rPr>
            <a:t>13.66mm</a:t>
          </a:r>
          <a:endParaRPr lang="ko-KR" altLang="en-US" sz="1600">
            <a:solidFill>
              <a:srgbClr val="FF0000"/>
            </a:solidFill>
          </a:endParaRPr>
        </a:p>
      </xdr:txBody>
    </xdr:sp>
    <xdr:clientData/>
  </xdr:twoCellAnchor>
  <xdr:twoCellAnchor>
    <xdr:from>
      <xdr:col>36</xdr:col>
      <xdr:colOff>467590</xdr:colOff>
      <xdr:row>36</xdr:row>
      <xdr:rowOff>34637</xdr:rowOff>
    </xdr:from>
    <xdr:to>
      <xdr:col>39</xdr:col>
      <xdr:colOff>519545</xdr:colOff>
      <xdr:row>40</xdr:row>
      <xdr:rowOff>17319</xdr:rowOff>
    </xdr:to>
    <xdr:sp macro="" textlink="">
      <xdr:nvSpPr>
        <xdr:cNvPr id="21" name="TextBox 20">
          <a:extLst>
            <a:ext uri="{FF2B5EF4-FFF2-40B4-BE49-F238E27FC236}">
              <a16:creationId xmlns:a16="http://schemas.microsoft.com/office/drawing/2014/main" id="{CDA4A68F-4173-4AB5-81E9-5568682A33D9}"/>
            </a:ext>
          </a:extLst>
        </xdr:cNvPr>
        <xdr:cNvSpPr txBox="1"/>
      </xdr:nvSpPr>
      <xdr:spPr>
        <a:xfrm>
          <a:off x="19015363" y="4572001"/>
          <a:ext cx="2234046" cy="623454"/>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marL="0" indent="0"/>
          <a:r>
            <a:rPr lang="en-US" altLang="ko-KR" sz="1600">
              <a:solidFill>
                <a:srgbClr val="0000FF"/>
              </a:solidFill>
              <a:latin typeface="+mn-lt"/>
              <a:ea typeface="+mn-ea"/>
              <a:cs typeface="+mn-cs"/>
            </a:rPr>
            <a:t>Brush length </a:t>
          </a:r>
        </a:p>
        <a:p>
          <a:pPr marL="0" indent="0"/>
          <a:r>
            <a:rPr lang="en-US" altLang="ko-KR" sz="1600">
              <a:solidFill>
                <a:srgbClr val="0000FF"/>
              </a:solidFill>
              <a:latin typeface="+mn-lt"/>
              <a:ea typeface="+mn-ea"/>
              <a:cs typeface="+mn-cs"/>
            </a:rPr>
            <a:t>SPEC : 14.74-15.1mm</a:t>
          </a:r>
          <a:endParaRPr lang="ko-KR" altLang="en-US" sz="1600">
            <a:solidFill>
              <a:srgbClr val="0000FF"/>
            </a:solidFill>
            <a:latin typeface="+mn-lt"/>
            <a:ea typeface="+mn-ea"/>
            <a:cs typeface="+mn-cs"/>
          </a:endParaRPr>
        </a:p>
      </xdr:txBody>
    </xdr:sp>
    <xdr:clientData/>
  </xdr:twoCellAnchor>
  <xdr:twoCellAnchor editAs="oneCell">
    <xdr:from>
      <xdr:col>21</xdr:col>
      <xdr:colOff>298637</xdr:colOff>
      <xdr:row>172</xdr:row>
      <xdr:rowOff>33620</xdr:rowOff>
    </xdr:from>
    <xdr:to>
      <xdr:col>22</xdr:col>
      <xdr:colOff>246383</xdr:colOff>
      <xdr:row>173</xdr:row>
      <xdr:rowOff>200880</xdr:rowOff>
    </xdr:to>
    <xdr:pic>
      <xdr:nvPicPr>
        <xdr:cNvPr id="22" name="Picture 14">
          <a:extLst>
            <a:ext uri="{FF2B5EF4-FFF2-40B4-BE49-F238E27FC236}">
              <a16:creationId xmlns:a16="http://schemas.microsoft.com/office/drawing/2014/main" id="{077C6852-E5CA-9081-11EF-14E2AF1C17B9}"/>
            </a:ext>
          </a:extLst>
        </xdr:cNvPr>
        <xdr:cNvPicPr>
          <a:picLocks noChangeAspect="1" noChangeArrowheads="1"/>
        </xdr:cNvPicPr>
      </xdr:nvPicPr>
      <xdr:blipFill>
        <a:blip xmlns:r="http://schemas.openxmlformats.org/officeDocument/2006/relationships" r:embed="rId2" cstate="print">
          <a:extLst>
            <a:ext uri="{28A0092B-C50C-407E-A947-70E740481C1C}">
              <a14:useLocalDpi xmlns:a14="http://schemas.microsoft.com/office/drawing/2010/main" val="0"/>
            </a:ext>
          </a:extLst>
        </a:blip>
        <a:srcRect/>
        <a:stretch>
          <a:fillRect/>
        </a:stretch>
      </xdr:blipFill>
      <xdr:spPr bwMode="auto">
        <a:xfrm>
          <a:off x="9879666" y="32597914"/>
          <a:ext cx="362364" cy="380172"/>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1">
              <a:solidFill>
                <a:srgbClr val="000000"/>
              </a:solidFill>
              <a:miter lim="800000"/>
              <a:headEnd/>
              <a:tailEnd/>
            </a14:hiddenLine>
          </a:ext>
        </a:extLst>
      </xdr:spPr>
    </xdr:pic>
    <xdr:clientData/>
  </xdr:twoCellAnchor>
  <xdr:twoCellAnchor editAs="oneCell">
    <xdr:from>
      <xdr:col>21</xdr:col>
      <xdr:colOff>201706</xdr:colOff>
      <xdr:row>174</xdr:row>
      <xdr:rowOff>44823</xdr:rowOff>
    </xdr:from>
    <xdr:to>
      <xdr:col>22</xdr:col>
      <xdr:colOff>168088</xdr:colOff>
      <xdr:row>175</xdr:row>
      <xdr:rowOff>188899</xdr:rowOff>
    </xdr:to>
    <xdr:pic>
      <xdr:nvPicPr>
        <xdr:cNvPr id="23" name="그림 4">
          <a:extLst>
            <a:ext uri="{FF2B5EF4-FFF2-40B4-BE49-F238E27FC236}">
              <a16:creationId xmlns:a16="http://schemas.microsoft.com/office/drawing/2014/main" id="{248815CE-8F28-4F25-931D-B398D775EE9F}"/>
            </a:ext>
          </a:extLst>
        </xdr:cNvPr>
        <xdr:cNvPicPr>
          <a:picLocks noChangeAspect="1" noChangeArrowheads="1"/>
        </xdr:cNvPicPr>
      </xdr:nvPicPr>
      <xdr:blipFill>
        <a:blip xmlns:r="http://schemas.openxmlformats.org/officeDocument/2006/relationships" r:embed="rId6" cstate="print">
          <a:clrChange>
            <a:clrFrom>
              <a:srgbClr val="FFFFFF"/>
            </a:clrFrom>
            <a:clrTo>
              <a:srgbClr val="FFFFFF">
                <a:alpha val="0"/>
              </a:srgbClr>
            </a:clrTo>
          </a:clrChange>
          <a:extLst>
            <a:ext uri="{28A0092B-C50C-407E-A947-70E740481C1C}">
              <a14:useLocalDpi xmlns:a14="http://schemas.microsoft.com/office/drawing/2010/main" val="0"/>
            </a:ext>
          </a:extLst>
        </a:blip>
        <a:srcRect/>
        <a:stretch>
          <a:fillRect/>
        </a:stretch>
      </xdr:blipFill>
      <xdr:spPr bwMode="auto">
        <a:xfrm>
          <a:off x="9782735" y="33034941"/>
          <a:ext cx="381000" cy="356987"/>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wsDr>
</file>

<file path=xl/drawings/drawing2.xml><?xml version="1.0" encoding="utf-8"?>
<xdr:wsDr xmlns:xdr="http://schemas.openxmlformats.org/drawingml/2006/spreadsheetDrawing" xmlns:a="http://schemas.openxmlformats.org/drawingml/2006/main">
  <xdr:twoCellAnchor editAs="oneCell">
    <xdr:from>
      <xdr:col>16</xdr:col>
      <xdr:colOff>0</xdr:colOff>
      <xdr:row>6</xdr:row>
      <xdr:rowOff>0</xdr:rowOff>
    </xdr:from>
    <xdr:to>
      <xdr:col>24</xdr:col>
      <xdr:colOff>515349</xdr:colOff>
      <xdr:row>21</xdr:row>
      <xdr:rowOff>11430</xdr:rowOff>
    </xdr:to>
    <xdr:pic>
      <xdr:nvPicPr>
        <xdr:cNvPr id="2" name="Kép 1">
          <a:extLst>
            <a:ext uri="{FF2B5EF4-FFF2-40B4-BE49-F238E27FC236}">
              <a16:creationId xmlns:a16="http://schemas.microsoft.com/office/drawing/2014/main" id="{00000000-0008-0000-0100-000002000000}"/>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13509625" y="1714500"/>
          <a:ext cx="6611349" cy="327025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10</xdr:col>
      <xdr:colOff>624840</xdr:colOff>
      <xdr:row>0</xdr:row>
      <xdr:rowOff>91440</xdr:rowOff>
    </xdr:from>
    <xdr:to>
      <xdr:col>14</xdr:col>
      <xdr:colOff>234239</xdr:colOff>
      <xdr:row>2</xdr:row>
      <xdr:rowOff>198856</xdr:rowOff>
    </xdr:to>
    <xdr:pic>
      <xdr:nvPicPr>
        <xdr:cNvPr id="3" name="Kép 2">
          <a:extLst>
            <a:ext uri="{FF2B5EF4-FFF2-40B4-BE49-F238E27FC236}">
              <a16:creationId xmlns:a16="http://schemas.microsoft.com/office/drawing/2014/main" id="{00000000-0008-0000-0100-000003000000}"/>
            </a:ext>
          </a:extLst>
        </xdr:cNvPr>
        <xdr:cNvPicPr>
          <a:picLocks noChangeAspect="1"/>
        </xdr:cNvPicPr>
      </xdr:nvPicPr>
      <xdr:blipFill>
        <a:blip xmlns:r="http://schemas.openxmlformats.org/officeDocument/2006/relationships" r:embed="rId2"/>
        <a:stretch>
          <a:fillRect/>
        </a:stretch>
      </xdr:blipFill>
      <xdr:spPr>
        <a:xfrm>
          <a:off x="10012680" y="91440"/>
          <a:ext cx="2985059" cy="1151356"/>
        </a:xfrm>
        <a:prstGeom prst="rect">
          <a:avLst/>
        </a:prstGeom>
      </xdr:spPr>
    </xdr:pic>
    <xdr:clientData/>
  </xdr:twoCellAnchor>
</xdr:wsDr>
</file>

<file path=xl/drawings/drawing3.xml><?xml version="1.0" encoding="utf-8"?>
<xdr:wsDr xmlns:xdr="http://schemas.openxmlformats.org/drawingml/2006/spreadsheetDrawing" xmlns:a="http://schemas.openxmlformats.org/drawingml/2006/main">
  <xdr:twoCellAnchor>
    <xdr:from>
      <xdr:col>3</xdr:col>
      <xdr:colOff>561975</xdr:colOff>
      <xdr:row>16</xdr:row>
      <xdr:rowOff>9525</xdr:rowOff>
    </xdr:from>
    <xdr:to>
      <xdr:col>5</xdr:col>
      <xdr:colOff>1195387</xdr:colOff>
      <xdr:row>18</xdr:row>
      <xdr:rowOff>33337</xdr:rowOff>
    </xdr:to>
    <xdr:sp macro="" textlink="">
      <xdr:nvSpPr>
        <xdr:cNvPr id="2" name="모서리가 둥근 직사각형 6">
          <a:extLst>
            <a:ext uri="{FF2B5EF4-FFF2-40B4-BE49-F238E27FC236}">
              <a16:creationId xmlns:a16="http://schemas.microsoft.com/office/drawing/2014/main" id="{00000000-0008-0000-0200-000002000000}"/>
            </a:ext>
          </a:extLst>
        </xdr:cNvPr>
        <xdr:cNvSpPr/>
      </xdr:nvSpPr>
      <xdr:spPr>
        <a:xfrm>
          <a:off x="2676525" y="3314700"/>
          <a:ext cx="2043112" cy="519112"/>
        </a:xfrm>
        <a:prstGeom prst="roundRect">
          <a:avLst/>
        </a:prstGeom>
        <a:solidFill>
          <a:srgbClr val="0000FF"/>
        </a:solidFill>
      </xdr:spPr>
      <xdr:style>
        <a:lnRef idx="3">
          <a:schemeClr val="lt1"/>
        </a:lnRef>
        <a:fillRef idx="1">
          <a:schemeClr val="accent5"/>
        </a:fillRef>
        <a:effectRef idx="1">
          <a:schemeClr val="accent5"/>
        </a:effectRef>
        <a:fontRef idx="minor">
          <a:schemeClr val="lt1"/>
        </a:fontRef>
      </xdr:style>
      <xdr:txBody>
        <a:bodyPr vertOverflow="clip" horzOverflow="clip" rtlCol="0" anchor="ctr"/>
        <a:lstStyle/>
        <a:p>
          <a:pPr algn="ctr"/>
          <a:r>
            <a:rPr lang="en-US" altLang="ko-KR" sz="2000">
              <a:latin typeface="HY견고딕" panose="02030600000101010101" pitchFamily="18" charset="-127"/>
              <a:ea typeface="HY견고딕" panose="02030600000101010101" pitchFamily="18" charset="-127"/>
            </a:rPr>
            <a:t>OK</a:t>
          </a:r>
          <a:r>
            <a:rPr lang="en-US" altLang="ko-KR" sz="2000" baseline="0">
              <a:latin typeface="HY견고딕" panose="02030600000101010101" pitchFamily="18" charset="-127"/>
              <a:ea typeface="HY견고딕" panose="02030600000101010101" pitchFamily="18" charset="-127"/>
            </a:rPr>
            <a:t> Part</a:t>
          </a:r>
          <a:endParaRPr lang="ko-KR" altLang="en-US" sz="2000">
            <a:latin typeface="HY견고딕" panose="02030600000101010101" pitchFamily="18" charset="-127"/>
            <a:ea typeface="HY견고딕" panose="02030600000101010101" pitchFamily="18" charset="-127"/>
          </a:endParaRPr>
        </a:p>
      </xdr:txBody>
    </xdr:sp>
    <xdr:clientData/>
  </xdr:twoCellAnchor>
  <xdr:twoCellAnchor>
    <xdr:from>
      <xdr:col>9</xdr:col>
      <xdr:colOff>623887</xdr:colOff>
      <xdr:row>16</xdr:row>
      <xdr:rowOff>21431</xdr:rowOff>
    </xdr:from>
    <xdr:to>
      <xdr:col>12</xdr:col>
      <xdr:colOff>135731</xdr:colOff>
      <xdr:row>18</xdr:row>
      <xdr:rowOff>45243</xdr:rowOff>
    </xdr:to>
    <xdr:sp macro="" textlink="">
      <xdr:nvSpPr>
        <xdr:cNvPr id="3" name="모서리가 둥근 직사각형 7">
          <a:extLst>
            <a:ext uri="{FF2B5EF4-FFF2-40B4-BE49-F238E27FC236}">
              <a16:creationId xmlns:a16="http://schemas.microsoft.com/office/drawing/2014/main" id="{00000000-0008-0000-0200-000003000000}"/>
            </a:ext>
          </a:extLst>
        </xdr:cNvPr>
        <xdr:cNvSpPr/>
      </xdr:nvSpPr>
      <xdr:spPr>
        <a:xfrm>
          <a:off x="7691437" y="3326606"/>
          <a:ext cx="2055019" cy="519112"/>
        </a:xfrm>
        <a:prstGeom prst="roundRect">
          <a:avLst/>
        </a:prstGeom>
        <a:solidFill>
          <a:srgbClr val="FF0000"/>
        </a:solidFill>
      </xdr:spPr>
      <xdr:style>
        <a:lnRef idx="3">
          <a:schemeClr val="lt1"/>
        </a:lnRef>
        <a:fillRef idx="1">
          <a:schemeClr val="accent5"/>
        </a:fillRef>
        <a:effectRef idx="1">
          <a:schemeClr val="accent5"/>
        </a:effectRef>
        <a:fontRef idx="minor">
          <a:schemeClr val="lt1"/>
        </a:fontRef>
      </xdr:style>
      <xdr:txBody>
        <a:bodyPr vertOverflow="clip" horzOverflow="clip" rtlCol="0" anchor="ctr"/>
        <a:lstStyle/>
        <a:p>
          <a:pPr algn="ctr"/>
          <a:r>
            <a:rPr lang="en-US" altLang="ko-KR" sz="2000">
              <a:latin typeface="HY견고딕" panose="02030600000101010101" pitchFamily="18" charset="-127"/>
              <a:ea typeface="HY견고딕" panose="02030600000101010101" pitchFamily="18" charset="-127"/>
            </a:rPr>
            <a:t>NOK</a:t>
          </a:r>
          <a:r>
            <a:rPr lang="en-US" altLang="ko-KR" sz="2000" baseline="0">
              <a:latin typeface="HY견고딕" panose="02030600000101010101" pitchFamily="18" charset="-127"/>
              <a:ea typeface="HY견고딕" panose="02030600000101010101" pitchFamily="18" charset="-127"/>
            </a:rPr>
            <a:t> Part</a:t>
          </a:r>
          <a:endParaRPr lang="ko-KR" altLang="en-US" sz="2000">
            <a:latin typeface="HY견고딕" panose="02030600000101010101" pitchFamily="18" charset="-127"/>
            <a:ea typeface="HY견고딕" panose="02030600000101010101" pitchFamily="18" charset="-127"/>
          </a:endParaRPr>
        </a:p>
      </xdr:txBody>
    </xdr:sp>
    <xdr:clientData/>
  </xdr:twoCellAnchor>
  <xdr:twoCellAnchor>
    <xdr:from>
      <xdr:col>5</xdr:col>
      <xdr:colOff>95250</xdr:colOff>
      <xdr:row>23</xdr:row>
      <xdr:rowOff>71438</xdr:rowOff>
    </xdr:from>
    <xdr:to>
      <xdr:col>5</xdr:col>
      <xdr:colOff>821530</xdr:colOff>
      <xdr:row>24</xdr:row>
      <xdr:rowOff>71437</xdr:rowOff>
    </xdr:to>
    <xdr:cxnSp macro="">
      <xdr:nvCxnSpPr>
        <xdr:cNvPr id="8" name="직선 화살표 연결선 7">
          <a:extLst>
            <a:ext uri="{FF2B5EF4-FFF2-40B4-BE49-F238E27FC236}">
              <a16:creationId xmlns:a16="http://schemas.microsoft.com/office/drawing/2014/main" id="{00000000-0008-0000-0200-000008000000}"/>
            </a:ext>
          </a:extLst>
        </xdr:cNvPr>
        <xdr:cNvCxnSpPr>
          <a:cxnSpLocks/>
        </xdr:cNvCxnSpPr>
      </xdr:nvCxnSpPr>
      <xdr:spPr>
        <a:xfrm>
          <a:off x="3619500" y="5131594"/>
          <a:ext cx="726280" cy="250031"/>
        </a:xfrm>
        <a:prstGeom prst="straightConnector1">
          <a:avLst/>
        </a:prstGeom>
        <a:ln w="19050">
          <a:solidFill>
            <a:srgbClr val="0000FF"/>
          </a:solidFill>
          <a:tailEnd type="triangle"/>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3</xdr:col>
      <xdr:colOff>547687</xdr:colOff>
      <xdr:row>21</xdr:row>
      <xdr:rowOff>107156</xdr:rowOff>
    </xdr:from>
    <xdr:to>
      <xdr:col>5</xdr:col>
      <xdr:colOff>1154906</xdr:colOff>
      <xdr:row>29</xdr:row>
      <xdr:rowOff>11906</xdr:rowOff>
    </xdr:to>
    <xdr:sp macro="" textlink="">
      <xdr:nvSpPr>
        <xdr:cNvPr id="13" name="타원 12">
          <a:extLst>
            <a:ext uri="{FF2B5EF4-FFF2-40B4-BE49-F238E27FC236}">
              <a16:creationId xmlns:a16="http://schemas.microsoft.com/office/drawing/2014/main" id="{00000000-0008-0000-0200-00000D000000}"/>
            </a:ext>
          </a:extLst>
        </xdr:cNvPr>
        <xdr:cNvSpPr/>
      </xdr:nvSpPr>
      <xdr:spPr>
        <a:xfrm>
          <a:off x="2667000" y="4667250"/>
          <a:ext cx="2012156" cy="1905000"/>
        </a:xfrm>
        <a:prstGeom prst="ellipse">
          <a:avLst/>
        </a:prstGeom>
        <a:noFill/>
        <a:ln w="38100">
          <a:solidFill>
            <a:srgbClr val="0000FF"/>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ko-KR" altLang="en-US" sz="1100"/>
        </a:p>
      </xdr:txBody>
    </xdr:sp>
    <xdr:clientData/>
  </xdr:twoCellAnchor>
  <xdr:twoCellAnchor>
    <xdr:from>
      <xdr:col>9</xdr:col>
      <xdr:colOff>821530</xdr:colOff>
      <xdr:row>20</xdr:row>
      <xdr:rowOff>178593</xdr:rowOff>
    </xdr:from>
    <xdr:to>
      <xdr:col>11</xdr:col>
      <xdr:colOff>107155</xdr:colOff>
      <xdr:row>26</xdr:row>
      <xdr:rowOff>119062</xdr:rowOff>
    </xdr:to>
    <xdr:sp macro="" textlink="">
      <xdr:nvSpPr>
        <xdr:cNvPr id="14" name="직사각형 13">
          <a:extLst>
            <a:ext uri="{FF2B5EF4-FFF2-40B4-BE49-F238E27FC236}">
              <a16:creationId xmlns:a16="http://schemas.microsoft.com/office/drawing/2014/main" id="{00000000-0008-0000-0200-00000E000000}"/>
            </a:ext>
          </a:extLst>
        </xdr:cNvPr>
        <xdr:cNvSpPr/>
      </xdr:nvSpPr>
      <xdr:spPr bwMode="auto">
        <a:xfrm>
          <a:off x="7893843" y="4488656"/>
          <a:ext cx="916781" cy="1440656"/>
        </a:xfrm>
        <a:prstGeom prst="rect">
          <a:avLst/>
        </a:prstGeom>
        <a:noFill/>
        <a:ln w="28575">
          <a:solidFill>
            <a:srgbClr val="FF0000"/>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endParaRPr lang="ko-KR" altLang="en-US"/>
        </a:p>
      </xdr:txBody>
    </xdr:sp>
    <xdr:clientData/>
  </xdr:twoCellAnchor>
</xdr:wsDr>
</file>

<file path=xl/drawings/drawing4.xml><?xml version="1.0" encoding="utf-8"?>
<xdr:wsDr xmlns:xdr="http://schemas.openxmlformats.org/drawingml/2006/spreadsheetDrawing" xmlns:a="http://schemas.openxmlformats.org/drawingml/2006/main">
  <xdr:twoCellAnchor editAs="oneCell">
    <xdr:from>
      <xdr:col>6</xdr:col>
      <xdr:colOff>8584407</xdr:colOff>
      <xdr:row>0</xdr:row>
      <xdr:rowOff>104776</xdr:rowOff>
    </xdr:from>
    <xdr:to>
      <xdr:col>6</xdr:col>
      <xdr:colOff>11525251</xdr:colOff>
      <xdr:row>5</xdr:row>
      <xdr:rowOff>117894</xdr:rowOff>
    </xdr:to>
    <xdr:pic>
      <xdr:nvPicPr>
        <xdr:cNvPr id="2" name="Kép 1">
          <a:extLst>
            <a:ext uri="{FF2B5EF4-FFF2-40B4-BE49-F238E27FC236}">
              <a16:creationId xmlns:a16="http://schemas.microsoft.com/office/drawing/2014/main" id="{00000000-0008-0000-0300-000002000000}"/>
            </a:ext>
          </a:extLst>
        </xdr:cNvPr>
        <xdr:cNvPicPr>
          <a:picLocks noChangeAspect="1"/>
        </xdr:cNvPicPr>
      </xdr:nvPicPr>
      <xdr:blipFill>
        <a:blip xmlns:r="http://schemas.openxmlformats.org/officeDocument/2006/relationships" r:embed="rId1"/>
        <a:stretch>
          <a:fillRect/>
        </a:stretch>
      </xdr:blipFill>
      <xdr:spPr>
        <a:xfrm>
          <a:off x="16002001" y="104776"/>
          <a:ext cx="2940844" cy="1239462"/>
        </a:xfrm>
        <a:prstGeom prst="rect">
          <a:avLst/>
        </a:prstGeom>
      </xdr:spPr>
    </xdr:pic>
    <xdr:clientData/>
  </xdr:twoCellAnchor>
</xdr:wsDr>
</file>

<file path=xl/drawings/drawing5.xml><?xml version="1.0" encoding="utf-8"?>
<xdr:wsDr xmlns:xdr="http://schemas.openxmlformats.org/drawingml/2006/spreadsheetDrawing" xmlns:a="http://schemas.openxmlformats.org/drawingml/2006/main">
  <xdr:twoCellAnchor>
    <xdr:from>
      <xdr:col>1</xdr:col>
      <xdr:colOff>0</xdr:colOff>
      <xdr:row>4</xdr:row>
      <xdr:rowOff>9525</xdr:rowOff>
    </xdr:from>
    <xdr:to>
      <xdr:col>16</xdr:col>
      <xdr:colOff>600075</xdr:colOff>
      <xdr:row>4</xdr:row>
      <xdr:rowOff>47625</xdr:rowOff>
    </xdr:to>
    <xdr:grpSp>
      <xdr:nvGrpSpPr>
        <xdr:cNvPr id="2" name="Group 3">
          <a:extLst>
            <a:ext uri="{FF2B5EF4-FFF2-40B4-BE49-F238E27FC236}">
              <a16:creationId xmlns:a16="http://schemas.microsoft.com/office/drawing/2014/main" id="{00000000-0008-0000-0400-000002000000}"/>
            </a:ext>
          </a:extLst>
        </xdr:cNvPr>
        <xdr:cNvGrpSpPr>
          <a:grpSpLocks/>
        </xdr:cNvGrpSpPr>
      </xdr:nvGrpSpPr>
      <xdr:grpSpPr bwMode="auto">
        <a:xfrm>
          <a:off x="246529" y="670672"/>
          <a:ext cx="8287311" cy="38100"/>
          <a:chOff x="0" y="60"/>
          <a:chExt cx="959" cy="4"/>
        </a:xfrm>
      </xdr:grpSpPr>
      <xdr:sp macro="" textlink="">
        <xdr:nvSpPr>
          <xdr:cNvPr id="3" name="Line 4">
            <a:extLst>
              <a:ext uri="{FF2B5EF4-FFF2-40B4-BE49-F238E27FC236}">
                <a16:creationId xmlns:a16="http://schemas.microsoft.com/office/drawing/2014/main" id="{00000000-0008-0000-0400-000003000000}"/>
              </a:ext>
            </a:extLst>
          </xdr:cNvPr>
          <xdr:cNvSpPr>
            <a:spLocks noChangeShapeType="1"/>
          </xdr:cNvSpPr>
        </xdr:nvSpPr>
        <xdr:spPr bwMode="auto">
          <a:xfrm flipH="1">
            <a:off x="0" y="60"/>
            <a:ext cx="959" cy="0"/>
          </a:xfrm>
          <a:prstGeom prst="line">
            <a:avLst/>
          </a:prstGeom>
          <a:noFill/>
          <a:ln w="38100">
            <a:solidFill>
              <a:srgbClr val="0000FF"/>
            </a:solidFill>
            <a:round/>
            <a:headEnd/>
            <a:tailEnd/>
          </a:ln>
        </xdr:spPr>
      </xdr:sp>
      <xdr:sp macro="" textlink="">
        <xdr:nvSpPr>
          <xdr:cNvPr id="4" name="Line 5">
            <a:extLst>
              <a:ext uri="{FF2B5EF4-FFF2-40B4-BE49-F238E27FC236}">
                <a16:creationId xmlns:a16="http://schemas.microsoft.com/office/drawing/2014/main" id="{00000000-0008-0000-0400-000004000000}"/>
              </a:ext>
            </a:extLst>
          </xdr:cNvPr>
          <xdr:cNvSpPr>
            <a:spLocks noChangeShapeType="1"/>
          </xdr:cNvSpPr>
        </xdr:nvSpPr>
        <xdr:spPr bwMode="auto">
          <a:xfrm flipH="1">
            <a:off x="0" y="64"/>
            <a:ext cx="959" cy="0"/>
          </a:xfrm>
          <a:prstGeom prst="line">
            <a:avLst/>
          </a:prstGeom>
          <a:noFill/>
          <a:ln w="38100">
            <a:solidFill>
              <a:srgbClr val="808080"/>
            </a:solidFill>
            <a:round/>
            <a:headEnd/>
            <a:tailEnd/>
          </a:ln>
        </xdr:spPr>
      </xdr:sp>
    </xdr:grpSp>
    <xdr:clientData/>
  </xdr:twoCellAnchor>
  <xdr:twoCellAnchor>
    <xdr:from>
      <xdr:col>6</xdr:col>
      <xdr:colOff>76199</xdr:colOff>
      <xdr:row>15</xdr:row>
      <xdr:rowOff>19050</xdr:rowOff>
    </xdr:from>
    <xdr:to>
      <xdr:col>9</xdr:col>
      <xdr:colOff>266700</xdr:colOff>
      <xdr:row>16</xdr:row>
      <xdr:rowOff>4762</xdr:rowOff>
    </xdr:to>
    <xdr:sp macro="" textlink="">
      <xdr:nvSpPr>
        <xdr:cNvPr id="5" name="TextBox 4">
          <a:extLst>
            <a:ext uri="{FF2B5EF4-FFF2-40B4-BE49-F238E27FC236}">
              <a16:creationId xmlns:a16="http://schemas.microsoft.com/office/drawing/2014/main" id="{00000000-0008-0000-0400-000005000000}"/>
            </a:ext>
          </a:extLst>
        </xdr:cNvPr>
        <xdr:cNvSpPr txBox="1"/>
      </xdr:nvSpPr>
      <xdr:spPr>
        <a:xfrm>
          <a:off x="1714499" y="4343400"/>
          <a:ext cx="2019301" cy="347662"/>
        </a:xfrm>
        <a:prstGeom prst="roundRect">
          <a:avLst/>
        </a:prstGeom>
        <a:ln/>
      </xdr:spPr>
      <xdr:style>
        <a:lnRef idx="1">
          <a:schemeClr val="accent6"/>
        </a:lnRef>
        <a:fillRef idx="2">
          <a:schemeClr val="accent6"/>
        </a:fillRef>
        <a:effectRef idx="1">
          <a:schemeClr val="accent6"/>
        </a:effectRef>
        <a:fontRef idx="minor">
          <a:schemeClr val="dk1"/>
        </a:fontRef>
      </xdr:style>
      <xdr:txBody>
        <a:bodyPr vertOverflow="clip" wrap="square" lIns="0" tIns="0" rIns="0" bIns="0" rtlCol="0" anchor="ctr"/>
        <a:lstStyle/>
        <a:p>
          <a:pPr algn="ctr"/>
          <a:r>
            <a:rPr lang="en-US" altLang="ko-KR" sz="1000" b="1" baseline="0">
              <a:solidFill>
                <a:sysClr val="windowText" lastClr="000000"/>
              </a:solidFill>
              <a:latin typeface="Arial" pitchFamily="34" charset="0"/>
              <a:ea typeface="굴림" pitchFamily="50" charset="-127"/>
              <a:cs typeface="Arial" pitchFamily="34" charset="0"/>
            </a:rPr>
            <a:t>No marking of setup brush</a:t>
          </a:r>
          <a:endParaRPr lang="en-US" altLang="ko-KR" sz="1000" b="1">
            <a:solidFill>
              <a:sysClr val="windowText" lastClr="000000"/>
            </a:solidFill>
            <a:latin typeface="Arial" pitchFamily="34" charset="0"/>
            <a:ea typeface="굴림" pitchFamily="50" charset="-127"/>
            <a:cs typeface="Arial" pitchFamily="34" charset="0"/>
          </a:endParaRPr>
        </a:p>
      </xdr:txBody>
    </xdr:sp>
    <xdr:clientData/>
  </xdr:twoCellAnchor>
  <xdr:twoCellAnchor>
    <xdr:from>
      <xdr:col>12</xdr:col>
      <xdr:colOff>285154</xdr:colOff>
      <xdr:row>15</xdr:row>
      <xdr:rowOff>16718</xdr:rowOff>
    </xdr:from>
    <xdr:to>
      <xdr:col>15</xdr:col>
      <xdr:colOff>469626</xdr:colOff>
      <xdr:row>16</xdr:row>
      <xdr:rowOff>9525</xdr:rowOff>
    </xdr:to>
    <xdr:sp macro="" textlink="">
      <xdr:nvSpPr>
        <xdr:cNvPr id="6" name="TextBox 5">
          <a:extLst>
            <a:ext uri="{FF2B5EF4-FFF2-40B4-BE49-F238E27FC236}">
              <a16:creationId xmlns:a16="http://schemas.microsoft.com/office/drawing/2014/main" id="{00000000-0008-0000-0400-000006000000}"/>
            </a:ext>
          </a:extLst>
        </xdr:cNvPr>
        <xdr:cNvSpPr txBox="1"/>
      </xdr:nvSpPr>
      <xdr:spPr>
        <a:xfrm>
          <a:off x="5581054" y="4341068"/>
          <a:ext cx="2013272" cy="354757"/>
        </a:xfrm>
        <a:prstGeom prst="roundRect">
          <a:avLst/>
        </a:prstGeom>
        <a:ln/>
      </xdr:spPr>
      <xdr:style>
        <a:lnRef idx="1">
          <a:schemeClr val="accent5"/>
        </a:lnRef>
        <a:fillRef idx="2">
          <a:schemeClr val="accent5"/>
        </a:fillRef>
        <a:effectRef idx="1">
          <a:schemeClr val="accent5"/>
        </a:effectRef>
        <a:fontRef idx="minor">
          <a:schemeClr val="dk1"/>
        </a:fontRef>
      </xdr:style>
      <xdr:txBody>
        <a:bodyPr vertOverflow="clip" wrap="square" lIns="0" tIns="0" rIns="0" bIns="0" rtlCol="0" anchor="ctr"/>
        <a:lstStyle/>
        <a:p>
          <a:pPr algn="ctr"/>
          <a:r>
            <a:rPr lang="en-US" altLang="ko-KR" sz="1100" b="1">
              <a:solidFill>
                <a:schemeClr val="dk1"/>
              </a:solidFill>
              <a:effectLst/>
              <a:latin typeface="+mn-lt"/>
              <a:ea typeface="+mn-ea"/>
              <a:cs typeface="+mn-cs"/>
            </a:rPr>
            <a:t>White marking of setup brush</a:t>
          </a:r>
        </a:p>
      </xdr:txBody>
    </xdr:sp>
    <xdr:clientData/>
  </xdr:twoCellAnchor>
  <xdr:twoCellAnchor>
    <xdr:from>
      <xdr:col>1</xdr:col>
      <xdr:colOff>0</xdr:colOff>
      <xdr:row>25</xdr:row>
      <xdr:rowOff>9525</xdr:rowOff>
    </xdr:from>
    <xdr:to>
      <xdr:col>16</xdr:col>
      <xdr:colOff>600075</xdr:colOff>
      <xdr:row>25</xdr:row>
      <xdr:rowOff>47625</xdr:rowOff>
    </xdr:to>
    <xdr:grpSp>
      <xdr:nvGrpSpPr>
        <xdr:cNvPr id="53" name="Group 3">
          <a:extLst>
            <a:ext uri="{FF2B5EF4-FFF2-40B4-BE49-F238E27FC236}">
              <a16:creationId xmlns:a16="http://schemas.microsoft.com/office/drawing/2014/main" id="{00000000-0008-0000-0400-000035000000}"/>
            </a:ext>
          </a:extLst>
        </xdr:cNvPr>
        <xdr:cNvGrpSpPr>
          <a:grpSpLocks/>
        </xdr:cNvGrpSpPr>
      </xdr:nvGrpSpPr>
      <xdr:grpSpPr bwMode="auto">
        <a:xfrm>
          <a:off x="246529" y="7058025"/>
          <a:ext cx="8287311" cy="38100"/>
          <a:chOff x="0" y="60"/>
          <a:chExt cx="959" cy="4"/>
        </a:xfrm>
      </xdr:grpSpPr>
      <xdr:sp macro="" textlink="">
        <xdr:nvSpPr>
          <xdr:cNvPr id="54" name="Line 4">
            <a:extLst>
              <a:ext uri="{FF2B5EF4-FFF2-40B4-BE49-F238E27FC236}">
                <a16:creationId xmlns:a16="http://schemas.microsoft.com/office/drawing/2014/main" id="{00000000-0008-0000-0400-000036000000}"/>
              </a:ext>
            </a:extLst>
          </xdr:cNvPr>
          <xdr:cNvSpPr>
            <a:spLocks noChangeShapeType="1"/>
          </xdr:cNvSpPr>
        </xdr:nvSpPr>
        <xdr:spPr bwMode="auto">
          <a:xfrm flipH="1">
            <a:off x="0" y="60"/>
            <a:ext cx="959" cy="0"/>
          </a:xfrm>
          <a:prstGeom prst="line">
            <a:avLst/>
          </a:prstGeom>
          <a:noFill/>
          <a:ln w="38100">
            <a:solidFill>
              <a:srgbClr val="0000FF"/>
            </a:solidFill>
            <a:round/>
            <a:headEnd/>
            <a:tailEnd/>
          </a:ln>
        </xdr:spPr>
      </xdr:sp>
      <xdr:sp macro="" textlink="">
        <xdr:nvSpPr>
          <xdr:cNvPr id="55" name="Line 5">
            <a:extLst>
              <a:ext uri="{FF2B5EF4-FFF2-40B4-BE49-F238E27FC236}">
                <a16:creationId xmlns:a16="http://schemas.microsoft.com/office/drawing/2014/main" id="{00000000-0008-0000-0400-000037000000}"/>
              </a:ext>
            </a:extLst>
          </xdr:cNvPr>
          <xdr:cNvSpPr>
            <a:spLocks noChangeShapeType="1"/>
          </xdr:cNvSpPr>
        </xdr:nvSpPr>
        <xdr:spPr bwMode="auto">
          <a:xfrm flipH="1">
            <a:off x="0" y="64"/>
            <a:ext cx="959" cy="0"/>
          </a:xfrm>
          <a:prstGeom prst="line">
            <a:avLst/>
          </a:prstGeom>
          <a:noFill/>
          <a:ln w="38100">
            <a:solidFill>
              <a:srgbClr val="808080"/>
            </a:solidFill>
            <a:round/>
            <a:headEnd/>
            <a:tailEnd/>
          </a:ln>
        </xdr:spPr>
      </xdr:sp>
    </xdr:grpSp>
    <xdr:clientData/>
  </xdr:twoCellAnchor>
  <xdr:twoCellAnchor>
    <xdr:from>
      <xdr:col>7</xdr:col>
      <xdr:colOff>112059</xdr:colOff>
      <xdr:row>11</xdr:row>
      <xdr:rowOff>1</xdr:rowOff>
    </xdr:from>
    <xdr:to>
      <xdr:col>8</xdr:col>
      <xdr:colOff>411415</xdr:colOff>
      <xdr:row>13</xdr:row>
      <xdr:rowOff>149680</xdr:rowOff>
    </xdr:to>
    <xdr:sp macro="" textlink="">
      <xdr:nvSpPr>
        <xdr:cNvPr id="8" name="&quot;허용 안 됨&quot; 기호 7">
          <a:extLst>
            <a:ext uri="{FF2B5EF4-FFF2-40B4-BE49-F238E27FC236}">
              <a16:creationId xmlns:a16="http://schemas.microsoft.com/office/drawing/2014/main" id="{04739222-D6C3-4D99-83DA-8226025A9914}"/>
            </a:ext>
          </a:extLst>
        </xdr:cNvPr>
        <xdr:cNvSpPr/>
      </xdr:nvSpPr>
      <xdr:spPr>
        <a:xfrm>
          <a:off x="2599765" y="3003177"/>
          <a:ext cx="904474" cy="866856"/>
        </a:xfrm>
        <a:prstGeom prst="noSmoking">
          <a:avLst/>
        </a:prstGeom>
        <a:solidFill>
          <a:srgbClr val="FF0000"/>
        </a:solidFill>
        <a:ln>
          <a:no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ko-KR" altLang="en-US" sz="1100">
            <a:solidFill>
              <a:schemeClr val="tx1"/>
            </a:solidFill>
          </a:endParaRPr>
        </a:p>
      </xdr:txBody>
    </xdr:sp>
    <xdr:clientData/>
  </xdr:twoCellAnchor>
  <xdr:twoCellAnchor editAs="oneCell">
    <xdr:from>
      <xdr:col>11</xdr:col>
      <xdr:colOff>156884</xdr:colOff>
      <xdr:row>8</xdr:row>
      <xdr:rowOff>123265</xdr:rowOff>
    </xdr:from>
    <xdr:to>
      <xdr:col>13</xdr:col>
      <xdr:colOff>302559</xdr:colOff>
      <xdr:row>10</xdr:row>
      <xdr:rowOff>314253</xdr:rowOff>
    </xdr:to>
    <xdr:pic>
      <xdr:nvPicPr>
        <xdr:cNvPr id="11" name="그림 10">
          <a:extLst>
            <a:ext uri="{FF2B5EF4-FFF2-40B4-BE49-F238E27FC236}">
              <a16:creationId xmlns:a16="http://schemas.microsoft.com/office/drawing/2014/main" id="{DFE68ABD-F91F-C2B5-0B6E-792555E3CB54}"/>
            </a:ext>
          </a:extLst>
        </xdr:cNvPr>
        <xdr:cNvPicPr>
          <a:picLocks noChangeAspect="1"/>
        </xdr:cNvPicPr>
      </xdr:nvPicPr>
      <xdr:blipFill>
        <a:blip xmlns:r="http://schemas.openxmlformats.org/officeDocument/2006/relationships" r:embed="rId1"/>
        <a:stretch>
          <a:fillRect/>
        </a:stretch>
      </xdr:blipFill>
      <xdr:spPr>
        <a:xfrm>
          <a:off x="5065060" y="2050677"/>
          <a:ext cx="1355911" cy="908164"/>
        </a:xfrm>
        <a:prstGeom prst="rect">
          <a:avLst/>
        </a:prstGeom>
        <a:ln>
          <a:solidFill>
            <a:schemeClr val="tx1"/>
          </a:solidFill>
        </a:ln>
      </xdr:spPr>
    </xdr:pic>
    <xdr:clientData/>
  </xdr:twoCellAnchor>
  <xdr:twoCellAnchor editAs="oneCell">
    <xdr:from>
      <xdr:col>13</xdr:col>
      <xdr:colOff>414618</xdr:colOff>
      <xdr:row>10</xdr:row>
      <xdr:rowOff>168088</xdr:rowOff>
    </xdr:from>
    <xdr:to>
      <xdr:col>16</xdr:col>
      <xdr:colOff>470647</xdr:colOff>
      <xdr:row>14</xdr:row>
      <xdr:rowOff>67234</xdr:rowOff>
    </xdr:to>
    <xdr:pic>
      <xdr:nvPicPr>
        <xdr:cNvPr id="14" name="그림 13">
          <a:extLst>
            <a:ext uri="{FF2B5EF4-FFF2-40B4-BE49-F238E27FC236}">
              <a16:creationId xmlns:a16="http://schemas.microsoft.com/office/drawing/2014/main" id="{FFBDCD6E-AD09-4F48-8161-FAF549CF420B}"/>
            </a:ext>
          </a:extLst>
        </xdr:cNvPr>
        <xdr:cNvPicPr>
          <a:picLocks noChangeAspect="1"/>
        </xdr:cNvPicPr>
      </xdr:nvPicPr>
      <xdr:blipFill>
        <a:blip xmlns:r="http://schemas.openxmlformats.org/officeDocument/2006/relationships" r:embed="rId2"/>
        <a:stretch>
          <a:fillRect/>
        </a:stretch>
      </xdr:blipFill>
      <xdr:spPr>
        <a:xfrm>
          <a:off x="6533030" y="2812676"/>
          <a:ext cx="1871382" cy="1333499"/>
        </a:xfrm>
        <a:prstGeom prst="rect">
          <a:avLst/>
        </a:prstGeom>
      </xdr:spPr>
    </xdr:pic>
    <xdr:clientData/>
  </xdr:twoCellAnchor>
  <xdr:twoCellAnchor>
    <xdr:from>
      <xdr:col>11</xdr:col>
      <xdr:colOff>268943</xdr:colOff>
      <xdr:row>8</xdr:row>
      <xdr:rowOff>324971</xdr:rowOff>
    </xdr:from>
    <xdr:to>
      <xdr:col>12</xdr:col>
      <xdr:colOff>369795</xdr:colOff>
      <xdr:row>10</xdr:row>
      <xdr:rowOff>246530</xdr:rowOff>
    </xdr:to>
    <xdr:sp macro="" textlink="">
      <xdr:nvSpPr>
        <xdr:cNvPr id="15" name="타원 14">
          <a:extLst>
            <a:ext uri="{FF2B5EF4-FFF2-40B4-BE49-F238E27FC236}">
              <a16:creationId xmlns:a16="http://schemas.microsoft.com/office/drawing/2014/main" id="{46A0850C-5E47-4C82-8ED1-B3C3E0FB61DA}"/>
            </a:ext>
          </a:extLst>
        </xdr:cNvPr>
        <xdr:cNvSpPr/>
      </xdr:nvSpPr>
      <xdr:spPr>
        <a:xfrm>
          <a:off x="5177119" y="2252383"/>
          <a:ext cx="705970" cy="638735"/>
        </a:xfrm>
        <a:prstGeom prst="ellipse">
          <a:avLst/>
        </a:prstGeom>
        <a:noFill/>
        <a:ln w="19050">
          <a:solidFill>
            <a:srgbClr val="0000FF"/>
          </a:solidFill>
          <a:prstDash val="solid"/>
        </a:ln>
      </xdr:spPr>
      <xdr:style>
        <a:lnRef idx="2">
          <a:schemeClr val="accent1">
            <a:shade val="50000"/>
          </a:schemeClr>
        </a:lnRef>
        <a:fillRef idx="1">
          <a:schemeClr val="accent1"/>
        </a:fillRef>
        <a:effectRef idx="0">
          <a:schemeClr val="accent1"/>
        </a:effectRef>
        <a:fontRef idx="minor">
          <a:schemeClr val="lt1"/>
        </a:fontRef>
      </xdr:style>
      <xdr:txBody>
        <a:bodyPr vertOverflow="clip" rtlCol="0" anchor="ctr"/>
        <a:lstStyle/>
        <a:p>
          <a:pPr algn="ctr"/>
          <a:endParaRPr lang="ko-KR" altLang="en-US" sz="1100"/>
        </a:p>
      </xdr:txBody>
    </xdr:sp>
    <xdr:clientData/>
  </xdr:twoCellAnchor>
  <xdr:twoCellAnchor>
    <xdr:from>
      <xdr:col>12</xdr:col>
      <xdr:colOff>347382</xdr:colOff>
      <xdr:row>10</xdr:row>
      <xdr:rowOff>89646</xdr:rowOff>
    </xdr:from>
    <xdr:to>
      <xdr:col>13</xdr:col>
      <xdr:colOff>246529</xdr:colOff>
      <xdr:row>11</xdr:row>
      <xdr:rowOff>190500</xdr:rowOff>
    </xdr:to>
    <xdr:cxnSp macro="">
      <xdr:nvCxnSpPr>
        <xdr:cNvPr id="16" name="직선 화살표 연결선 15">
          <a:extLst>
            <a:ext uri="{FF2B5EF4-FFF2-40B4-BE49-F238E27FC236}">
              <a16:creationId xmlns:a16="http://schemas.microsoft.com/office/drawing/2014/main" id="{DC4C5276-B1AE-4C4F-8EE5-733DD11B7A52}"/>
            </a:ext>
          </a:extLst>
        </xdr:cNvPr>
        <xdr:cNvCxnSpPr>
          <a:cxnSpLocks/>
        </xdr:cNvCxnSpPr>
      </xdr:nvCxnSpPr>
      <xdr:spPr>
        <a:xfrm>
          <a:off x="5860676" y="2734234"/>
          <a:ext cx="504265" cy="459442"/>
        </a:xfrm>
        <a:prstGeom prst="straightConnector1">
          <a:avLst/>
        </a:prstGeom>
        <a:ln w="19050">
          <a:solidFill>
            <a:srgbClr val="0000FF"/>
          </a:solidFill>
          <a:headEnd type="none" w="med" len="med"/>
          <a:tailEnd type="triangle" w="med" len="med"/>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13</xdr:col>
      <xdr:colOff>268941</xdr:colOff>
      <xdr:row>10</xdr:row>
      <xdr:rowOff>145677</xdr:rowOff>
    </xdr:from>
    <xdr:to>
      <xdr:col>15</xdr:col>
      <xdr:colOff>100853</xdr:colOff>
      <xdr:row>14</xdr:row>
      <xdr:rowOff>156883</xdr:rowOff>
    </xdr:to>
    <xdr:sp macro="" textlink="">
      <xdr:nvSpPr>
        <xdr:cNvPr id="18" name="사각형: 둥근 모서리 17">
          <a:extLst>
            <a:ext uri="{FF2B5EF4-FFF2-40B4-BE49-F238E27FC236}">
              <a16:creationId xmlns:a16="http://schemas.microsoft.com/office/drawing/2014/main" id="{68459D8C-2DF1-4C37-BE9A-0DD06A830EBB}"/>
            </a:ext>
          </a:extLst>
        </xdr:cNvPr>
        <xdr:cNvSpPr/>
      </xdr:nvSpPr>
      <xdr:spPr>
        <a:xfrm>
          <a:off x="6387353" y="2790265"/>
          <a:ext cx="1042147" cy="1445559"/>
        </a:xfrm>
        <a:prstGeom prst="roundRect">
          <a:avLst/>
        </a:prstGeom>
        <a:noFill/>
        <a:ln w="19050">
          <a:solidFill>
            <a:srgbClr val="0000FF"/>
          </a:solidFill>
          <a:prstDash val="solid"/>
        </a:ln>
      </xdr:spPr>
      <xdr:style>
        <a:lnRef idx="2">
          <a:schemeClr val="accent1">
            <a:shade val="50000"/>
          </a:schemeClr>
        </a:lnRef>
        <a:fillRef idx="1">
          <a:schemeClr val="accent1"/>
        </a:fillRef>
        <a:effectRef idx="0">
          <a:schemeClr val="accent1"/>
        </a:effectRef>
        <a:fontRef idx="minor">
          <a:schemeClr val="lt1"/>
        </a:fontRef>
      </xdr:style>
      <xdr:txBody>
        <a:bodyPr vertOverflow="clip" rtlCol="0" anchor="ctr"/>
        <a:lstStyle/>
        <a:p>
          <a:pPr algn="ctr"/>
          <a:endParaRPr lang="ko-KR" altLang="en-US" sz="1100"/>
        </a:p>
      </xdr:txBody>
    </xdr:sp>
    <xdr:clientData/>
  </xdr:twoCellAnchor>
  <xdr:twoCellAnchor>
    <xdr:from>
      <xdr:col>6</xdr:col>
      <xdr:colOff>76198</xdr:colOff>
      <xdr:row>35</xdr:row>
      <xdr:rowOff>268941</xdr:rowOff>
    </xdr:from>
    <xdr:to>
      <xdr:col>9</xdr:col>
      <xdr:colOff>537882</xdr:colOff>
      <xdr:row>37</xdr:row>
      <xdr:rowOff>19764</xdr:rowOff>
    </xdr:to>
    <xdr:sp macro="" textlink="">
      <xdr:nvSpPr>
        <xdr:cNvPr id="20" name="TextBox 19">
          <a:extLst>
            <a:ext uri="{FF2B5EF4-FFF2-40B4-BE49-F238E27FC236}">
              <a16:creationId xmlns:a16="http://schemas.microsoft.com/office/drawing/2014/main" id="{1D31F8AF-784B-419B-B56E-513F8DE477D4}"/>
            </a:ext>
          </a:extLst>
        </xdr:cNvPr>
        <xdr:cNvSpPr txBox="1"/>
      </xdr:nvSpPr>
      <xdr:spPr>
        <a:xfrm>
          <a:off x="1958786" y="10735235"/>
          <a:ext cx="2277037" cy="468000"/>
        </a:xfrm>
        <a:prstGeom prst="roundRect">
          <a:avLst/>
        </a:prstGeom>
        <a:ln/>
      </xdr:spPr>
      <xdr:style>
        <a:lnRef idx="1">
          <a:schemeClr val="accent6"/>
        </a:lnRef>
        <a:fillRef idx="2">
          <a:schemeClr val="accent6"/>
        </a:fillRef>
        <a:effectRef idx="1">
          <a:schemeClr val="accent6"/>
        </a:effectRef>
        <a:fontRef idx="minor">
          <a:schemeClr val="dk1"/>
        </a:fontRef>
      </xdr:style>
      <xdr:txBody>
        <a:bodyPr vertOverflow="clip" wrap="square" lIns="0" tIns="0" rIns="0" bIns="0" rtlCol="0" anchor="ctr"/>
        <a:lstStyle/>
        <a:p>
          <a:pPr algn="ctr"/>
          <a:r>
            <a:rPr lang="en-US" altLang="ko-KR" sz="1100" b="1"/>
            <a:t>There is no verification of the discarded quantity of setup parts.</a:t>
          </a:r>
          <a:endParaRPr lang="en-US" altLang="ko-KR" sz="1100" b="1">
            <a:solidFill>
              <a:sysClr val="windowText" lastClr="000000"/>
            </a:solidFill>
            <a:latin typeface="Arial" pitchFamily="34" charset="0"/>
            <a:ea typeface="굴림" pitchFamily="50" charset="-127"/>
            <a:cs typeface="Arial" pitchFamily="34" charset="0"/>
          </a:endParaRPr>
        </a:p>
      </xdr:txBody>
    </xdr:sp>
    <xdr:clientData/>
  </xdr:twoCellAnchor>
  <xdr:twoCellAnchor>
    <xdr:from>
      <xdr:col>11</xdr:col>
      <xdr:colOff>235324</xdr:colOff>
      <xdr:row>35</xdr:row>
      <xdr:rowOff>268941</xdr:rowOff>
    </xdr:from>
    <xdr:to>
      <xdr:col>16</xdr:col>
      <xdr:colOff>392207</xdr:colOff>
      <xdr:row>37</xdr:row>
      <xdr:rowOff>19764</xdr:rowOff>
    </xdr:to>
    <xdr:sp macro="" textlink="">
      <xdr:nvSpPr>
        <xdr:cNvPr id="21" name="TextBox 20">
          <a:extLst>
            <a:ext uri="{FF2B5EF4-FFF2-40B4-BE49-F238E27FC236}">
              <a16:creationId xmlns:a16="http://schemas.microsoft.com/office/drawing/2014/main" id="{2D7ABBB5-498C-4926-92FC-FBDA91E4F937}"/>
            </a:ext>
          </a:extLst>
        </xdr:cNvPr>
        <xdr:cNvSpPr txBox="1"/>
      </xdr:nvSpPr>
      <xdr:spPr>
        <a:xfrm>
          <a:off x="5143500" y="10735235"/>
          <a:ext cx="3182472" cy="468000"/>
        </a:xfrm>
        <a:prstGeom prst="roundRect">
          <a:avLst/>
        </a:prstGeom>
        <a:ln/>
      </xdr:spPr>
      <xdr:style>
        <a:lnRef idx="1">
          <a:schemeClr val="accent5"/>
        </a:lnRef>
        <a:fillRef idx="2">
          <a:schemeClr val="accent5"/>
        </a:fillRef>
        <a:effectRef idx="1">
          <a:schemeClr val="accent5"/>
        </a:effectRef>
        <a:fontRef idx="minor">
          <a:schemeClr val="dk1"/>
        </a:fontRef>
      </xdr:style>
      <xdr:txBody>
        <a:bodyPr vertOverflow="clip" wrap="square" lIns="0" tIns="0" rIns="0" bIns="0" rtlCol="0" anchor="ctr"/>
        <a:lstStyle/>
        <a:p>
          <a:pPr algn="ctr"/>
          <a:r>
            <a:rPr lang="en-US" altLang="ko-KR" sz="1100" b="1">
              <a:solidFill>
                <a:schemeClr val="dk1"/>
              </a:solidFill>
              <a:effectLst/>
              <a:latin typeface="+mn-lt"/>
              <a:ea typeface="+mn-ea"/>
              <a:cs typeface="+mn-cs"/>
            </a:rPr>
            <a:t>Verify the usage and discarded quantities of setup parts and record them in the swork recorde sheet.</a:t>
          </a:r>
        </a:p>
      </xdr:txBody>
    </xdr:sp>
    <xdr:clientData/>
  </xdr:twoCellAnchor>
  <xdr:twoCellAnchor>
    <xdr:from>
      <xdr:col>7</xdr:col>
      <xdr:colOff>112059</xdr:colOff>
      <xdr:row>32</xdr:row>
      <xdr:rowOff>1</xdr:rowOff>
    </xdr:from>
    <xdr:to>
      <xdr:col>8</xdr:col>
      <xdr:colOff>411415</xdr:colOff>
      <xdr:row>34</xdr:row>
      <xdr:rowOff>149680</xdr:rowOff>
    </xdr:to>
    <xdr:sp macro="" textlink="">
      <xdr:nvSpPr>
        <xdr:cNvPr id="22" name="&quot;허용 안 됨&quot; 기호 21">
          <a:extLst>
            <a:ext uri="{FF2B5EF4-FFF2-40B4-BE49-F238E27FC236}">
              <a16:creationId xmlns:a16="http://schemas.microsoft.com/office/drawing/2014/main" id="{0ED80106-D52D-4102-9574-B643F8AE9416}"/>
            </a:ext>
          </a:extLst>
        </xdr:cNvPr>
        <xdr:cNvSpPr/>
      </xdr:nvSpPr>
      <xdr:spPr>
        <a:xfrm>
          <a:off x="2599765" y="3003177"/>
          <a:ext cx="904474" cy="866856"/>
        </a:xfrm>
        <a:prstGeom prst="noSmoking">
          <a:avLst/>
        </a:prstGeom>
        <a:solidFill>
          <a:srgbClr val="FF0000"/>
        </a:solidFill>
        <a:ln>
          <a:no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ko-KR" altLang="en-US" sz="1100">
            <a:solidFill>
              <a:schemeClr val="tx1"/>
            </a:solidFill>
          </a:endParaRPr>
        </a:p>
      </xdr:txBody>
    </xdr:sp>
    <xdr:clientData/>
  </xdr:twoCellAnchor>
  <xdr:oneCellAnchor>
    <xdr:from>
      <xdr:col>11</xdr:col>
      <xdr:colOff>156884</xdr:colOff>
      <xdr:row>29</xdr:row>
      <xdr:rowOff>123265</xdr:rowOff>
    </xdr:from>
    <xdr:ext cx="1355911" cy="908164"/>
    <xdr:pic>
      <xdr:nvPicPr>
        <xdr:cNvPr id="23" name="그림 22">
          <a:extLst>
            <a:ext uri="{FF2B5EF4-FFF2-40B4-BE49-F238E27FC236}">
              <a16:creationId xmlns:a16="http://schemas.microsoft.com/office/drawing/2014/main" id="{2BC1757F-8D5C-4AC8-9C09-095330C77CD1}"/>
            </a:ext>
          </a:extLst>
        </xdr:cNvPr>
        <xdr:cNvPicPr>
          <a:picLocks noChangeAspect="1"/>
        </xdr:cNvPicPr>
      </xdr:nvPicPr>
      <xdr:blipFill>
        <a:blip xmlns:r="http://schemas.openxmlformats.org/officeDocument/2006/relationships" r:embed="rId1"/>
        <a:stretch>
          <a:fillRect/>
        </a:stretch>
      </xdr:blipFill>
      <xdr:spPr>
        <a:xfrm>
          <a:off x="5065060" y="2050677"/>
          <a:ext cx="1355911" cy="908164"/>
        </a:xfrm>
        <a:prstGeom prst="rect">
          <a:avLst/>
        </a:prstGeom>
        <a:ln>
          <a:solidFill>
            <a:schemeClr val="tx1"/>
          </a:solidFill>
        </a:ln>
      </xdr:spPr>
    </xdr:pic>
    <xdr:clientData/>
  </xdr:oneCellAnchor>
  <xdr:oneCellAnchor>
    <xdr:from>
      <xdr:col>13</xdr:col>
      <xdr:colOff>414618</xdr:colOff>
      <xdr:row>31</xdr:row>
      <xdr:rowOff>168088</xdr:rowOff>
    </xdr:from>
    <xdr:ext cx="1871382" cy="1333499"/>
    <xdr:pic>
      <xdr:nvPicPr>
        <xdr:cNvPr id="24" name="그림 23">
          <a:extLst>
            <a:ext uri="{FF2B5EF4-FFF2-40B4-BE49-F238E27FC236}">
              <a16:creationId xmlns:a16="http://schemas.microsoft.com/office/drawing/2014/main" id="{C8F4D688-A147-4E09-A355-B24F12090B7B}"/>
            </a:ext>
          </a:extLst>
        </xdr:cNvPr>
        <xdr:cNvPicPr>
          <a:picLocks noChangeAspect="1"/>
        </xdr:cNvPicPr>
      </xdr:nvPicPr>
      <xdr:blipFill>
        <a:blip xmlns:r="http://schemas.openxmlformats.org/officeDocument/2006/relationships" r:embed="rId2"/>
        <a:stretch>
          <a:fillRect/>
        </a:stretch>
      </xdr:blipFill>
      <xdr:spPr>
        <a:xfrm>
          <a:off x="6533030" y="2812676"/>
          <a:ext cx="1871382" cy="1333499"/>
        </a:xfrm>
        <a:prstGeom prst="rect">
          <a:avLst/>
        </a:prstGeom>
      </xdr:spPr>
    </xdr:pic>
    <xdr:clientData/>
  </xdr:oneCellAnchor>
  <xdr:twoCellAnchor>
    <xdr:from>
      <xdr:col>11</xdr:col>
      <xdr:colOff>268943</xdr:colOff>
      <xdr:row>29</xdr:row>
      <xdr:rowOff>324971</xdr:rowOff>
    </xdr:from>
    <xdr:to>
      <xdr:col>12</xdr:col>
      <xdr:colOff>369795</xdr:colOff>
      <xdr:row>31</xdr:row>
      <xdr:rowOff>246530</xdr:rowOff>
    </xdr:to>
    <xdr:sp macro="" textlink="">
      <xdr:nvSpPr>
        <xdr:cNvPr id="27" name="타원 26">
          <a:extLst>
            <a:ext uri="{FF2B5EF4-FFF2-40B4-BE49-F238E27FC236}">
              <a16:creationId xmlns:a16="http://schemas.microsoft.com/office/drawing/2014/main" id="{ACE7E697-97D3-4DB6-BA4D-32FC4173A3DB}"/>
            </a:ext>
          </a:extLst>
        </xdr:cNvPr>
        <xdr:cNvSpPr/>
      </xdr:nvSpPr>
      <xdr:spPr>
        <a:xfrm>
          <a:off x="5177119" y="2252383"/>
          <a:ext cx="705970" cy="638735"/>
        </a:xfrm>
        <a:prstGeom prst="ellipse">
          <a:avLst/>
        </a:prstGeom>
        <a:noFill/>
        <a:ln w="19050">
          <a:solidFill>
            <a:srgbClr val="0000FF"/>
          </a:solidFill>
          <a:prstDash val="solid"/>
        </a:ln>
      </xdr:spPr>
      <xdr:style>
        <a:lnRef idx="2">
          <a:schemeClr val="accent1">
            <a:shade val="50000"/>
          </a:schemeClr>
        </a:lnRef>
        <a:fillRef idx="1">
          <a:schemeClr val="accent1"/>
        </a:fillRef>
        <a:effectRef idx="0">
          <a:schemeClr val="accent1"/>
        </a:effectRef>
        <a:fontRef idx="minor">
          <a:schemeClr val="lt1"/>
        </a:fontRef>
      </xdr:style>
      <xdr:txBody>
        <a:bodyPr vertOverflow="clip" rtlCol="0" anchor="ctr"/>
        <a:lstStyle/>
        <a:p>
          <a:pPr algn="ctr"/>
          <a:endParaRPr lang="ko-KR" altLang="en-US" sz="1100"/>
        </a:p>
      </xdr:txBody>
    </xdr:sp>
    <xdr:clientData/>
  </xdr:twoCellAnchor>
  <xdr:twoCellAnchor>
    <xdr:from>
      <xdr:col>12</xdr:col>
      <xdr:colOff>347382</xdr:colOff>
      <xdr:row>31</xdr:row>
      <xdr:rowOff>89646</xdr:rowOff>
    </xdr:from>
    <xdr:to>
      <xdr:col>15</xdr:col>
      <xdr:colOff>33618</xdr:colOff>
      <xdr:row>32</xdr:row>
      <xdr:rowOff>134471</xdr:rowOff>
    </xdr:to>
    <xdr:cxnSp macro="">
      <xdr:nvCxnSpPr>
        <xdr:cNvPr id="28" name="직선 화살표 연결선 27">
          <a:extLst>
            <a:ext uri="{FF2B5EF4-FFF2-40B4-BE49-F238E27FC236}">
              <a16:creationId xmlns:a16="http://schemas.microsoft.com/office/drawing/2014/main" id="{1018F3D4-949F-4508-928A-65069A13F9FE}"/>
            </a:ext>
          </a:extLst>
        </xdr:cNvPr>
        <xdr:cNvCxnSpPr>
          <a:cxnSpLocks/>
        </xdr:cNvCxnSpPr>
      </xdr:nvCxnSpPr>
      <xdr:spPr>
        <a:xfrm>
          <a:off x="5860676" y="9121587"/>
          <a:ext cx="1501589" cy="403413"/>
        </a:xfrm>
        <a:prstGeom prst="straightConnector1">
          <a:avLst/>
        </a:prstGeom>
        <a:ln w="19050">
          <a:solidFill>
            <a:srgbClr val="0000FF"/>
          </a:solidFill>
          <a:headEnd type="none" w="med" len="med"/>
          <a:tailEnd type="triangle" w="med" len="med"/>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15</xdr:col>
      <xdr:colOff>78442</xdr:colOff>
      <xdr:row>31</xdr:row>
      <xdr:rowOff>123266</xdr:rowOff>
    </xdr:from>
    <xdr:to>
      <xdr:col>16</xdr:col>
      <xdr:colOff>515471</xdr:colOff>
      <xdr:row>35</xdr:row>
      <xdr:rowOff>134472</xdr:rowOff>
    </xdr:to>
    <xdr:sp macro="" textlink="">
      <xdr:nvSpPr>
        <xdr:cNvPr id="29" name="사각형: 둥근 모서리 28">
          <a:extLst>
            <a:ext uri="{FF2B5EF4-FFF2-40B4-BE49-F238E27FC236}">
              <a16:creationId xmlns:a16="http://schemas.microsoft.com/office/drawing/2014/main" id="{482FFB5B-0AC4-4281-8BDD-01A5543D1531}"/>
            </a:ext>
          </a:extLst>
        </xdr:cNvPr>
        <xdr:cNvSpPr/>
      </xdr:nvSpPr>
      <xdr:spPr>
        <a:xfrm>
          <a:off x="7407089" y="9155207"/>
          <a:ext cx="1042147" cy="1445559"/>
        </a:xfrm>
        <a:prstGeom prst="roundRect">
          <a:avLst/>
        </a:prstGeom>
        <a:noFill/>
        <a:ln w="19050">
          <a:solidFill>
            <a:srgbClr val="0000FF"/>
          </a:solidFill>
          <a:prstDash val="solid"/>
        </a:ln>
      </xdr:spPr>
      <xdr:style>
        <a:lnRef idx="2">
          <a:schemeClr val="accent1">
            <a:shade val="50000"/>
          </a:schemeClr>
        </a:lnRef>
        <a:fillRef idx="1">
          <a:schemeClr val="accent1"/>
        </a:fillRef>
        <a:effectRef idx="0">
          <a:schemeClr val="accent1"/>
        </a:effectRef>
        <a:fontRef idx="minor">
          <a:schemeClr val="lt1"/>
        </a:fontRef>
      </xdr:style>
      <xdr:txBody>
        <a:bodyPr vertOverflow="clip" rtlCol="0" anchor="ctr"/>
        <a:lstStyle/>
        <a:p>
          <a:pPr algn="ctr"/>
          <a:endParaRPr lang="ko-KR" altLang="en-US" sz="1100"/>
        </a:p>
      </xdr:txBody>
    </xdr:sp>
    <xdr:clientData/>
  </xdr:twoCellAnchor>
</xdr:wsDr>
</file>

<file path=xl/theme/theme1.xml><?xml version="1.0" encoding="utf-8"?>
<a:theme xmlns:a="http://schemas.openxmlformats.org/drawingml/2006/main" name="Office Theme 2007 - 2010">
  <a:themeElements>
    <a:clrScheme name="Office 2007 - 2010">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2007 - 2010">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2007 - 2010">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8" Type="http://schemas.openxmlformats.org/officeDocument/2006/relationships/drawing" Target="../drawings/drawing1.xml"/><Relationship Id="rId3" Type="http://schemas.openxmlformats.org/officeDocument/2006/relationships/hyperlink" Target="mailto:jonggil.jeon@avocarbon.com" TargetMode="External"/><Relationship Id="rId7" Type="http://schemas.openxmlformats.org/officeDocument/2006/relationships/printerSettings" Target="../printerSettings/printerSettings1.bin"/><Relationship Id="rId2" Type="http://schemas.openxmlformats.org/officeDocument/2006/relationships/hyperlink" Target="mailto:jaeseok.lee@avocarbon.com" TargetMode="External"/><Relationship Id="rId1" Type="http://schemas.openxmlformats.org/officeDocument/2006/relationships/hyperlink" Target="mailto:Anett.Kis@hu.eckerle-gruppe.com" TargetMode="External"/><Relationship Id="rId6" Type="http://schemas.openxmlformats.org/officeDocument/2006/relationships/hyperlink" Target="mailto:jaeseok.lee@avocarbon.com" TargetMode="External"/><Relationship Id="rId11" Type="http://schemas.openxmlformats.org/officeDocument/2006/relationships/comments" Target="../comments1.xml"/><Relationship Id="rId5" Type="http://schemas.openxmlformats.org/officeDocument/2006/relationships/hyperlink" Target="mailto:changmin.park@avocarbon.com" TargetMode="External"/><Relationship Id="rId10" Type="http://schemas.openxmlformats.org/officeDocument/2006/relationships/ctrlProp" Target="../ctrlProps/ctrlProp1.xml"/><Relationship Id="rId4" Type="http://schemas.openxmlformats.org/officeDocument/2006/relationships/hyperlink" Target="mailto:insug.kim@avocarbon.com" TargetMode="External"/><Relationship Id="rId9" Type="http://schemas.openxmlformats.org/officeDocument/2006/relationships/vmlDrawing" Target="../drawings/vmlDrawing1.vml"/></Relationships>
</file>

<file path=xl/worksheets/_rels/sheet2.xml.rels><?xml version="1.0" encoding="UTF-8" standalone="yes"?>
<Relationships xmlns="http://schemas.openxmlformats.org/package/2006/relationships"><Relationship Id="rId3" Type="http://schemas.openxmlformats.org/officeDocument/2006/relationships/vmlDrawing" Target="../drawings/vmlDrawing2.vml"/><Relationship Id="rId2" Type="http://schemas.openxmlformats.org/officeDocument/2006/relationships/drawing" Target="../drawings/drawing2.xml"/><Relationship Id="rId1" Type="http://schemas.openxmlformats.org/officeDocument/2006/relationships/printerSettings" Target="../printerSettings/printerSettings2.bin"/><Relationship Id="rId4" Type="http://schemas.openxmlformats.org/officeDocument/2006/relationships/comments" Target="../comments2.xml"/></Relationships>
</file>

<file path=xl/worksheets/_rels/sheet3.xml.rels><?xml version="1.0" encoding="UTF-8" standalone="yes"?>
<Relationships xmlns="http://schemas.openxmlformats.org/package/2006/relationships"><Relationship Id="rId2" Type="http://schemas.openxmlformats.org/officeDocument/2006/relationships/drawing" Target="../drawings/drawing3.xml"/><Relationship Id="rId1" Type="http://schemas.openxmlformats.org/officeDocument/2006/relationships/printerSettings" Target="../printerSettings/printerSettings3.bin"/></Relationships>
</file>

<file path=xl/worksheets/_rels/sheet4.xml.rels><?xml version="1.0" encoding="UTF-8" standalone="yes"?>
<Relationships xmlns="http://schemas.openxmlformats.org/package/2006/relationships"><Relationship Id="rId3" Type="http://schemas.openxmlformats.org/officeDocument/2006/relationships/vmlDrawing" Target="../drawings/vmlDrawing3.vml"/><Relationship Id="rId2" Type="http://schemas.openxmlformats.org/officeDocument/2006/relationships/drawing" Target="../drawings/drawing4.xml"/><Relationship Id="rId1" Type="http://schemas.openxmlformats.org/officeDocument/2006/relationships/printerSettings" Target="../printerSettings/printerSettings4.bin"/><Relationship Id="rId4" Type="http://schemas.openxmlformats.org/officeDocument/2006/relationships/comments" Target="../comments3.xml"/></Relationships>
</file>

<file path=xl/worksheets/_rels/sheet5.xml.rels><?xml version="1.0" encoding="UTF-8" standalone="yes"?>
<Relationships xmlns="http://schemas.openxmlformats.org/package/2006/relationships"><Relationship Id="rId2" Type="http://schemas.openxmlformats.org/officeDocument/2006/relationships/drawing" Target="../drawings/drawing5.xml"/><Relationship Id="rId1" Type="http://schemas.openxmlformats.org/officeDocument/2006/relationships/printerSettings" Target="../printerSettings/printerSettings5.bin"/></Relationships>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sheetPr codeName="Munka11"/>
  <dimension ref="A1:EC178"/>
  <sheetViews>
    <sheetView showGridLines="0" tabSelected="1" topLeftCell="A134" zoomScale="55" zoomScaleNormal="55" zoomScaleSheetLayoutView="85" workbookViewId="0">
      <selection activeCell="AB185" sqref="AB185"/>
    </sheetView>
  </sheetViews>
  <sheetFormatPr defaultColWidth="4.5703125" defaultRowHeight="12.75"/>
  <cols>
    <col min="1" max="1" width="2.7109375" style="1" customWidth="1"/>
    <col min="2" max="2" width="6.28515625" style="2" customWidth="1"/>
    <col min="3" max="4" width="6.140625" style="2" customWidth="1"/>
    <col min="5" max="5" width="12.85546875" style="2" customWidth="1"/>
    <col min="6" max="6" width="7.85546875" style="2" customWidth="1"/>
    <col min="7" max="10" width="6.140625" style="2" customWidth="1"/>
    <col min="11" max="11" width="10.5703125" style="2" customWidth="1"/>
    <col min="12" max="13" width="6.140625" style="2" customWidth="1"/>
    <col min="14" max="14" width="7" style="2" customWidth="1"/>
    <col min="15" max="15" width="8.28515625" style="2" customWidth="1"/>
    <col min="16" max="16" width="6.140625" style="2" customWidth="1"/>
    <col min="17" max="17" width="6.7109375" style="2" customWidth="1"/>
    <col min="18" max="20" width="6.140625" style="2" customWidth="1"/>
    <col min="21" max="21" width="6.7109375" style="2" customWidth="1"/>
    <col min="22" max="22" width="6.140625" style="2" customWidth="1"/>
    <col min="23" max="23" width="6.5703125" style="2" customWidth="1"/>
    <col min="24" max="24" width="6.140625" style="2" customWidth="1"/>
    <col min="25" max="25" width="6.140625" style="1" customWidth="1"/>
    <col min="26" max="26" width="6.140625" style="2" customWidth="1"/>
    <col min="27" max="27" width="4.5703125" style="3" customWidth="1"/>
    <col min="28" max="41" width="10.85546875" style="2" customWidth="1"/>
    <col min="42" max="240" width="4.5703125" style="2"/>
    <col min="241" max="242" width="2.7109375" style="2" customWidth="1"/>
    <col min="243" max="243" width="4.28515625" style="2" customWidth="1"/>
    <col min="244" max="271" width="4.5703125" style="2" customWidth="1"/>
    <col min="272" max="496" width="4.5703125" style="2"/>
    <col min="497" max="498" width="2.7109375" style="2" customWidth="1"/>
    <col min="499" max="499" width="4.28515625" style="2" customWidth="1"/>
    <col min="500" max="527" width="4.5703125" style="2" customWidth="1"/>
    <col min="528" max="752" width="4.5703125" style="2"/>
    <col min="753" max="754" width="2.7109375" style="2" customWidth="1"/>
    <col min="755" max="755" width="4.28515625" style="2" customWidth="1"/>
    <col min="756" max="783" width="4.5703125" style="2" customWidth="1"/>
    <col min="784" max="1008" width="4.5703125" style="2"/>
    <col min="1009" max="1010" width="2.7109375" style="2" customWidth="1"/>
    <col min="1011" max="1011" width="4.28515625" style="2" customWidth="1"/>
    <col min="1012" max="1039" width="4.5703125" style="2" customWidth="1"/>
    <col min="1040" max="1264" width="4.5703125" style="2"/>
    <col min="1265" max="1266" width="2.7109375" style="2" customWidth="1"/>
    <col min="1267" max="1267" width="4.28515625" style="2" customWidth="1"/>
    <col min="1268" max="1295" width="4.5703125" style="2" customWidth="1"/>
    <col min="1296" max="1520" width="4.5703125" style="2"/>
    <col min="1521" max="1522" width="2.7109375" style="2" customWidth="1"/>
    <col min="1523" max="1523" width="4.28515625" style="2" customWidth="1"/>
    <col min="1524" max="1551" width="4.5703125" style="2" customWidth="1"/>
    <col min="1552" max="1776" width="4.5703125" style="2"/>
    <col min="1777" max="1778" width="2.7109375" style="2" customWidth="1"/>
    <col min="1779" max="1779" width="4.28515625" style="2" customWidth="1"/>
    <col min="1780" max="1807" width="4.5703125" style="2" customWidth="1"/>
    <col min="1808" max="2032" width="4.5703125" style="2"/>
    <col min="2033" max="2034" width="2.7109375" style="2" customWidth="1"/>
    <col min="2035" max="2035" width="4.28515625" style="2" customWidth="1"/>
    <col min="2036" max="2063" width="4.5703125" style="2" customWidth="1"/>
    <col min="2064" max="2288" width="4.5703125" style="2"/>
    <col min="2289" max="2290" width="2.7109375" style="2" customWidth="1"/>
    <col min="2291" max="2291" width="4.28515625" style="2" customWidth="1"/>
    <col min="2292" max="2319" width="4.5703125" style="2" customWidth="1"/>
    <col min="2320" max="2544" width="4.5703125" style="2"/>
    <col min="2545" max="2546" width="2.7109375" style="2" customWidth="1"/>
    <col min="2547" max="2547" width="4.28515625" style="2" customWidth="1"/>
    <col min="2548" max="2575" width="4.5703125" style="2" customWidth="1"/>
    <col min="2576" max="2800" width="4.5703125" style="2"/>
    <col min="2801" max="2802" width="2.7109375" style="2" customWidth="1"/>
    <col min="2803" max="2803" width="4.28515625" style="2" customWidth="1"/>
    <col min="2804" max="2831" width="4.5703125" style="2" customWidth="1"/>
    <col min="2832" max="3056" width="4.5703125" style="2"/>
    <col min="3057" max="3058" width="2.7109375" style="2" customWidth="1"/>
    <col min="3059" max="3059" width="4.28515625" style="2" customWidth="1"/>
    <col min="3060" max="3087" width="4.5703125" style="2" customWidth="1"/>
    <col min="3088" max="3312" width="4.5703125" style="2"/>
    <col min="3313" max="3314" width="2.7109375" style="2" customWidth="1"/>
    <col min="3315" max="3315" width="4.28515625" style="2" customWidth="1"/>
    <col min="3316" max="3343" width="4.5703125" style="2" customWidth="1"/>
    <col min="3344" max="3568" width="4.5703125" style="2"/>
    <col min="3569" max="3570" width="2.7109375" style="2" customWidth="1"/>
    <col min="3571" max="3571" width="4.28515625" style="2" customWidth="1"/>
    <col min="3572" max="3599" width="4.5703125" style="2" customWidth="1"/>
    <col min="3600" max="3824" width="4.5703125" style="2"/>
    <col min="3825" max="3826" width="2.7109375" style="2" customWidth="1"/>
    <col min="3827" max="3827" width="4.28515625" style="2" customWidth="1"/>
    <col min="3828" max="3855" width="4.5703125" style="2" customWidth="1"/>
    <col min="3856" max="4080" width="4.5703125" style="2"/>
    <col min="4081" max="4082" width="2.7109375" style="2" customWidth="1"/>
    <col min="4083" max="4083" width="4.28515625" style="2" customWidth="1"/>
    <col min="4084" max="4111" width="4.5703125" style="2" customWidth="1"/>
    <col min="4112" max="4336" width="4.5703125" style="2"/>
    <col min="4337" max="4338" width="2.7109375" style="2" customWidth="1"/>
    <col min="4339" max="4339" width="4.28515625" style="2" customWidth="1"/>
    <col min="4340" max="4367" width="4.5703125" style="2" customWidth="1"/>
    <col min="4368" max="4592" width="4.5703125" style="2"/>
    <col min="4593" max="4594" width="2.7109375" style="2" customWidth="1"/>
    <col min="4595" max="4595" width="4.28515625" style="2" customWidth="1"/>
    <col min="4596" max="4623" width="4.5703125" style="2" customWidth="1"/>
    <col min="4624" max="4848" width="4.5703125" style="2"/>
    <col min="4849" max="4850" width="2.7109375" style="2" customWidth="1"/>
    <col min="4851" max="4851" width="4.28515625" style="2" customWidth="1"/>
    <col min="4852" max="4879" width="4.5703125" style="2" customWidth="1"/>
    <col min="4880" max="5104" width="4.5703125" style="2"/>
    <col min="5105" max="5106" width="2.7109375" style="2" customWidth="1"/>
    <col min="5107" max="5107" width="4.28515625" style="2" customWidth="1"/>
    <col min="5108" max="5135" width="4.5703125" style="2" customWidth="1"/>
    <col min="5136" max="5360" width="4.5703125" style="2"/>
    <col min="5361" max="5362" width="2.7109375" style="2" customWidth="1"/>
    <col min="5363" max="5363" width="4.28515625" style="2" customWidth="1"/>
    <col min="5364" max="5391" width="4.5703125" style="2" customWidth="1"/>
    <col min="5392" max="5616" width="4.5703125" style="2"/>
    <col min="5617" max="5618" width="2.7109375" style="2" customWidth="1"/>
    <col min="5619" max="5619" width="4.28515625" style="2" customWidth="1"/>
    <col min="5620" max="5647" width="4.5703125" style="2" customWidth="1"/>
    <col min="5648" max="5872" width="4.5703125" style="2"/>
    <col min="5873" max="5874" width="2.7109375" style="2" customWidth="1"/>
    <col min="5875" max="5875" width="4.28515625" style="2" customWidth="1"/>
    <col min="5876" max="5903" width="4.5703125" style="2" customWidth="1"/>
    <col min="5904" max="6128" width="4.5703125" style="2"/>
    <col min="6129" max="6130" width="2.7109375" style="2" customWidth="1"/>
    <col min="6131" max="6131" width="4.28515625" style="2" customWidth="1"/>
    <col min="6132" max="6159" width="4.5703125" style="2" customWidth="1"/>
    <col min="6160" max="6384" width="4.5703125" style="2"/>
    <col min="6385" max="6386" width="2.7109375" style="2" customWidth="1"/>
    <col min="6387" max="6387" width="4.28515625" style="2" customWidth="1"/>
    <col min="6388" max="6415" width="4.5703125" style="2" customWidth="1"/>
    <col min="6416" max="6640" width="4.5703125" style="2"/>
    <col min="6641" max="6642" width="2.7109375" style="2" customWidth="1"/>
    <col min="6643" max="6643" width="4.28515625" style="2" customWidth="1"/>
    <col min="6644" max="6671" width="4.5703125" style="2" customWidth="1"/>
    <col min="6672" max="6896" width="4.5703125" style="2"/>
    <col min="6897" max="6898" width="2.7109375" style="2" customWidth="1"/>
    <col min="6899" max="6899" width="4.28515625" style="2" customWidth="1"/>
    <col min="6900" max="6927" width="4.5703125" style="2" customWidth="1"/>
    <col min="6928" max="7152" width="4.5703125" style="2"/>
    <col min="7153" max="7154" width="2.7109375" style="2" customWidth="1"/>
    <col min="7155" max="7155" width="4.28515625" style="2" customWidth="1"/>
    <col min="7156" max="7183" width="4.5703125" style="2" customWidth="1"/>
    <col min="7184" max="7408" width="4.5703125" style="2"/>
    <col min="7409" max="7410" width="2.7109375" style="2" customWidth="1"/>
    <col min="7411" max="7411" width="4.28515625" style="2" customWidth="1"/>
    <col min="7412" max="7439" width="4.5703125" style="2" customWidth="1"/>
    <col min="7440" max="7664" width="4.5703125" style="2"/>
    <col min="7665" max="7666" width="2.7109375" style="2" customWidth="1"/>
    <col min="7667" max="7667" width="4.28515625" style="2" customWidth="1"/>
    <col min="7668" max="7695" width="4.5703125" style="2" customWidth="1"/>
    <col min="7696" max="7920" width="4.5703125" style="2"/>
    <col min="7921" max="7922" width="2.7109375" style="2" customWidth="1"/>
    <col min="7923" max="7923" width="4.28515625" style="2" customWidth="1"/>
    <col min="7924" max="7951" width="4.5703125" style="2" customWidth="1"/>
    <col min="7952" max="8176" width="4.5703125" style="2"/>
    <col min="8177" max="8178" width="2.7109375" style="2" customWidth="1"/>
    <col min="8179" max="8179" width="4.28515625" style="2" customWidth="1"/>
    <col min="8180" max="8207" width="4.5703125" style="2" customWidth="1"/>
    <col min="8208" max="8432" width="4.5703125" style="2"/>
    <col min="8433" max="8434" width="2.7109375" style="2" customWidth="1"/>
    <col min="8435" max="8435" width="4.28515625" style="2" customWidth="1"/>
    <col min="8436" max="8463" width="4.5703125" style="2" customWidth="1"/>
    <col min="8464" max="8688" width="4.5703125" style="2"/>
    <col min="8689" max="8690" width="2.7109375" style="2" customWidth="1"/>
    <col min="8691" max="8691" width="4.28515625" style="2" customWidth="1"/>
    <col min="8692" max="8719" width="4.5703125" style="2" customWidth="1"/>
    <col min="8720" max="8944" width="4.5703125" style="2"/>
    <col min="8945" max="8946" width="2.7109375" style="2" customWidth="1"/>
    <col min="8947" max="8947" width="4.28515625" style="2" customWidth="1"/>
    <col min="8948" max="8975" width="4.5703125" style="2" customWidth="1"/>
    <col min="8976" max="9200" width="4.5703125" style="2"/>
    <col min="9201" max="9202" width="2.7109375" style="2" customWidth="1"/>
    <col min="9203" max="9203" width="4.28515625" style="2" customWidth="1"/>
    <col min="9204" max="9231" width="4.5703125" style="2" customWidth="1"/>
    <col min="9232" max="9456" width="4.5703125" style="2"/>
    <col min="9457" max="9458" width="2.7109375" style="2" customWidth="1"/>
    <col min="9459" max="9459" width="4.28515625" style="2" customWidth="1"/>
    <col min="9460" max="9487" width="4.5703125" style="2" customWidth="1"/>
    <col min="9488" max="9712" width="4.5703125" style="2"/>
    <col min="9713" max="9714" width="2.7109375" style="2" customWidth="1"/>
    <col min="9715" max="9715" width="4.28515625" style="2" customWidth="1"/>
    <col min="9716" max="9743" width="4.5703125" style="2" customWidth="1"/>
    <col min="9744" max="9968" width="4.5703125" style="2"/>
    <col min="9969" max="9970" width="2.7109375" style="2" customWidth="1"/>
    <col min="9971" max="9971" width="4.28515625" style="2" customWidth="1"/>
    <col min="9972" max="9999" width="4.5703125" style="2" customWidth="1"/>
    <col min="10000" max="10224" width="4.5703125" style="2"/>
    <col min="10225" max="10226" width="2.7109375" style="2" customWidth="1"/>
    <col min="10227" max="10227" width="4.28515625" style="2" customWidth="1"/>
    <col min="10228" max="10255" width="4.5703125" style="2" customWidth="1"/>
    <col min="10256" max="10480" width="4.5703125" style="2"/>
    <col min="10481" max="10482" width="2.7109375" style="2" customWidth="1"/>
    <col min="10483" max="10483" width="4.28515625" style="2" customWidth="1"/>
    <col min="10484" max="10511" width="4.5703125" style="2" customWidth="1"/>
    <col min="10512" max="10736" width="4.5703125" style="2"/>
    <col min="10737" max="10738" width="2.7109375" style="2" customWidth="1"/>
    <col min="10739" max="10739" width="4.28515625" style="2" customWidth="1"/>
    <col min="10740" max="10767" width="4.5703125" style="2" customWidth="1"/>
    <col min="10768" max="10992" width="4.5703125" style="2"/>
    <col min="10993" max="10994" width="2.7109375" style="2" customWidth="1"/>
    <col min="10995" max="10995" width="4.28515625" style="2" customWidth="1"/>
    <col min="10996" max="11023" width="4.5703125" style="2" customWidth="1"/>
    <col min="11024" max="11248" width="4.5703125" style="2"/>
    <col min="11249" max="11250" width="2.7109375" style="2" customWidth="1"/>
    <col min="11251" max="11251" width="4.28515625" style="2" customWidth="1"/>
    <col min="11252" max="11279" width="4.5703125" style="2" customWidth="1"/>
    <col min="11280" max="11504" width="4.5703125" style="2"/>
    <col min="11505" max="11506" width="2.7109375" style="2" customWidth="1"/>
    <col min="11507" max="11507" width="4.28515625" style="2" customWidth="1"/>
    <col min="11508" max="11535" width="4.5703125" style="2" customWidth="1"/>
    <col min="11536" max="11760" width="4.5703125" style="2"/>
    <col min="11761" max="11762" width="2.7109375" style="2" customWidth="1"/>
    <col min="11763" max="11763" width="4.28515625" style="2" customWidth="1"/>
    <col min="11764" max="11791" width="4.5703125" style="2" customWidth="1"/>
    <col min="11792" max="12016" width="4.5703125" style="2"/>
    <col min="12017" max="12018" width="2.7109375" style="2" customWidth="1"/>
    <col min="12019" max="12019" width="4.28515625" style="2" customWidth="1"/>
    <col min="12020" max="12047" width="4.5703125" style="2" customWidth="1"/>
    <col min="12048" max="12272" width="4.5703125" style="2"/>
    <col min="12273" max="12274" width="2.7109375" style="2" customWidth="1"/>
    <col min="12275" max="12275" width="4.28515625" style="2" customWidth="1"/>
    <col min="12276" max="12303" width="4.5703125" style="2" customWidth="1"/>
    <col min="12304" max="12528" width="4.5703125" style="2"/>
    <col min="12529" max="12530" width="2.7109375" style="2" customWidth="1"/>
    <col min="12531" max="12531" width="4.28515625" style="2" customWidth="1"/>
    <col min="12532" max="12559" width="4.5703125" style="2" customWidth="1"/>
    <col min="12560" max="12784" width="4.5703125" style="2"/>
    <col min="12785" max="12786" width="2.7109375" style="2" customWidth="1"/>
    <col min="12787" max="12787" width="4.28515625" style="2" customWidth="1"/>
    <col min="12788" max="12815" width="4.5703125" style="2" customWidth="1"/>
    <col min="12816" max="13040" width="4.5703125" style="2"/>
    <col min="13041" max="13042" width="2.7109375" style="2" customWidth="1"/>
    <col min="13043" max="13043" width="4.28515625" style="2" customWidth="1"/>
    <col min="13044" max="13071" width="4.5703125" style="2" customWidth="1"/>
    <col min="13072" max="13296" width="4.5703125" style="2"/>
    <col min="13297" max="13298" width="2.7109375" style="2" customWidth="1"/>
    <col min="13299" max="13299" width="4.28515625" style="2" customWidth="1"/>
    <col min="13300" max="13327" width="4.5703125" style="2" customWidth="1"/>
    <col min="13328" max="13552" width="4.5703125" style="2"/>
    <col min="13553" max="13554" width="2.7109375" style="2" customWidth="1"/>
    <col min="13555" max="13555" width="4.28515625" style="2" customWidth="1"/>
    <col min="13556" max="13583" width="4.5703125" style="2" customWidth="1"/>
    <col min="13584" max="13808" width="4.5703125" style="2"/>
    <col min="13809" max="13810" width="2.7109375" style="2" customWidth="1"/>
    <col min="13811" max="13811" width="4.28515625" style="2" customWidth="1"/>
    <col min="13812" max="13839" width="4.5703125" style="2" customWidth="1"/>
    <col min="13840" max="14064" width="4.5703125" style="2"/>
    <col min="14065" max="14066" width="2.7109375" style="2" customWidth="1"/>
    <col min="14067" max="14067" width="4.28515625" style="2" customWidth="1"/>
    <col min="14068" max="14095" width="4.5703125" style="2" customWidth="1"/>
    <col min="14096" max="14320" width="4.5703125" style="2"/>
    <col min="14321" max="14322" width="2.7109375" style="2" customWidth="1"/>
    <col min="14323" max="14323" width="4.28515625" style="2" customWidth="1"/>
    <col min="14324" max="14351" width="4.5703125" style="2" customWidth="1"/>
    <col min="14352" max="14576" width="4.5703125" style="2"/>
    <col min="14577" max="14578" width="2.7109375" style="2" customWidth="1"/>
    <col min="14579" max="14579" width="4.28515625" style="2" customWidth="1"/>
    <col min="14580" max="14607" width="4.5703125" style="2" customWidth="1"/>
    <col min="14608" max="14832" width="4.5703125" style="2"/>
    <col min="14833" max="14834" width="2.7109375" style="2" customWidth="1"/>
    <col min="14835" max="14835" width="4.28515625" style="2" customWidth="1"/>
    <col min="14836" max="14863" width="4.5703125" style="2" customWidth="1"/>
    <col min="14864" max="15088" width="4.5703125" style="2"/>
    <col min="15089" max="15090" width="2.7109375" style="2" customWidth="1"/>
    <col min="15091" max="15091" width="4.28515625" style="2" customWidth="1"/>
    <col min="15092" max="15119" width="4.5703125" style="2" customWidth="1"/>
    <col min="15120" max="15344" width="4.5703125" style="2"/>
    <col min="15345" max="15346" width="2.7109375" style="2" customWidth="1"/>
    <col min="15347" max="15347" width="4.28515625" style="2" customWidth="1"/>
    <col min="15348" max="15375" width="4.5703125" style="2" customWidth="1"/>
    <col min="15376" max="15600" width="4.5703125" style="2"/>
    <col min="15601" max="15602" width="2.7109375" style="2" customWidth="1"/>
    <col min="15603" max="15603" width="4.28515625" style="2" customWidth="1"/>
    <col min="15604" max="15631" width="4.5703125" style="2" customWidth="1"/>
    <col min="15632" max="15856" width="4.5703125" style="2"/>
    <col min="15857" max="15858" width="2.7109375" style="2" customWidth="1"/>
    <col min="15859" max="15859" width="4.28515625" style="2" customWidth="1"/>
    <col min="15860" max="15887" width="4.5703125" style="2" customWidth="1"/>
    <col min="15888" max="16112" width="4.5703125" style="2"/>
    <col min="16113" max="16114" width="2.7109375" style="2" customWidth="1"/>
    <col min="16115" max="16115" width="4.28515625" style="2" customWidth="1"/>
    <col min="16116" max="16143" width="4.5703125" style="2" customWidth="1"/>
    <col min="16144" max="16384" width="4.5703125" style="2"/>
  </cols>
  <sheetData>
    <row r="1" spans="2:43" hidden="1"/>
    <row r="2" spans="2:43" ht="15" hidden="1">
      <c r="G2" s="14" t="s">
        <v>210</v>
      </c>
    </row>
    <row r="3" spans="2:43" ht="15" hidden="1">
      <c r="G3" s="14" t="s">
        <v>211</v>
      </c>
    </row>
    <row r="4" spans="2:43" ht="15" hidden="1">
      <c r="G4" s="14" t="s">
        <v>109</v>
      </c>
    </row>
    <row r="5" spans="2:43" ht="15" hidden="1">
      <c r="G5" s="14" t="s">
        <v>110</v>
      </c>
    </row>
    <row r="6" spans="2:43" ht="15" hidden="1">
      <c r="G6" s="14" t="s">
        <v>111</v>
      </c>
    </row>
    <row r="7" spans="2:43" ht="15" hidden="1">
      <c r="G7" s="14" t="s">
        <v>112</v>
      </c>
    </row>
    <row r="8" spans="2:43" ht="15" hidden="1">
      <c r="G8" s="14" t="s">
        <v>113</v>
      </c>
    </row>
    <row r="9" spans="2:43" ht="15" hidden="1">
      <c r="G9" s="14" t="s">
        <v>114</v>
      </c>
    </row>
    <row r="10" spans="2:43" ht="15" hidden="1">
      <c r="G10" s="14" t="s">
        <v>115</v>
      </c>
    </row>
    <row r="11" spans="2:43" ht="15" hidden="1">
      <c r="G11" s="14" t="s">
        <v>116</v>
      </c>
    </row>
    <row r="12" spans="2:43" ht="15" hidden="1">
      <c r="G12" s="14" t="s">
        <v>117</v>
      </c>
    </row>
    <row r="13" spans="2:43" ht="15" hidden="1">
      <c r="G13" s="14" t="s">
        <v>118</v>
      </c>
    </row>
    <row r="14" spans="2:43" ht="15" hidden="1">
      <c r="G14" s="14" t="s">
        <v>119</v>
      </c>
    </row>
    <row r="15" spans="2:43" ht="15" hidden="1">
      <c r="G15" s="14" t="s">
        <v>212</v>
      </c>
    </row>
    <row r="16" spans="2:43" ht="16.5">
      <c r="B16" s="19" t="s">
        <v>305</v>
      </c>
      <c r="C16" s="20"/>
      <c r="D16" s="20"/>
      <c r="E16" s="20"/>
      <c r="F16" s="20"/>
      <c r="G16" s="20"/>
      <c r="H16" s="20"/>
      <c r="I16" s="20"/>
      <c r="J16" s="20"/>
      <c r="K16" s="20"/>
      <c r="L16" s="20"/>
      <c r="M16" s="20"/>
      <c r="N16" s="20"/>
      <c r="O16" s="20"/>
      <c r="P16" s="20"/>
      <c r="Q16" s="20"/>
      <c r="R16" s="20"/>
      <c r="S16" s="20"/>
      <c r="T16" s="20"/>
      <c r="U16" s="20"/>
      <c r="V16" s="20"/>
      <c r="W16" s="20"/>
      <c r="X16" s="20"/>
      <c r="Y16" s="21"/>
      <c r="Z16" s="20"/>
      <c r="AA16" s="22"/>
      <c r="AB16" s="20"/>
      <c r="AC16" s="20"/>
      <c r="AD16" s="20"/>
      <c r="AE16" s="20"/>
      <c r="AF16" s="20"/>
      <c r="AG16" s="20"/>
      <c r="AH16" s="20"/>
      <c r="AI16" s="20"/>
      <c r="AJ16" s="20"/>
      <c r="AK16" s="20"/>
      <c r="AL16" s="20"/>
      <c r="AM16" s="20"/>
      <c r="AN16" s="20"/>
      <c r="AO16" s="20"/>
      <c r="AP16" s="20"/>
      <c r="AQ16" s="20"/>
    </row>
    <row r="17" spans="2:43" ht="51" customHeight="1">
      <c r="B17" s="362" t="s">
        <v>306</v>
      </c>
      <c r="C17" s="362"/>
      <c r="D17" s="362"/>
      <c r="E17" s="362"/>
      <c r="F17" s="362"/>
      <c r="G17" s="362"/>
      <c r="H17" s="362"/>
      <c r="I17" s="362"/>
      <c r="J17" s="362"/>
      <c r="K17" s="362"/>
      <c r="L17" s="362"/>
      <c r="M17" s="362"/>
      <c r="N17" s="362"/>
      <c r="O17" s="362"/>
      <c r="P17" s="362"/>
      <c r="Q17" s="362"/>
      <c r="R17" s="362"/>
      <c r="S17" s="362"/>
      <c r="T17" s="362"/>
      <c r="U17" s="362"/>
      <c r="V17" s="362"/>
      <c r="W17" s="362"/>
      <c r="X17" s="362"/>
      <c r="Y17" s="362"/>
      <c r="Z17" s="362"/>
      <c r="AA17" s="362"/>
      <c r="AB17" s="362"/>
      <c r="AC17" s="20"/>
      <c r="AD17" s="20"/>
      <c r="AE17" s="20"/>
      <c r="AF17" s="20"/>
      <c r="AG17" s="20"/>
      <c r="AH17" s="20"/>
      <c r="AI17" s="20"/>
      <c r="AJ17" s="20"/>
      <c r="AK17" s="20"/>
      <c r="AL17" s="20"/>
      <c r="AM17" s="20"/>
      <c r="AN17" s="20"/>
      <c r="AO17" s="20"/>
      <c r="AP17" s="20"/>
      <c r="AQ17" s="20"/>
    </row>
    <row r="18" spans="2:43" ht="12" customHeight="1">
      <c r="B18" s="570"/>
      <c r="C18" s="571"/>
      <c r="D18" s="571"/>
      <c r="E18" s="571"/>
      <c r="F18" s="571"/>
      <c r="G18" s="572"/>
      <c r="H18" s="585" t="s">
        <v>69</v>
      </c>
      <c r="I18" s="586"/>
      <c r="J18" s="586"/>
      <c r="K18" s="586"/>
      <c r="L18" s="586"/>
      <c r="M18" s="586"/>
      <c r="N18" s="586"/>
      <c r="O18" s="586"/>
      <c r="P18" s="586"/>
      <c r="Q18" s="586"/>
      <c r="R18" s="586"/>
      <c r="S18" s="586"/>
      <c r="T18" s="586"/>
      <c r="U18" s="586"/>
      <c r="V18" s="586"/>
      <c r="W18" s="587"/>
      <c r="X18" s="512"/>
      <c r="Y18" s="513"/>
      <c r="Z18" s="514"/>
      <c r="AA18" s="377" t="s">
        <v>101</v>
      </c>
      <c r="AB18" s="378"/>
      <c r="AC18" s="378"/>
      <c r="AD18" s="378"/>
      <c r="AE18" s="378"/>
      <c r="AF18" s="378"/>
      <c r="AG18" s="378"/>
      <c r="AH18" s="378"/>
      <c r="AI18" s="378"/>
      <c r="AJ18" s="378"/>
      <c r="AK18" s="378"/>
      <c r="AL18" s="378"/>
      <c r="AM18" s="378"/>
      <c r="AN18" s="378"/>
      <c r="AO18" s="378"/>
      <c r="AP18" s="378"/>
      <c r="AQ18" s="379"/>
    </row>
    <row r="19" spans="2:43" ht="12" customHeight="1">
      <c r="B19" s="573"/>
      <c r="C19" s="574"/>
      <c r="D19" s="574"/>
      <c r="E19" s="574"/>
      <c r="F19" s="574"/>
      <c r="G19" s="575"/>
      <c r="H19" s="588"/>
      <c r="I19" s="589"/>
      <c r="J19" s="589"/>
      <c r="K19" s="589"/>
      <c r="L19" s="589"/>
      <c r="M19" s="589"/>
      <c r="N19" s="589"/>
      <c r="O19" s="589"/>
      <c r="P19" s="589"/>
      <c r="Q19" s="589"/>
      <c r="R19" s="589"/>
      <c r="S19" s="589"/>
      <c r="T19" s="589"/>
      <c r="U19" s="589"/>
      <c r="V19" s="589"/>
      <c r="W19" s="590"/>
      <c r="X19" s="515"/>
      <c r="Y19" s="516"/>
      <c r="Z19" s="517"/>
      <c r="AA19" s="380"/>
      <c r="AB19" s="381"/>
      <c r="AC19" s="381"/>
      <c r="AD19" s="381"/>
      <c r="AE19" s="381"/>
      <c r="AF19" s="381"/>
      <c r="AG19" s="381"/>
      <c r="AH19" s="381"/>
      <c r="AI19" s="381"/>
      <c r="AJ19" s="381"/>
      <c r="AK19" s="381"/>
      <c r="AL19" s="381"/>
      <c r="AM19" s="381"/>
      <c r="AN19" s="381"/>
      <c r="AO19" s="381"/>
      <c r="AP19" s="381"/>
      <c r="AQ19" s="382"/>
    </row>
    <row r="20" spans="2:43" ht="12" customHeight="1">
      <c r="B20" s="573"/>
      <c r="C20" s="574"/>
      <c r="D20" s="574"/>
      <c r="E20" s="574"/>
      <c r="F20" s="574"/>
      <c r="G20" s="575"/>
      <c r="H20" s="588"/>
      <c r="I20" s="589"/>
      <c r="J20" s="589"/>
      <c r="K20" s="589"/>
      <c r="L20" s="589"/>
      <c r="M20" s="589"/>
      <c r="N20" s="589"/>
      <c r="O20" s="589"/>
      <c r="P20" s="589"/>
      <c r="Q20" s="589"/>
      <c r="R20" s="589"/>
      <c r="S20" s="589"/>
      <c r="T20" s="589"/>
      <c r="U20" s="589"/>
      <c r="V20" s="589"/>
      <c r="W20" s="590"/>
      <c r="X20" s="515"/>
      <c r="Y20" s="516"/>
      <c r="Z20" s="517"/>
      <c r="AA20" s="380"/>
      <c r="AB20" s="381"/>
      <c r="AC20" s="381"/>
      <c r="AD20" s="381"/>
      <c r="AE20" s="381"/>
      <c r="AF20" s="381"/>
      <c r="AG20" s="381"/>
      <c r="AH20" s="381"/>
      <c r="AI20" s="381"/>
      <c r="AJ20" s="381"/>
      <c r="AK20" s="381"/>
      <c r="AL20" s="381"/>
      <c r="AM20" s="381"/>
      <c r="AN20" s="381"/>
      <c r="AO20" s="381"/>
      <c r="AP20" s="381"/>
      <c r="AQ20" s="382"/>
    </row>
    <row r="21" spans="2:43" ht="12" customHeight="1">
      <c r="B21" s="573"/>
      <c r="C21" s="574"/>
      <c r="D21" s="574"/>
      <c r="E21" s="574"/>
      <c r="F21" s="574"/>
      <c r="G21" s="575"/>
      <c r="H21" s="588"/>
      <c r="I21" s="589"/>
      <c r="J21" s="589"/>
      <c r="K21" s="589"/>
      <c r="L21" s="589"/>
      <c r="M21" s="589"/>
      <c r="N21" s="589"/>
      <c r="O21" s="589"/>
      <c r="P21" s="589"/>
      <c r="Q21" s="589"/>
      <c r="R21" s="589"/>
      <c r="S21" s="589"/>
      <c r="T21" s="589"/>
      <c r="U21" s="589"/>
      <c r="V21" s="589"/>
      <c r="W21" s="590"/>
      <c r="X21" s="515"/>
      <c r="Y21" s="516"/>
      <c r="Z21" s="517"/>
      <c r="AA21" s="503"/>
      <c r="AB21" s="504"/>
      <c r="AC21" s="504"/>
      <c r="AD21" s="504"/>
      <c r="AE21" s="504"/>
      <c r="AF21" s="504"/>
      <c r="AG21" s="504"/>
      <c r="AH21" s="504"/>
      <c r="AI21" s="504"/>
      <c r="AJ21" s="504"/>
      <c r="AK21" s="504"/>
      <c r="AL21" s="504"/>
      <c r="AM21" s="504"/>
      <c r="AN21" s="504"/>
      <c r="AO21" s="504"/>
      <c r="AP21" s="504"/>
      <c r="AQ21" s="505"/>
    </row>
    <row r="22" spans="2:43" ht="12" customHeight="1" thickBot="1">
      <c r="B22" s="573"/>
      <c r="C22" s="574"/>
      <c r="D22" s="574"/>
      <c r="E22" s="574"/>
      <c r="F22" s="574"/>
      <c r="G22" s="575"/>
      <c r="H22" s="588"/>
      <c r="I22" s="589"/>
      <c r="J22" s="589"/>
      <c r="K22" s="589"/>
      <c r="L22" s="589"/>
      <c r="M22" s="589"/>
      <c r="N22" s="589"/>
      <c r="O22" s="589"/>
      <c r="P22" s="589"/>
      <c r="Q22" s="589"/>
      <c r="R22" s="589"/>
      <c r="S22" s="589"/>
      <c r="T22" s="589"/>
      <c r="U22" s="589"/>
      <c r="V22" s="589"/>
      <c r="W22" s="590"/>
      <c r="X22" s="515"/>
      <c r="Y22" s="516"/>
      <c r="Z22" s="517"/>
      <c r="AA22" s="23"/>
      <c r="AB22" s="20"/>
      <c r="AC22" s="20"/>
      <c r="AD22" s="20"/>
      <c r="AE22" s="20"/>
      <c r="AF22" s="20"/>
      <c r="AG22" s="20"/>
      <c r="AH22" s="20"/>
      <c r="AI22" s="20"/>
      <c r="AJ22" s="20"/>
      <c r="AK22" s="20"/>
      <c r="AL22" s="20"/>
      <c r="AM22" s="20"/>
      <c r="AN22" s="20"/>
      <c r="AO22" s="20"/>
      <c r="AP22" s="20"/>
      <c r="AQ22" s="24"/>
    </row>
    <row r="23" spans="2:43" ht="12" customHeight="1">
      <c r="B23" s="573"/>
      <c r="C23" s="574"/>
      <c r="D23" s="574"/>
      <c r="E23" s="574"/>
      <c r="F23" s="574"/>
      <c r="G23" s="575"/>
      <c r="H23" s="591" t="s">
        <v>133</v>
      </c>
      <c r="I23" s="592"/>
      <c r="J23" s="592"/>
      <c r="K23" s="592"/>
      <c r="L23" s="592"/>
      <c r="M23" s="592"/>
      <c r="N23" s="592"/>
      <c r="O23" s="592"/>
      <c r="P23" s="592"/>
      <c r="Q23" s="592"/>
      <c r="R23" s="592"/>
      <c r="S23" s="592"/>
      <c r="T23" s="592"/>
      <c r="U23" s="592"/>
      <c r="V23" s="592"/>
      <c r="W23" s="593"/>
      <c r="X23" s="515"/>
      <c r="Y23" s="516"/>
      <c r="Z23" s="517"/>
      <c r="AA23" s="23"/>
      <c r="AB23" s="25"/>
      <c r="AC23" s="26"/>
      <c r="AD23" s="26"/>
      <c r="AE23" s="26"/>
      <c r="AF23" s="26"/>
      <c r="AG23" s="26"/>
      <c r="AH23" s="26"/>
      <c r="AI23" s="26"/>
      <c r="AJ23" s="26"/>
      <c r="AK23" s="26"/>
      <c r="AL23" s="26"/>
      <c r="AM23" s="26"/>
      <c r="AN23" s="26"/>
      <c r="AO23" s="27"/>
      <c r="AP23" s="20"/>
      <c r="AQ23" s="24"/>
    </row>
    <row r="24" spans="2:43" ht="15" customHeight="1" thickBot="1">
      <c r="B24" s="573"/>
      <c r="C24" s="574"/>
      <c r="D24" s="574"/>
      <c r="E24" s="574"/>
      <c r="F24" s="574"/>
      <c r="G24" s="575"/>
      <c r="H24" s="594"/>
      <c r="I24" s="595"/>
      <c r="J24" s="595"/>
      <c r="K24" s="595"/>
      <c r="L24" s="595"/>
      <c r="M24" s="595"/>
      <c r="N24" s="595"/>
      <c r="O24" s="595"/>
      <c r="P24" s="595"/>
      <c r="Q24" s="595"/>
      <c r="R24" s="595"/>
      <c r="S24" s="595"/>
      <c r="T24" s="595"/>
      <c r="U24" s="595"/>
      <c r="V24" s="595"/>
      <c r="W24" s="596"/>
      <c r="X24" s="518"/>
      <c r="Y24" s="519"/>
      <c r="Z24" s="520"/>
      <c r="AA24" s="23"/>
      <c r="AB24" s="28"/>
      <c r="AC24" s="29"/>
      <c r="AD24" s="29"/>
      <c r="AE24" s="29"/>
      <c r="AF24" s="29"/>
      <c r="AG24" s="29"/>
      <c r="AH24" s="29"/>
      <c r="AI24" s="29"/>
      <c r="AJ24" s="29"/>
      <c r="AK24" s="29"/>
      <c r="AL24" s="29"/>
      <c r="AM24" s="29"/>
      <c r="AN24" s="29"/>
      <c r="AO24" s="30"/>
      <c r="AP24" s="20"/>
      <c r="AQ24" s="24"/>
    </row>
    <row r="25" spans="2:43" ht="14.25" customHeight="1" thickTop="1">
      <c r="B25" s="573"/>
      <c r="C25" s="574"/>
      <c r="D25" s="574"/>
      <c r="E25" s="574"/>
      <c r="F25" s="574"/>
      <c r="G25" s="575"/>
      <c r="H25" s="521"/>
      <c r="I25" s="522"/>
      <c r="J25" s="522"/>
      <c r="K25" s="522"/>
      <c r="L25" s="522"/>
      <c r="M25" s="522"/>
      <c r="N25" s="522"/>
      <c r="O25" s="522"/>
      <c r="P25" s="522"/>
      <c r="Q25" s="522"/>
      <c r="R25" s="523"/>
      <c r="S25" s="31"/>
      <c r="T25" s="32"/>
      <c r="U25" s="33" t="s">
        <v>73</v>
      </c>
      <c r="V25" s="569" t="s">
        <v>397</v>
      </c>
      <c r="W25" s="528"/>
      <c r="X25" s="528"/>
      <c r="Y25" s="528"/>
      <c r="Z25" s="524" t="s">
        <v>100</v>
      </c>
      <c r="AA25" s="23"/>
      <c r="AB25" s="28"/>
      <c r="AC25" s="650"/>
      <c r="AD25" s="651"/>
      <c r="AE25" s="651"/>
      <c r="AF25" s="651"/>
      <c r="AG25" s="652"/>
      <c r="AH25" s="649"/>
      <c r="AI25" s="640"/>
      <c r="AJ25" s="641"/>
      <c r="AK25" s="641"/>
      <c r="AL25" s="641"/>
      <c r="AM25" s="641"/>
      <c r="AN25" s="642"/>
      <c r="AO25" s="30"/>
      <c r="AP25" s="20"/>
      <c r="AQ25" s="24"/>
    </row>
    <row r="26" spans="2:43" ht="14.25" customHeight="1">
      <c r="B26" s="573"/>
      <c r="C26" s="574"/>
      <c r="D26" s="574"/>
      <c r="E26" s="574"/>
      <c r="F26" s="574"/>
      <c r="G26" s="575"/>
      <c r="H26" s="34"/>
      <c r="I26" s="35"/>
      <c r="J26" s="36" t="s">
        <v>218</v>
      </c>
      <c r="K26" s="527"/>
      <c r="L26" s="528"/>
      <c r="M26" s="528"/>
      <c r="N26" s="528"/>
      <c r="O26" s="528"/>
      <c r="P26" s="528"/>
      <c r="Q26" s="35"/>
      <c r="R26" s="37"/>
      <c r="S26" s="31"/>
      <c r="T26" s="38"/>
      <c r="U26" s="36" t="s">
        <v>24</v>
      </c>
      <c r="V26" s="569"/>
      <c r="W26" s="528"/>
      <c r="X26" s="528"/>
      <c r="Y26" s="528"/>
      <c r="Z26" s="525" t="s">
        <v>23</v>
      </c>
      <c r="AA26" s="23"/>
      <c r="AB26" s="28"/>
      <c r="AC26" s="653"/>
      <c r="AD26" s="654"/>
      <c r="AE26" s="654"/>
      <c r="AF26" s="654"/>
      <c r="AG26" s="655"/>
      <c r="AH26" s="649"/>
      <c r="AI26" s="643"/>
      <c r="AJ26" s="644"/>
      <c r="AK26" s="644"/>
      <c r="AL26" s="644"/>
      <c r="AM26" s="644"/>
      <c r="AN26" s="645"/>
      <c r="AO26" s="30"/>
      <c r="AP26" s="20"/>
      <c r="AQ26" s="24"/>
    </row>
    <row r="27" spans="2:43" ht="14.25" customHeight="1">
      <c r="B27" s="573"/>
      <c r="C27" s="574"/>
      <c r="D27" s="574"/>
      <c r="E27" s="574"/>
      <c r="F27" s="574"/>
      <c r="G27" s="575"/>
      <c r="H27" s="34"/>
      <c r="I27" s="35"/>
      <c r="J27" s="36" t="s">
        <v>25</v>
      </c>
      <c r="K27" s="528"/>
      <c r="L27" s="528"/>
      <c r="M27" s="528"/>
      <c r="N27" s="528"/>
      <c r="O27" s="528"/>
      <c r="P27" s="528"/>
      <c r="Q27" s="39"/>
      <c r="R27" s="39"/>
      <c r="S27" s="31"/>
      <c r="T27" s="38"/>
      <c r="U27" s="36" t="s">
        <v>26</v>
      </c>
      <c r="V27" s="528"/>
      <c r="W27" s="528"/>
      <c r="X27" s="528"/>
      <c r="Y27" s="528"/>
      <c r="Z27" s="525"/>
      <c r="AA27" s="23"/>
      <c r="AB27" s="28"/>
      <c r="AC27" s="653"/>
      <c r="AD27" s="654"/>
      <c r="AE27" s="654"/>
      <c r="AF27" s="654"/>
      <c r="AG27" s="655"/>
      <c r="AH27" s="649"/>
      <c r="AI27" s="643"/>
      <c r="AJ27" s="644"/>
      <c r="AK27" s="644"/>
      <c r="AL27" s="644"/>
      <c r="AM27" s="644"/>
      <c r="AN27" s="645"/>
      <c r="AO27" s="30"/>
      <c r="AP27" s="20"/>
      <c r="AQ27" s="24"/>
    </row>
    <row r="28" spans="2:43" ht="14.25" customHeight="1">
      <c r="B28" s="576"/>
      <c r="C28" s="577"/>
      <c r="D28" s="577"/>
      <c r="E28" s="577"/>
      <c r="F28" s="577"/>
      <c r="G28" s="578"/>
      <c r="H28" s="40"/>
      <c r="I28" s="39"/>
      <c r="J28" s="39"/>
      <c r="K28" s="477"/>
      <c r="L28" s="477"/>
      <c r="M28" s="477"/>
      <c r="N28" s="477"/>
      <c r="O28" s="477"/>
      <c r="P28" s="41"/>
      <c r="Q28" s="39"/>
      <c r="R28" s="42"/>
      <c r="S28" s="31"/>
      <c r="T28" s="38"/>
      <c r="U28" s="38"/>
      <c r="V28" s="39"/>
      <c r="W28" s="474"/>
      <c r="X28" s="475"/>
      <c r="Y28" s="476"/>
      <c r="Z28" s="526"/>
      <c r="AA28" s="23"/>
      <c r="AB28" s="28"/>
      <c r="AC28" s="653"/>
      <c r="AD28" s="654"/>
      <c r="AE28" s="654"/>
      <c r="AF28" s="654"/>
      <c r="AG28" s="655"/>
      <c r="AH28" s="649"/>
      <c r="AI28" s="643"/>
      <c r="AJ28" s="644"/>
      <c r="AK28" s="644"/>
      <c r="AL28" s="644"/>
      <c r="AM28" s="644"/>
      <c r="AN28" s="645"/>
      <c r="AO28" s="30"/>
      <c r="AP28" s="20"/>
      <c r="AQ28" s="24"/>
    </row>
    <row r="29" spans="2:43" ht="12.75" customHeight="1">
      <c r="B29" s="43" t="s">
        <v>7</v>
      </c>
      <c r="C29" s="44"/>
      <c r="D29" s="45"/>
      <c r="E29" s="45"/>
      <c r="F29" s="45"/>
      <c r="G29" s="45"/>
      <c r="H29" s="46"/>
      <c r="I29" s="47"/>
      <c r="J29" s="47"/>
      <c r="K29" s="46"/>
      <c r="L29" s="46"/>
      <c r="M29" s="46"/>
      <c r="N29" s="46"/>
      <c r="O29" s="46"/>
      <c r="P29" s="46"/>
      <c r="Q29" s="47"/>
      <c r="R29" s="47"/>
      <c r="S29" s="47"/>
      <c r="T29" s="47"/>
      <c r="U29" s="47"/>
      <c r="V29" s="47"/>
      <c r="W29" s="48"/>
      <c r="X29" s="46"/>
      <c r="Y29" s="46"/>
      <c r="Z29" s="49"/>
      <c r="AA29" s="23"/>
      <c r="AB29" s="28"/>
      <c r="AC29" s="653"/>
      <c r="AD29" s="654"/>
      <c r="AE29" s="654"/>
      <c r="AF29" s="654"/>
      <c r="AG29" s="655"/>
      <c r="AH29" s="649"/>
      <c r="AI29" s="643"/>
      <c r="AJ29" s="644"/>
      <c r="AK29" s="644"/>
      <c r="AL29" s="644"/>
      <c r="AM29" s="644"/>
      <c r="AN29" s="645"/>
      <c r="AO29" s="30"/>
      <c r="AP29" s="20"/>
      <c r="AQ29" s="24"/>
    </row>
    <row r="30" spans="2:43" ht="12.75" customHeight="1">
      <c r="B30" s="50" t="s">
        <v>27</v>
      </c>
      <c r="C30" s="51"/>
      <c r="D30" s="51"/>
      <c r="E30" s="51"/>
      <c r="F30" s="597" t="s">
        <v>349</v>
      </c>
      <c r="G30" s="597"/>
      <c r="H30" s="597"/>
      <c r="I30" s="597"/>
      <c r="J30" s="597"/>
      <c r="K30" s="597"/>
      <c r="L30" s="597"/>
      <c r="M30" s="597"/>
      <c r="N30" s="51" t="s">
        <v>220</v>
      </c>
      <c r="O30" s="51"/>
      <c r="P30" s="51"/>
      <c r="Q30" s="51"/>
      <c r="R30" s="597">
        <v>3134320709</v>
      </c>
      <c r="S30" s="597"/>
      <c r="T30" s="597"/>
      <c r="U30" s="597"/>
      <c r="V30" s="597"/>
      <c r="W30" s="597"/>
      <c r="X30" s="597"/>
      <c r="Y30" s="597"/>
      <c r="Z30" s="52"/>
      <c r="AA30" s="23"/>
      <c r="AB30" s="28"/>
      <c r="AC30" s="653"/>
      <c r="AD30" s="654"/>
      <c r="AE30" s="654"/>
      <c r="AF30" s="654"/>
      <c r="AG30" s="655"/>
      <c r="AH30" s="649"/>
      <c r="AI30" s="643"/>
      <c r="AJ30" s="644"/>
      <c r="AK30" s="644"/>
      <c r="AL30" s="644"/>
      <c r="AM30" s="644"/>
      <c r="AN30" s="645"/>
      <c r="AO30" s="30"/>
      <c r="AP30" s="20"/>
      <c r="AQ30" s="24"/>
    </row>
    <row r="31" spans="2:43" ht="44.45" customHeight="1">
      <c r="B31" s="579" t="s">
        <v>302</v>
      </c>
      <c r="C31" s="580"/>
      <c r="D31" s="580"/>
      <c r="E31" s="580"/>
      <c r="F31" s="597" t="s">
        <v>324</v>
      </c>
      <c r="G31" s="597"/>
      <c r="H31" s="597"/>
      <c r="I31" s="597"/>
      <c r="J31" s="597"/>
      <c r="K31" s="597"/>
      <c r="L31" s="597"/>
      <c r="M31" s="597"/>
      <c r="N31" s="51" t="s">
        <v>93</v>
      </c>
      <c r="O31" s="51"/>
      <c r="P31" s="51"/>
      <c r="Q31" s="51"/>
      <c r="R31" s="597" t="s">
        <v>402</v>
      </c>
      <c r="S31" s="597"/>
      <c r="T31" s="597"/>
      <c r="U31" s="597"/>
      <c r="V31" s="597"/>
      <c r="W31" s="597"/>
      <c r="X31" s="597"/>
      <c r="Y31" s="597"/>
      <c r="Z31" s="52"/>
      <c r="AA31" s="23"/>
      <c r="AB31" s="28"/>
      <c r="AC31" s="653"/>
      <c r="AD31" s="654"/>
      <c r="AE31" s="654"/>
      <c r="AF31" s="654"/>
      <c r="AG31" s="655"/>
      <c r="AH31" s="649"/>
      <c r="AI31" s="643"/>
      <c r="AJ31" s="644"/>
      <c r="AK31" s="644"/>
      <c r="AL31" s="644"/>
      <c r="AM31" s="644"/>
      <c r="AN31" s="645"/>
      <c r="AO31" s="30"/>
      <c r="AP31" s="20"/>
      <c r="AQ31" s="24"/>
    </row>
    <row r="32" spans="2:43" ht="12.75" customHeight="1">
      <c r="B32" s="53" t="s">
        <v>28</v>
      </c>
      <c r="C32" s="54"/>
      <c r="D32" s="54"/>
      <c r="E32" s="51"/>
      <c r="F32" s="597"/>
      <c r="G32" s="597"/>
      <c r="H32" s="597"/>
      <c r="I32" s="597"/>
      <c r="J32" s="597"/>
      <c r="K32" s="597"/>
      <c r="L32" s="597"/>
      <c r="M32" s="597"/>
      <c r="N32" s="54" t="s">
        <v>225</v>
      </c>
      <c r="O32" s="51"/>
      <c r="P32" s="51"/>
      <c r="Q32" s="51"/>
      <c r="R32" s="597" t="s">
        <v>308</v>
      </c>
      <c r="S32" s="597"/>
      <c r="T32" s="597"/>
      <c r="U32" s="597"/>
      <c r="V32" s="597"/>
      <c r="W32" s="597"/>
      <c r="X32" s="597"/>
      <c r="Y32" s="597"/>
      <c r="Z32" s="52"/>
      <c r="AA32" s="23"/>
      <c r="AB32" s="28"/>
      <c r="AC32" s="653"/>
      <c r="AD32" s="654"/>
      <c r="AE32" s="654"/>
      <c r="AF32" s="654"/>
      <c r="AG32" s="655"/>
      <c r="AH32" s="649"/>
      <c r="AI32" s="643"/>
      <c r="AJ32" s="644"/>
      <c r="AK32" s="644"/>
      <c r="AL32" s="644"/>
      <c r="AM32" s="644"/>
      <c r="AN32" s="645"/>
      <c r="AO32" s="30"/>
      <c r="AP32" s="20"/>
      <c r="AQ32" s="24"/>
    </row>
    <row r="33" spans="1:43" ht="30.6" customHeight="1">
      <c r="B33" s="55" t="s">
        <v>29</v>
      </c>
      <c r="C33" s="56"/>
      <c r="D33" s="56"/>
      <c r="E33" s="57"/>
      <c r="F33" s="484" t="s">
        <v>307</v>
      </c>
      <c r="G33" s="484"/>
      <c r="H33" s="484"/>
      <c r="I33" s="484"/>
      <c r="J33" s="484"/>
      <c r="K33" s="484"/>
      <c r="L33" s="484"/>
      <c r="M33" s="484"/>
      <c r="N33" s="581" t="s">
        <v>94</v>
      </c>
      <c r="O33" s="581"/>
      <c r="P33" s="581"/>
      <c r="Q33" s="581"/>
      <c r="R33" s="789" t="s">
        <v>364</v>
      </c>
      <c r="S33" s="484"/>
      <c r="T33" s="484"/>
      <c r="U33" s="484"/>
      <c r="V33" s="484"/>
      <c r="W33" s="484"/>
      <c r="X33" s="484"/>
      <c r="Y33" s="485"/>
      <c r="Z33" s="52"/>
      <c r="AA33" s="23"/>
      <c r="AB33" s="28"/>
      <c r="AC33" s="653"/>
      <c r="AD33" s="654"/>
      <c r="AE33" s="654"/>
      <c r="AF33" s="654"/>
      <c r="AG33" s="655"/>
      <c r="AH33" s="649"/>
      <c r="AI33" s="643"/>
      <c r="AJ33" s="644"/>
      <c r="AK33" s="644"/>
      <c r="AL33" s="644"/>
      <c r="AM33" s="644"/>
      <c r="AN33" s="645"/>
      <c r="AO33" s="30"/>
      <c r="AP33" s="20"/>
      <c r="AQ33" s="24"/>
    </row>
    <row r="34" spans="1:43" ht="12.75" customHeight="1">
      <c r="B34" s="53" t="s">
        <v>224</v>
      </c>
      <c r="C34" s="54"/>
      <c r="D34" s="54"/>
      <c r="E34" s="54"/>
      <c r="F34" s="54"/>
      <c r="G34" s="54"/>
      <c r="H34" s="444" t="s">
        <v>361</v>
      </c>
      <c r="I34" s="444"/>
      <c r="J34" s="444"/>
      <c r="K34" s="444"/>
      <c r="L34" s="444"/>
      <c r="M34" s="444"/>
      <c r="N34" s="444"/>
      <c r="O34" s="444"/>
      <c r="P34" s="444"/>
      <c r="Q34" s="444"/>
      <c r="R34" s="444"/>
      <c r="S34" s="444"/>
      <c r="T34" s="54"/>
      <c r="U34" s="58" t="s">
        <v>30</v>
      </c>
      <c r="V34" s="598" t="s">
        <v>362</v>
      </c>
      <c r="W34" s="599"/>
      <c r="X34" s="599"/>
      <c r="Y34" s="600"/>
      <c r="Z34" s="52"/>
      <c r="AA34" s="59"/>
      <c r="AB34" s="28"/>
      <c r="AC34" s="653"/>
      <c r="AD34" s="654"/>
      <c r="AE34" s="654"/>
      <c r="AF34" s="654"/>
      <c r="AG34" s="655"/>
      <c r="AH34" s="649"/>
      <c r="AI34" s="643"/>
      <c r="AJ34" s="644"/>
      <c r="AK34" s="644"/>
      <c r="AL34" s="644"/>
      <c r="AM34" s="644"/>
      <c r="AN34" s="645"/>
      <c r="AO34" s="30"/>
      <c r="AP34" s="20"/>
      <c r="AQ34" s="24"/>
    </row>
    <row r="35" spans="1:43" ht="12.75" customHeight="1">
      <c r="B35" s="55" t="s">
        <v>31</v>
      </c>
      <c r="C35" s="56"/>
      <c r="D35" s="56"/>
      <c r="E35" s="56"/>
      <c r="F35" s="56"/>
      <c r="G35" s="56"/>
      <c r="H35" s="481" t="s">
        <v>309</v>
      </c>
      <c r="I35" s="481"/>
      <c r="J35" s="481"/>
      <c r="K35" s="481"/>
      <c r="L35" s="481"/>
      <c r="M35" s="481"/>
      <c r="N35" s="481"/>
      <c r="O35" s="481"/>
      <c r="P35" s="481"/>
      <c r="Q35" s="481"/>
      <c r="R35" s="481"/>
      <c r="S35" s="481"/>
      <c r="T35" s="56"/>
      <c r="U35" s="60" t="s">
        <v>32</v>
      </c>
      <c r="V35" s="582" t="s">
        <v>363</v>
      </c>
      <c r="W35" s="583"/>
      <c r="X35" s="583"/>
      <c r="Y35" s="584"/>
      <c r="Z35" s="52"/>
      <c r="AA35" s="59"/>
      <c r="AB35" s="28"/>
      <c r="AC35" s="653"/>
      <c r="AD35" s="654"/>
      <c r="AE35" s="654"/>
      <c r="AF35" s="654"/>
      <c r="AG35" s="655"/>
      <c r="AH35" s="649"/>
      <c r="AI35" s="643"/>
      <c r="AJ35" s="644"/>
      <c r="AK35" s="644"/>
      <c r="AL35" s="644"/>
      <c r="AM35" s="644"/>
      <c r="AN35" s="645"/>
      <c r="AO35" s="30"/>
      <c r="AP35" s="20"/>
      <c r="AQ35" s="24"/>
    </row>
    <row r="36" spans="1:43" ht="12.75" customHeight="1">
      <c r="B36" s="53" t="s">
        <v>33</v>
      </c>
      <c r="C36" s="38"/>
      <c r="D36" s="38"/>
      <c r="E36" s="39"/>
      <c r="F36" s="61"/>
      <c r="G36" s="61"/>
      <c r="H36" s="444" t="s">
        <v>310</v>
      </c>
      <c r="I36" s="444"/>
      <c r="J36" s="444"/>
      <c r="K36" s="444"/>
      <c r="L36" s="444"/>
      <c r="M36" s="444"/>
      <c r="N36" s="444"/>
      <c r="O36" s="444"/>
      <c r="P36" s="444"/>
      <c r="Q36" s="444"/>
      <c r="R36" s="444"/>
      <c r="S36" s="444"/>
      <c r="T36" s="61"/>
      <c r="U36" s="36" t="s">
        <v>30</v>
      </c>
      <c r="V36" s="547" t="s">
        <v>316</v>
      </c>
      <c r="W36" s="548"/>
      <c r="X36" s="548"/>
      <c r="Y36" s="549"/>
      <c r="Z36" s="52"/>
      <c r="AA36" s="23"/>
      <c r="AB36" s="28"/>
      <c r="AC36" s="653"/>
      <c r="AD36" s="654"/>
      <c r="AE36" s="654"/>
      <c r="AF36" s="654"/>
      <c r="AG36" s="655"/>
      <c r="AH36" s="649"/>
      <c r="AI36" s="643"/>
      <c r="AJ36" s="644"/>
      <c r="AK36" s="644"/>
      <c r="AL36" s="644"/>
      <c r="AM36" s="644"/>
      <c r="AN36" s="645"/>
      <c r="AO36" s="30"/>
      <c r="AP36" s="20"/>
      <c r="AQ36" s="24"/>
    </row>
    <row r="37" spans="1:43" ht="12.75" customHeight="1">
      <c r="B37" s="53" t="s">
        <v>31</v>
      </c>
      <c r="C37" s="38"/>
      <c r="D37" s="38"/>
      <c r="E37" s="39"/>
      <c r="F37" s="61"/>
      <c r="G37" s="61"/>
      <c r="H37" s="550" t="s">
        <v>311</v>
      </c>
      <c r="I37" s="550"/>
      <c r="J37" s="550"/>
      <c r="K37" s="550"/>
      <c r="L37" s="550"/>
      <c r="M37" s="550"/>
      <c r="N37" s="550"/>
      <c r="O37" s="550"/>
      <c r="P37" s="550"/>
      <c r="Q37" s="550"/>
      <c r="R37" s="550"/>
      <c r="S37" s="550"/>
      <c r="T37" s="61"/>
      <c r="U37" s="36" t="s">
        <v>32</v>
      </c>
      <c r="V37" s="482" t="s">
        <v>312</v>
      </c>
      <c r="W37" s="483"/>
      <c r="X37" s="483"/>
      <c r="Y37" s="483"/>
      <c r="Z37" s="52"/>
      <c r="AA37" s="23"/>
      <c r="AB37" s="28"/>
      <c r="AC37" s="653"/>
      <c r="AD37" s="654"/>
      <c r="AE37" s="654"/>
      <c r="AF37" s="654"/>
      <c r="AG37" s="655"/>
      <c r="AH37" s="649"/>
      <c r="AI37" s="643"/>
      <c r="AJ37" s="644"/>
      <c r="AK37" s="644"/>
      <c r="AL37" s="644"/>
      <c r="AM37" s="644"/>
      <c r="AN37" s="645"/>
      <c r="AO37" s="30"/>
      <c r="AP37" s="20"/>
      <c r="AQ37" s="24"/>
    </row>
    <row r="38" spans="1:43" ht="12.75" customHeight="1">
      <c r="B38" s="62" t="s">
        <v>9</v>
      </c>
      <c r="C38" s="63" t="s">
        <v>10</v>
      </c>
      <c r="D38" s="64"/>
      <c r="E38" s="64"/>
      <c r="F38" s="64"/>
      <c r="G38" s="65"/>
      <c r="H38" s="65"/>
      <c r="I38" s="65"/>
      <c r="J38" s="65"/>
      <c r="K38" s="64"/>
      <c r="L38" s="64"/>
      <c r="M38" s="64"/>
      <c r="N38" s="64"/>
      <c r="O38" s="66"/>
      <c r="P38" s="488"/>
      <c r="Q38" s="488"/>
      <c r="R38" s="488"/>
      <c r="S38" s="488"/>
      <c r="T38" s="488"/>
      <c r="U38" s="488"/>
      <c r="V38" s="488"/>
      <c r="W38" s="488"/>
      <c r="X38" s="488"/>
      <c r="Y38" s="489"/>
      <c r="Z38" s="49"/>
      <c r="AA38" s="23"/>
      <c r="AB38" s="28"/>
      <c r="AC38" s="653"/>
      <c r="AD38" s="654"/>
      <c r="AE38" s="654"/>
      <c r="AF38" s="654"/>
      <c r="AG38" s="655"/>
      <c r="AH38" s="649"/>
      <c r="AI38" s="643"/>
      <c r="AJ38" s="644"/>
      <c r="AK38" s="644"/>
      <c r="AL38" s="644"/>
      <c r="AM38" s="644"/>
      <c r="AN38" s="645"/>
      <c r="AO38" s="30"/>
      <c r="AP38" s="20"/>
      <c r="AQ38" s="24"/>
    </row>
    <row r="39" spans="1:43" s="4" customFormat="1" ht="12.75" customHeight="1">
      <c r="B39" s="40" t="s">
        <v>59</v>
      </c>
      <c r="C39" s="67"/>
      <c r="D39" s="486" t="s">
        <v>310</v>
      </c>
      <c r="E39" s="486"/>
      <c r="F39" s="486"/>
      <c r="G39" s="486"/>
      <c r="H39" s="486"/>
      <c r="I39" s="39" t="s">
        <v>60</v>
      </c>
      <c r="J39" s="506" t="s">
        <v>312</v>
      </c>
      <c r="K39" s="507"/>
      <c r="L39" s="507"/>
      <c r="M39" s="507"/>
      <c r="N39" s="39" t="s">
        <v>61</v>
      </c>
      <c r="O39" s="479" t="s">
        <v>317</v>
      </c>
      <c r="P39" s="480"/>
      <c r="Q39" s="480"/>
      <c r="R39" s="480"/>
      <c r="S39" s="478" t="s">
        <v>62</v>
      </c>
      <c r="T39" s="478"/>
      <c r="U39" s="478"/>
      <c r="V39" s="444" t="s">
        <v>320</v>
      </c>
      <c r="W39" s="444"/>
      <c r="X39" s="444"/>
      <c r="Y39" s="444"/>
      <c r="Z39" s="68"/>
      <c r="AA39" s="69"/>
      <c r="AB39" s="28"/>
      <c r="AC39" s="653"/>
      <c r="AD39" s="654"/>
      <c r="AE39" s="654"/>
      <c r="AF39" s="654"/>
      <c r="AG39" s="655"/>
      <c r="AH39" s="649"/>
      <c r="AI39" s="643"/>
      <c r="AJ39" s="644"/>
      <c r="AK39" s="644"/>
      <c r="AL39" s="644"/>
      <c r="AM39" s="644"/>
      <c r="AN39" s="645"/>
      <c r="AO39" s="30"/>
      <c r="AP39" s="70"/>
      <c r="AQ39" s="71"/>
    </row>
    <row r="40" spans="1:43" s="4" customFormat="1" ht="13.5" customHeight="1">
      <c r="B40" s="40" t="s">
        <v>63</v>
      </c>
      <c r="C40" s="39"/>
      <c r="D40" s="487" t="s">
        <v>314</v>
      </c>
      <c r="E40" s="487"/>
      <c r="F40" s="487"/>
      <c r="G40" s="487"/>
      <c r="H40" s="487"/>
      <c r="I40" s="39" t="s">
        <v>60</v>
      </c>
      <c r="J40" s="508" t="s">
        <v>315</v>
      </c>
      <c r="K40" s="509"/>
      <c r="L40" s="509"/>
      <c r="M40" s="509"/>
      <c r="N40" s="39" t="s">
        <v>61</v>
      </c>
      <c r="O40" s="479" t="s">
        <v>318</v>
      </c>
      <c r="P40" s="480"/>
      <c r="Q40" s="480"/>
      <c r="R40" s="480"/>
      <c r="S40" s="478" t="s">
        <v>62</v>
      </c>
      <c r="T40" s="478"/>
      <c r="U40" s="478"/>
      <c r="V40" s="487" t="s">
        <v>319</v>
      </c>
      <c r="W40" s="487"/>
      <c r="X40" s="487"/>
      <c r="Y40" s="487"/>
      <c r="Z40" s="68"/>
      <c r="AA40" s="69"/>
      <c r="AB40" s="28"/>
      <c r="AC40" s="653"/>
      <c r="AD40" s="654"/>
      <c r="AE40" s="654"/>
      <c r="AF40" s="654"/>
      <c r="AG40" s="655"/>
      <c r="AH40" s="649"/>
      <c r="AI40" s="643"/>
      <c r="AJ40" s="644"/>
      <c r="AK40" s="644"/>
      <c r="AL40" s="644"/>
      <c r="AM40" s="644"/>
      <c r="AN40" s="645"/>
      <c r="AO40" s="30"/>
      <c r="AP40" s="70"/>
      <c r="AQ40" s="71"/>
    </row>
    <row r="41" spans="1:43" s="4" customFormat="1" ht="12.75" customHeight="1" thickBot="1">
      <c r="B41" s="50" t="s">
        <v>64</v>
      </c>
      <c r="C41" s="72"/>
      <c r="D41" s="487" t="s">
        <v>350</v>
      </c>
      <c r="E41" s="487"/>
      <c r="F41" s="487"/>
      <c r="G41" s="487"/>
      <c r="H41" s="487"/>
      <c r="I41" s="72" t="s">
        <v>60</v>
      </c>
      <c r="J41" s="508" t="s">
        <v>351</v>
      </c>
      <c r="K41" s="509"/>
      <c r="L41" s="509"/>
      <c r="M41" s="509"/>
      <c r="N41" s="72" t="s">
        <v>61</v>
      </c>
      <c r="O41" s="479" t="s">
        <v>354</v>
      </c>
      <c r="P41" s="480"/>
      <c r="Q41" s="480"/>
      <c r="R41" s="480"/>
      <c r="S41" s="564" t="s">
        <v>62</v>
      </c>
      <c r="T41" s="564"/>
      <c r="U41" s="564"/>
      <c r="V41" s="487" t="s">
        <v>320</v>
      </c>
      <c r="W41" s="487"/>
      <c r="X41" s="487"/>
      <c r="Y41" s="487"/>
      <c r="Z41" s="68"/>
      <c r="AA41" s="69"/>
      <c r="AB41" s="28"/>
      <c r="AC41" s="656"/>
      <c r="AD41" s="657"/>
      <c r="AE41" s="657"/>
      <c r="AF41" s="657"/>
      <c r="AG41" s="658"/>
      <c r="AH41" s="649"/>
      <c r="AI41" s="646"/>
      <c r="AJ41" s="647"/>
      <c r="AK41" s="647"/>
      <c r="AL41" s="647"/>
      <c r="AM41" s="647"/>
      <c r="AN41" s="648"/>
      <c r="AO41" s="30"/>
      <c r="AP41" s="70"/>
      <c r="AQ41" s="71"/>
    </row>
    <row r="42" spans="1:43" s="4" customFormat="1" ht="12.75" customHeight="1" thickTop="1">
      <c r="B42" s="50" t="s">
        <v>64</v>
      </c>
      <c r="C42" s="73"/>
      <c r="D42" s="487" t="s">
        <v>352</v>
      </c>
      <c r="E42" s="487"/>
      <c r="F42" s="487"/>
      <c r="G42" s="487"/>
      <c r="H42" s="487"/>
      <c r="I42" s="73" t="s">
        <v>60</v>
      </c>
      <c r="J42" s="510" t="s">
        <v>353</v>
      </c>
      <c r="K42" s="511"/>
      <c r="L42" s="511"/>
      <c r="M42" s="511"/>
      <c r="N42" s="73" t="s">
        <v>61</v>
      </c>
      <c r="O42" s="479" t="s">
        <v>355</v>
      </c>
      <c r="P42" s="480"/>
      <c r="Q42" s="480"/>
      <c r="R42" s="480"/>
      <c r="S42" s="564" t="s">
        <v>62</v>
      </c>
      <c r="T42" s="564"/>
      <c r="U42" s="564"/>
      <c r="V42" s="487" t="s">
        <v>319</v>
      </c>
      <c r="W42" s="487"/>
      <c r="X42" s="487"/>
      <c r="Y42" s="487"/>
      <c r="Z42" s="68"/>
      <c r="AA42" s="69"/>
      <c r="AB42" s="28"/>
      <c r="AC42" s="74"/>
      <c r="AD42" s="74"/>
      <c r="AE42" s="74"/>
      <c r="AF42" s="74"/>
      <c r="AG42" s="74"/>
      <c r="AH42" s="75"/>
      <c r="AI42" s="76"/>
      <c r="AJ42" s="76"/>
      <c r="AK42" s="76"/>
      <c r="AL42" s="76"/>
      <c r="AM42" s="76"/>
      <c r="AN42" s="76"/>
      <c r="AO42" s="30"/>
      <c r="AP42" s="70"/>
      <c r="AQ42" s="71"/>
    </row>
    <row r="43" spans="1:43" s="4" customFormat="1" ht="12.75" customHeight="1">
      <c r="B43" s="50" t="s">
        <v>64</v>
      </c>
      <c r="C43" s="73"/>
      <c r="D43" s="487"/>
      <c r="E43" s="487"/>
      <c r="F43" s="487"/>
      <c r="G43" s="487"/>
      <c r="H43" s="487"/>
      <c r="I43" s="73" t="s">
        <v>60</v>
      </c>
      <c r="J43" s="562"/>
      <c r="K43" s="509"/>
      <c r="L43" s="509"/>
      <c r="M43" s="509"/>
      <c r="N43" s="73" t="s">
        <v>61</v>
      </c>
      <c r="O43" s="561"/>
      <c r="P43" s="561"/>
      <c r="Q43" s="561"/>
      <c r="R43" s="561"/>
      <c r="S43" s="564" t="s">
        <v>62</v>
      </c>
      <c r="T43" s="564"/>
      <c r="U43" s="564"/>
      <c r="V43" s="487"/>
      <c r="W43" s="487"/>
      <c r="X43" s="487"/>
      <c r="Y43" s="487"/>
      <c r="Z43" s="68"/>
      <c r="AA43" s="69"/>
      <c r="AB43" s="28"/>
      <c r="AC43" s="667" t="s">
        <v>217</v>
      </c>
      <c r="AD43" s="668"/>
      <c r="AE43" s="668"/>
      <c r="AF43" s="668"/>
      <c r="AG43" s="669"/>
      <c r="AH43" s="670"/>
      <c r="AI43" s="667" t="s">
        <v>6</v>
      </c>
      <c r="AJ43" s="668"/>
      <c r="AK43" s="668"/>
      <c r="AL43" s="668"/>
      <c r="AM43" s="668"/>
      <c r="AN43" s="669"/>
      <c r="AO43" s="30"/>
      <c r="AP43" s="70"/>
      <c r="AQ43" s="71"/>
    </row>
    <row r="44" spans="1:43" s="4" customFormat="1" ht="12.75" customHeight="1">
      <c r="B44" s="77"/>
      <c r="C44" s="78"/>
      <c r="D44" s="297"/>
      <c r="E44" s="298"/>
      <c r="F44" s="299"/>
      <c r="G44" s="300"/>
      <c r="H44" s="300"/>
      <c r="I44" s="80"/>
      <c r="J44" s="80"/>
      <c r="K44" s="80"/>
      <c r="L44" s="80"/>
      <c r="M44" s="80"/>
      <c r="N44" s="80"/>
      <c r="O44" s="80"/>
      <c r="P44" s="80"/>
      <c r="Q44" s="80"/>
      <c r="R44" s="80"/>
      <c r="S44" s="80"/>
      <c r="T44" s="80"/>
      <c r="U44" s="80"/>
      <c r="V44" s="80"/>
      <c r="W44" s="80"/>
      <c r="X44" s="80"/>
      <c r="Y44" s="80"/>
      <c r="Z44" s="81"/>
      <c r="AA44" s="69"/>
      <c r="AB44" s="28"/>
      <c r="AC44" s="630" t="s">
        <v>368</v>
      </c>
      <c r="AD44" s="631"/>
      <c r="AE44" s="631"/>
      <c r="AF44" s="631"/>
      <c r="AG44" s="632"/>
      <c r="AH44" s="670"/>
      <c r="AI44" s="630" t="s">
        <v>369</v>
      </c>
      <c r="AJ44" s="631"/>
      <c r="AK44" s="631"/>
      <c r="AL44" s="631"/>
      <c r="AM44" s="631"/>
      <c r="AN44" s="632"/>
      <c r="AO44" s="30"/>
      <c r="AP44" s="70"/>
      <c r="AQ44" s="71"/>
    </row>
    <row r="45" spans="1:43" ht="13.5" customHeight="1">
      <c r="B45" s="82" t="s">
        <v>11</v>
      </c>
      <c r="C45" s="63" t="s">
        <v>8</v>
      </c>
      <c r="D45" s="64"/>
      <c r="E45" s="64"/>
      <c r="F45" s="64"/>
      <c r="G45" s="64"/>
      <c r="H45" s="64"/>
      <c r="I45" s="64"/>
      <c r="J45" s="64"/>
      <c r="K45" s="64"/>
      <c r="L45" s="64"/>
      <c r="M45" s="559"/>
      <c r="N45" s="559"/>
      <c r="O45" s="559"/>
      <c r="P45" s="64"/>
      <c r="Q45" s="64"/>
      <c r="R45" s="64"/>
      <c r="S45" s="64"/>
      <c r="T45" s="64"/>
      <c r="U45" s="66"/>
      <c r="V45" s="64"/>
      <c r="W45" s="64"/>
      <c r="X45" s="64"/>
      <c r="Y45" s="83"/>
      <c r="Z45" s="49"/>
      <c r="AA45" s="23"/>
      <c r="AB45" s="28"/>
      <c r="AC45" s="630"/>
      <c r="AD45" s="631"/>
      <c r="AE45" s="631"/>
      <c r="AF45" s="631"/>
      <c r="AG45" s="632"/>
      <c r="AH45" s="670"/>
      <c r="AI45" s="630"/>
      <c r="AJ45" s="631"/>
      <c r="AK45" s="631"/>
      <c r="AL45" s="631"/>
      <c r="AM45" s="631"/>
      <c r="AN45" s="632"/>
      <c r="AO45" s="30"/>
      <c r="AP45" s="20"/>
      <c r="AQ45" s="24"/>
    </row>
    <row r="46" spans="1:43" s="7" customFormat="1" ht="12.75" customHeight="1">
      <c r="A46" s="6"/>
      <c r="B46" s="491" t="s">
        <v>223</v>
      </c>
      <c r="C46" s="477"/>
      <c r="D46" s="477"/>
      <c r="E46" s="477"/>
      <c r="F46" s="560"/>
      <c r="G46" s="560"/>
      <c r="H46" s="560"/>
      <c r="I46" s="560"/>
      <c r="J46" s="560"/>
      <c r="K46" s="560"/>
      <c r="L46" s="560"/>
      <c r="M46" s="560"/>
      <c r="N46" s="560"/>
      <c r="O46" s="560"/>
      <c r="P46" s="560"/>
      <c r="Q46" s="560"/>
      <c r="R46" s="560"/>
      <c r="S46" s="560"/>
      <c r="T46" s="560"/>
      <c r="U46" s="560"/>
      <c r="V46" s="560"/>
      <c r="W46" s="560"/>
      <c r="X46" s="560"/>
      <c r="Y46" s="560"/>
      <c r="Z46" s="52"/>
      <c r="AA46" s="84"/>
      <c r="AB46" s="28"/>
      <c r="AC46" s="633"/>
      <c r="AD46" s="634"/>
      <c r="AE46" s="634"/>
      <c r="AF46" s="634"/>
      <c r="AG46" s="635"/>
      <c r="AH46" s="670"/>
      <c r="AI46" s="633"/>
      <c r="AJ46" s="634"/>
      <c r="AK46" s="634"/>
      <c r="AL46" s="634"/>
      <c r="AM46" s="634"/>
      <c r="AN46" s="635"/>
      <c r="AO46" s="30"/>
      <c r="AP46" s="39"/>
      <c r="AQ46" s="42"/>
    </row>
    <row r="47" spans="1:43" s="7" customFormat="1" ht="12.75" customHeight="1" thickBot="1">
      <c r="A47" s="6"/>
      <c r="B47" s="565" t="s">
        <v>68</v>
      </c>
      <c r="C47" s="566"/>
      <c r="D47" s="566"/>
      <c r="E47" s="563"/>
      <c r="F47" s="563"/>
      <c r="G47" s="563"/>
      <c r="H47" s="563"/>
      <c r="I47" s="563"/>
      <c r="J47" s="563"/>
      <c r="K47" s="563"/>
      <c r="L47" s="563"/>
      <c r="M47" s="563"/>
      <c r="N47" s="563"/>
      <c r="O47" s="563"/>
      <c r="P47" s="563"/>
      <c r="Q47" s="563"/>
      <c r="R47" s="563"/>
      <c r="S47" s="563"/>
      <c r="T47" s="563"/>
      <c r="U47" s="563"/>
      <c r="V47" s="563"/>
      <c r="W47" s="563"/>
      <c r="X47" s="563"/>
      <c r="Y47" s="563"/>
      <c r="Z47" s="85"/>
      <c r="AA47" s="84"/>
      <c r="AB47" s="86"/>
      <c r="AC47" s="87"/>
      <c r="AD47" s="87"/>
      <c r="AE47" s="87"/>
      <c r="AF47" s="87"/>
      <c r="AG47" s="87"/>
      <c r="AH47" s="87"/>
      <c r="AI47" s="87"/>
      <c r="AJ47" s="87"/>
      <c r="AK47" s="87"/>
      <c r="AL47" s="87"/>
      <c r="AM47" s="87"/>
      <c r="AN47" s="87"/>
      <c r="AO47" s="88"/>
      <c r="AP47" s="39"/>
      <c r="AQ47" s="42"/>
    </row>
    <row r="48" spans="1:43" s="7" customFormat="1" ht="16.5">
      <c r="A48" s="6"/>
      <c r="B48" s="492" t="s">
        <v>356</v>
      </c>
      <c r="C48" s="493"/>
      <c r="D48" s="493"/>
      <c r="E48" s="493"/>
      <c r="F48" s="493"/>
      <c r="G48" s="493"/>
      <c r="H48" s="493"/>
      <c r="I48" s="493"/>
      <c r="J48" s="493"/>
      <c r="K48" s="493"/>
      <c r="L48" s="493"/>
      <c r="M48" s="493"/>
      <c r="N48" s="493"/>
      <c r="O48" s="493"/>
      <c r="P48" s="493"/>
      <c r="Q48" s="493"/>
      <c r="R48" s="493"/>
      <c r="S48" s="493"/>
      <c r="T48" s="493"/>
      <c r="U48" s="493"/>
      <c r="V48" s="493"/>
      <c r="W48" s="493"/>
      <c r="X48" s="493"/>
      <c r="Y48" s="493"/>
      <c r="Z48" s="85"/>
      <c r="AA48" s="84"/>
      <c r="AB48" s="39"/>
      <c r="AC48" s="39"/>
      <c r="AD48" s="39"/>
      <c r="AE48" s="39"/>
      <c r="AF48" s="39"/>
      <c r="AG48" s="39"/>
      <c r="AH48" s="39"/>
      <c r="AI48" s="39"/>
      <c r="AJ48" s="39"/>
      <c r="AK48" s="39"/>
      <c r="AL48" s="39"/>
      <c r="AM48" s="39"/>
      <c r="AN48" s="39"/>
      <c r="AO48" s="39"/>
      <c r="AP48" s="39"/>
      <c r="AQ48" s="42"/>
    </row>
    <row r="49" spans="1:43" s="7" customFormat="1" ht="16.5">
      <c r="A49" s="6"/>
      <c r="B49" s="494"/>
      <c r="C49" s="422"/>
      <c r="D49" s="422"/>
      <c r="E49" s="422"/>
      <c r="F49" s="422"/>
      <c r="G49" s="422"/>
      <c r="H49" s="422"/>
      <c r="I49" s="422"/>
      <c r="J49" s="422"/>
      <c r="K49" s="422"/>
      <c r="L49" s="422"/>
      <c r="M49" s="422"/>
      <c r="N49" s="422"/>
      <c r="O49" s="422"/>
      <c r="P49" s="422"/>
      <c r="Q49" s="422"/>
      <c r="R49" s="422"/>
      <c r="S49" s="422"/>
      <c r="T49" s="422"/>
      <c r="U49" s="422"/>
      <c r="V49" s="422"/>
      <c r="W49" s="422"/>
      <c r="X49" s="422"/>
      <c r="Y49" s="422"/>
      <c r="Z49" s="85"/>
      <c r="AA49" s="84"/>
      <c r="AB49" s="39"/>
      <c r="AC49" s="39"/>
      <c r="AD49" s="39"/>
      <c r="AE49" s="39"/>
      <c r="AF49" s="39"/>
      <c r="AG49" s="39"/>
      <c r="AH49" s="39"/>
      <c r="AI49" s="39"/>
      <c r="AJ49" s="39"/>
      <c r="AK49" s="39"/>
      <c r="AL49" s="39"/>
      <c r="AM49" s="39"/>
      <c r="AN49" s="39"/>
      <c r="AO49" s="39"/>
      <c r="AP49" s="39"/>
      <c r="AQ49" s="42"/>
    </row>
    <row r="50" spans="1:43" customFormat="1" ht="16.5">
      <c r="A50" s="1"/>
      <c r="B50" s="301" t="s">
        <v>82</v>
      </c>
      <c r="C50" s="302"/>
      <c r="D50" s="303"/>
      <c r="E50" s="89"/>
      <c r="F50" s="550" t="s">
        <v>348</v>
      </c>
      <c r="G50" s="550"/>
      <c r="H50" s="550"/>
      <c r="I50" s="550"/>
      <c r="J50" s="550"/>
      <c r="K50" s="550"/>
      <c r="L50" s="550"/>
      <c r="M50" s="550"/>
      <c r="N50" s="550"/>
      <c r="O50" s="550"/>
      <c r="P50" s="550"/>
      <c r="Q50" s="550"/>
      <c r="R50" s="550"/>
      <c r="S50" s="550"/>
      <c r="T50" s="550"/>
      <c r="U50" s="550"/>
      <c r="V50" s="550"/>
      <c r="W50" s="550"/>
      <c r="X50" s="550"/>
      <c r="Y50" s="550"/>
      <c r="Z50" s="90"/>
      <c r="AA50" s="69"/>
      <c r="AB50" s="70"/>
      <c r="AC50" s="70"/>
      <c r="AD50" s="70"/>
      <c r="AE50" s="70"/>
      <c r="AF50" s="70"/>
      <c r="AG50" s="70"/>
      <c r="AH50" s="70"/>
      <c r="AI50" s="70"/>
      <c r="AJ50" s="70"/>
      <c r="AK50" s="70"/>
      <c r="AL50" s="70"/>
      <c r="AM50" s="70"/>
      <c r="AN50" s="70"/>
      <c r="AO50" s="70"/>
      <c r="AP50" s="70"/>
      <c r="AQ50" s="71"/>
    </row>
    <row r="51" spans="1:43" customFormat="1" ht="12" customHeight="1">
      <c r="A51" s="1"/>
      <c r="B51" s="567" t="s">
        <v>67</v>
      </c>
      <c r="C51" s="568"/>
      <c r="D51" s="568"/>
      <c r="E51" s="91"/>
      <c r="F51" s="490" t="s">
        <v>308</v>
      </c>
      <c r="G51" s="490"/>
      <c r="H51" s="490"/>
      <c r="I51" s="490"/>
      <c r="J51" s="490"/>
      <c r="K51" s="490"/>
      <c r="L51" s="490"/>
      <c r="M51" s="490"/>
      <c r="N51" s="490"/>
      <c r="O51" s="490"/>
      <c r="P51" s="490"/>
      <c r="Q51" s="490"/>
      <c r="R51" s="490"/>
      <c r="S51" s="490"/>
      <c r="T51" s="490"/>
      <c r="U51" s="490"/>
      <c r="V51" s="490"/>
      <c r="W51" s="490"/>
      <c r="X51" s="490"/>
      <c r="Y51" s="490"/>
      <c r="Z51" s="90"/>
      <c r="AA51" s="377" t="s">
        <v>99</v>
      </c>
      <c r="AB51" s="378"/>
      <c r="AC51" s="378"/>
      <c r="AD51" s="378"/>
      <c r="AE51" s="378"/>
      <c r="AF51" s="378"/>
      <c r="AG51" s="378"/>
      <c r="AH51" s="378"/>
      <c r="AI51" s="378"/>
      <c r="AJ51" s="378"/>
      <c r="AK51" s="378"/>
      <c r="AL51" s="378"/>
      <c r="AM51" s="378"/>
      <c r="AN51" s="378"/>
      <c r="AO51" s="378"/>
      <c r="AP51" s="378"/>
      <c r="AQ51" s="379"/>
    </row>
    <row r="52" spans="1:43" customFormat="1" ht="12" customHeight="1">
      <c r="A52" s="1"/>
      <c r="B52" s="304" t="s">
        <v>65</v>
      </c>
      <c r="C52" s="302"/>
      <c r="D52" s="303"/>
      <c r="E52" s="89"/>
      <c r="F52" s="490" t="s">
        <v>357</v>
      </c>
      <c r="G52" s="490"/>
      <c r="H52" s="490"/>
      <c r="I52" s="490"/>
      <c r="J52" s="490"/>
      <c r="K52" s="490"/>
      <c r="L52" s="490"/>
      <c r="M52" s="490"/>
      <c r="N52" s="490"/>
      <c r="O52" s="490"/>
      <c r="P52" s="490"/>
      <c r="Q52" s="490"/>
      <c r="R52" s="490"/>
      <c r="S52" s="490"/>
      <c r="T52" s="490"/>
      <c r="U52" s="490"/>
      <c r="V52" s="490"/>
      <c r="W52" s="490"/>
      <c r="X52" s="490"/>
      <c r="Y52" s="490"/>
      <c r="Z52" s="90"/>
      <c r="AA52" s="380"/>
      <c r="AB52" s="381"/>
      <c r="AC52" s="381"/>
      <c r="AD52" s="381"/>
      <c r="AE52" s="381"/>
      <c r="AF52" s="381"/>
      <c r="AG52" s="381"/>
      <c r="AH52" s="381"/>
      <c r="AI52" s="381"/>
      <c r="AJ52" s="381"/>
      <c r="AK52" s="381"/>
      <c r="AL52" s="381"/>
      <c r="AM52" s="381"/>
      <c r="AN52" s="381"/>
      <c r="AO52" s="381"/>
      <c r="AP52" s="381"/>
      <c r="AQ52" s="382"/>
    </row>
    <row r="53" spans="1:43" customFormat="1" ht="12" customHeight="1">
      <c r="A53" s="1"/>
      <c r="B53" s="304" t="s">
        <v>85</v>
      </c>
      <c r="C53" s="302"/>
      <c r="D53" s="303"/>
      <c r="E53" s="89"/>
      <c r="F53" s="490" t="s">
        <v>358</v>
      </c>
      <c r="G53" s="490"/>
      <c r="H53" s="490"/>
      <c r="I53" s="490"/>
      <c r="J53" s="490"/>
      <c r="K53" s="490"/>
      <c r="L53" s="490"/>
      <c r="M53" s="490"/>
      <c r="N53" s="490"/>
      <c r="O53" s="490"/>
      <c r="P53" s="490"/>
      <c r="Q53" s="490"/>
      <c r="R53" s="490"/>
      <c r="S53" s="490"/>
      <c r="T53" s="490"/>
      <c r="U53" s="490"/>
      <c r="V53" s="490"/>
      <c r="W53" s="490"/>
      <c r="X53" s="490"/>
      <c r="Y53" s="490"/>
      <c r="Z53" s="90"/>
      <c r="AA53" s="380"/>
      <c r="AB53" s="381"/>
      <c r="AC53" s="381"/>
      <c r="AD53" s="381"/>
      <c r="AE53" s="381"/>
      <c r="AF53" s="381"/>
      <c r="AG53" s="381"/>
      <c r="AH53" s="381"/>
      <c r="AI53" s="381"/>
      <c r="AJ53" s="381"/>
      <c r="AK53" s="381"/>
      <c r="AL53" s="381"/>
      <c r="AM53" s="381"/>
      <c r="AN53" s="381"/>
      <c r="AO53" s="381"/>
      <c r="AP53" s="381"/>
      <c r="AQ53" s="382"/>
    </row>
    <row r="54" spans="1:43" customFormat="1" ht="12" customHeight="1">
      <c r="A54" s="1"/>
      <c r="B54" s="304" t="s">
        <v>66</v>
      </c>
      <c r="C54" s="302"/>
      <c r="D54" s="303"/>
      <c r="E54" s="89"/>
      <c r="F54" s="490" t="s">
        <v>329</v>
      </c>
      <c r="G54" s="490"/>
      <c r="H54" s="490"/>
      <c r="I54" s="490"/>
      <c r="J54" s="490"/>
      <c r="K54" s="490"/>
      <c r="L54" s="490"/>
      <c r="M54" s="490"/>
      <c r="N54" s="490"/>
      <c r="O54" s="490"/>
      <c r="P54" s="490"/>
      <c r="Q54" s="490"/>
      <c r="R54" s="490"/>
      <c r="S54" s="490"/>
      <c r="T54" s="490"/>
      <c r="U54" s="490"/>
      <c r="V54" s="490"/>
      <c r="W54" s="490"/>
      <c r="X54" s="490"/>
      <c r="Y54" s="490"/>
      <c r="Z54" s="90"/>
      <c r="AA54" s="383"/>
      <c r="AB54" s="384"/>
      <c r="AC54" s="384"/>
      <c r="AD54" s="384"/>
      <c r="AE54" s="384"/>
      <c r="AF54" s="384"/>
      <c r="AG54" s="384"/>
      <c r="AH54" s="384"/>
      <c r="AI54" s="384"/>
      <c r="AJ54" s="384"/>
      <c r="AK54" s="384"/>
      <c r="AL54" s="384"/>
      <c r="AM54" s="384"/>
      <c r="AN54" s="384"/>
      <c r="AO54" s="384"/>
      <c r="AP54" s="384"/>
      <c r="AQ54" s="385"/>
    </row>
    <row r="55" spans="1:43" customFormat="1" ht="12" customHeight="1" thickBot="1">
      <c r="A55" s="1"/>
      <c r="B55" s="304" t="s">
        <v>226</v>
      </c>
      <c r="C55" s="302"/>
      <c r="D55" s="303"/>
      <c r="E55" s="89"/>
      <c r="F55" s="490" t="s">
        <v>329</v>
      </c>
      <c r="G55" s="490"/>
      <c r="H55" s="490"/>
      <c r="I55" s="490"/>
      <c r="J55" s="490"/>
      <c r="K55" s="490"/>
      <c r="L55" s="490"/>
      <c r="M55" s="490"/>
      <c r="N55" s="490"/>
      <c r="O55" s="490"/>
      <c r="P55" s="490"/>
      <c r="Q55" s="490"/>
      <c r="R55" s="490"/>
      <c r="S55" s="490"/>
      <c r="T55" s="490"/>
      <c r="U55" s="490"/>
      <c r="V55" s="490"/>
      <c r="W55" s="490"/>
      <c r="X55" s="490"/>
      <c r="Y55" s="490"/>
      <c r="Z55" s="90"/>
      <c r="AA55" s="380"/>
      <c r="AB55" s="381"/>
      <c r="AC55" s="381"/>
      <c r="AD55" s="381"/>
      <c r="AE55" s="381"/>
      <c r="AF55" s="381"/>
      <c r="AG55" s="381"/>
      <c r="AH55" s="381"/>
      <c r="AI55" s="381"/>
      <c r="AJ55" s="381"/>
      <c r="AK55" s="381"/>
      <c r="AL55" s="381"/>
      <c r="AM55" s="381"/>
      <c r="AN55" s="381"/>
      <c r="AO55" s="381"/>
      <c r="AP55" s="381"/>
      <c r="AQ55" s="382"/>
    </row>
    <row r="56" spans="1:43" s="7" customFormat="1" ht="12.75" customHeight="1">
      <c r="A56" s="6"/>
      <c r="B56" s="624" t="s">
        <v>227</v>
      </c>
      <c r="C56" s="625"/>
      <c r="D56" s="625"/>
      <c r="E56" s="625"/>
      <c r="F56" s="625"/>
      <c r="G56" s="625"/>
      <c r="H56" s="625"/>
      <c r="I56" s="625"/>
      <c r="J56" s="625"/>
      <c r="K56" s="625"/>
      <c r="L56" s="625"/>
      <c r="M56" s="625"/>
      <c r="N56" s="625"/>
      <c r="O56" s="625"/>
      <c r="P56" s="625"/>
      <c r="Q56" s="625"/>
      <c r="R56" s="625"/>
      <c r="S56" s="625"/>
      <c r="T56" s="625"/>
      <c r="U56" s="625"/>
      <c r="V56" s="625"/>
      <c r="W56" s="625"/>
      <c r="X56" s="625"/>
      <c r="Y56" s="626"/>
      <c r="Z56" s="85"/>
      <c r="AA56" s="84"/>
      <c r="AB56" s="462" t="s">
        <v>137</v>
      </c>
      <c r="AC56" s="462"/>
      <c r="AD56" s="463"/>
      <c r="AE56" s="464" t="s">
        <v>86</v>
      </c>
      <c r="AF56" s="92"/>
      <c r="AG56" s="462" t="s">
        <v>138</v>
      </c>
      <c r="AH56" s="462"/>
      <c r="AI56" s="463"/>
      <c r="AJ56" s="464" t="s">
        <v>87</v>
      </c>
      <c r="AK56" s="92"/>
      <c r="AL56" s="462" t="s">
        <v>139</v>
      </c>
      <c r="AM56" s="462"/>
      <c r="AN56" s="463"/>
      <c r="AO56" s="464" t="s">
        <v>88</v>
      </c>
      <c r="AP56" s="92"/>
      <c r="AQ56" s="529" t="s">
        <v>105</v>
      </c>
    </row>
    <row r="57" spans="1:43" s="7" customFormat="1" ht="12.75" customHeight="1">
      <c r="A57" s="6"/>
      <c r="B57" s="492" t="s">
        <v>359</v>
      </c>
      <c r="C57" s="493"/>
      <c r="D57" s="493"/>
      <c r="E57" s="493"/>
      <c r="F57" s="493"/>
      <c r="G57" s="493"/>
      <c r="H57" s="493"/>
      <c r="I57" s="493"/>
      <c r="J57" s="493"/>
      <c r="K57" s="493"/>
      <c r="L57" s="493"/>
      <c r="M57" s="493"/>
      <c r="N57" s="493"/>
      <c r="O57" s="493"/>
      <c r="P57" s="493"/>
      <c r="Q57" s="493"/>
      <c r="R57" s="493"/>
      <c r="S57" s="493"/>
      <c r="T57" s="493"/>
      <c r="U57" s="493"/>
      <c r="V57" s="493"/>
      <c r="W57" s="493"/>
      <c r="X57" s="493"/>
      <c r="Y57" s="493"/>
      <c r="Z57" s="85"/>
      <c r="AA57" s="84"/>
      <c r="AB57" s="460"/>
      <c r="AC57" s="460"/>
      <c r="AD57" s="461"/>
      <c r="AE57" s="465"/>
      <c r="AF57" s="92"/>
      <c r="AG57" s="460"/>
      <c r="AH57" s="460"/>
      <c r="AI57" s="461"/>
      <c r="AJ57" s="465"/>
      <c r="AK57" s="92"/>
      <c r="AL57" s="460"/>
      <c r="AM57" s="460"/>
      <c r="AN57" s="461"/>
      <c r="AO57" s="465"/>
      <c r="AP57" s="92"/>
      <c r="AQ57" s="529"/>
    </row>
    <row r="58" spans="1:43" s="7" customFormat="1" ht="12.75" customHeight="1">
      <c r="A58" s="6"/>
      <c r="B58" s="494"/>
      <c r="C58" s="422"/>
      <c r="D58" s="422"/>
      <c r="E58" s="422"/>
      <c r="F58" s="422"/>
      <c r="G58" s="422"/>
      <c r="H58" s="422"/>
      <c r="I58" s="422"/>
      <c r="J58" s="422"/>
      <c r="K58" s="422"/>
      <c r="L58" s="422"/>
      <c r="M58" s="422"/>
      <c r="N58" s="422"/>
      <c r="O58" s="422"/>
      <c r="P58" s="422"/>
      <c r="Q58" s="422"/>
      <c r="R58" s="422"/>
      <c r="S58" s="422"/>
      <c r="T58" s="422"/>
      <c r="U58" s="422"/>
      <c r="V58" s="422"/>
      <c r="W58" s="422"/>
      <c r="X58" s="422"/>
      <c r="Y58" s="422"/>
      <c r="Z58" s="85"/>
      <c r="AA58" s="84"/>
      <c r="AB58" s="792" t="s">
        <v>373</v>
      </c>
      <c r="AC58" s="792"/>
      <c r="AD58" s="793"/>
      <c r="AE58" s="465"/>
      <c r="AF58" s="92"/>
      <c r="AG58" s="796" t="s">
        <v>370</v>
      </c>
      <c r="AH58" s="796"/>
      <c r="AI58" s="797"/>
      <c r="AJ58" s="465"/>
      <c r="AK58" s="92"/>
      <c r="AL58" s="458"/>
      <c r="AM58" s="458"/>
      <c r="AN58" s="459"/>
      <c r="AO58" s="465"/>
      <c r="AP58" s="92"/>
      <c r="AQ58" s="529"/>
    </row>
    <row r="59" spans="1:43" s="7" customFormat="1" ht="12.75" customHeight="1">
      <c r="A59" s="6"/>
      <c r="B59" s="557"/>
      <c r="C59" s="558"/>
      <c r="D59" s="558"/>
      <c r="E59" s="558"/>
      <c r="F59" s="558"/>
      <c r="G59" s="558"/>
      <c r="H59" s="558"/>
      <c r="I59" s="558"/>
      <c r="J59" s="558"/>
      <c r="K59" s="558"/>
      <c r="L59" s="558"/>
      <c r="M59" s="558"/>
      <c r="N59" s="558"/>
      <c r="O59" s="558"/>
      <c r="P59" s="558"/>
      <c r="Q59" s="558"/>
      <c r="R59" s="558"/>
      <c r="S59" s="558"/>
      <c r="T59" s="558"/>
      <c r="U59" s="558"/>
      <c r="V59" s="558"/>
      <c r="W59" s="558"/>
      <c r="X59" s="558"/>
      <c r="Y59" s="558"/>
      <c r="Z59" s="52"/>
      <c r="AA59" s="84"/>
      <c r="AB59" s="794"/>
      <c r="AC59" s="794"/>
      <c r="AD59" s="795"/>
      <c r="AE59" s="465"/>
      <c r="AF59" s="92"/>
      <c r="AG59" s="798"/>
      <c r="AH59" s="798"/>
      <c r="AI59" s="799"/>
      <c r="AJ59" s="465"/>
      <c r="AK59" s="92"/>
      <c r="AL59" s="460"/>
      <c r="AM59" s="460"/>
      <c r="AN59" s="461"/>
      <c r="AO59" s="465"/>
      <c r="AP59" s="92"/>
      <c r="AQ59" s="529"/>
    </row>
    <row r="60" spans="1:43" s="7" customFormat="1" ht="12.75" customHeight="1">
      <c r="A60" s="6"/>
      <c r="B60" s="674" t="s">
        <v>21</v>
      </c>
      <c r="C60" s="675"/>
      <c r="D60" s="675"/>
      <c r="E60" s="675"/>
      <c r="F60" s="673"/>
      <c r="G60" s="673"/>
      <c r="H60" s="673"/>
      <c r="I60" s="673"/>
      <c r="J60" s="673"/>
      <c r="K60" s="673"/>
      <c r="L60" s="673"/>
      <c r="M60" s="673"/>
      <c r="N60" s="673"/>
      <c r="O60" s="673"/>
      <c r="P60" s="673"/>
      <c r="Q60" s="673"/>
      <c r="R60" s="673"/>
      <c r="S60" s="673"/>
      <c r="T60" s="673"/>
      <c r="U60" s="673"/>
      <c r="V60" s="673"/>
      <c r="W60" s="673"/>
      <c r="X60" s="673"/>
      <c r="Y60" s="673"/>
      <c r="Z60" s="52"/>
      <c r="AA60" s="84"/>
      <c r="AB60" s="796" t="s">
        <v>371</v>
      </c>
      <c r="AC60" s="796"/>
      <c r="AD60" s="797"/>
      <c r="AE60" s="465"/>
      <c r="AF60" s="92"/>
      <c r="AG60" s="458"/>
      <c r="AH60" s="458"/>
      <c r="AI60" s="459"/>
      <c r="AJ60" s="465"/>
      <c r="AK60" s="92"/>
      <c r="AL60" s="458"/>
      <c r="AM60" s="458"/>
      <c r="AN60" s="459"/>
      <c r="AO60" s="465"/>
      <c r="AP60" s="92"/>
      <c r="AQ60" s="529"/>
    </row>
    <row r="61" spans="1:43" s="7" customFormat="1" ht="16.5">
      <c r="A61" s="6"/>
      <c r="B61" s="495" t="s">
        <v>95</v>
      </c>
      <c r="C61" s="496"/>
      <c r="D61" s="496"/>
      <c r="E61" s="496"/>
      <c r="F61" s="496"/>
      <c r="G61" s="496"/>
      <c r="H61" s="496"/>
      <c r="I61" s="496"/>
      <c r="J61" s="496"/>
      <c r="K61" s="496"/>
      <c r="L61" s="496"/>
      <c r="M61" s="496"/>
      <c r="N61" s="496"/>
      <c r="O61" s="496"/>
      <c r="P61" s="496"/>
      <c r="Q61" s="496"/>
      <c r="R61" s="496"/>
      <c r="S61" s="496"/>
      <c r="T61" s="496"/>
      <c r="U61" s="496"/>
      <c r="V61" s="496"/>
      <c r="W61" s="496"/>
      <c r="X61" s="496"/>
      <c r="Y61" s="496"/>
      <c r="Z61" s="85"/>
      <c r="AA61" s="84"/>
      <c r="AB61" s="798"/>
      <c r="AC61" s="798"/>
      <c r="AD61" s="799"/>
      <c r="AE61" s="465"/>
      <c r="AF61" s="92"/>
      <c r="AG61" s="460"/>
      <c r="AH61" s="460"/>
      <c r="AI61" s="461"/>
      <c r="AJ61" s="465"/>
      <c r="AK61" s="92"/>
      <c r="AL61" s="460"/>
      <c r="AM61" s="460"/>
      <c r="AN61" s="461"/>
      <c r="AO61" s="465"/>
      <c r="AP61" s="92"/>
      <c r="AQ61" s="529"/>
    </row>
    <row r="62" spans="1:43" s="7" customFormat="1" ht="12.75" customHeight="1">
      <c r="A62" s="6"/>
      <c r="B62" s="400" t="s">
        <v>360</v>
      </c>
      <c r="C62" s="401"/>
      <c r="D62" s="401"/>
      <c r="E62" s="401"/>
      <c r="F62" s="401"/>
      <c r="G62" s="401"/>
      <c r="H62" s="401"/>
      <c r="I62" s="401"/>
      <c r="J62" s="401"/>
      <c r="K62" s="401"/>
      <c r="L62" s="401"/>
      <c r="M62" s="401"/>
      <c r="N62" s="401"/>
      <c r="O62" s="401"/>
      <c r="P62" s="401"/>
      <c r="Q62" s="401"/>
      <c r="R62" s="401"/>
      <c r="S62" s="401"/>
      <c r="T62" s="401"/>
      <c r="U62" s="401"/>
      <c r="V62" s="401"/>
      <c r="W62" s="401"/>
      <c r="X62" s="401"/>
      <c r="Y62" s="401"/>
      <c r="Z62" s="85"/>
      <c r="AA62" s="84"/>
      <c r="AB62" s="467"/>
      <c r="AC62" s="467"/>
      <c r="AD62" s="468"/>
      <c r="AE62" s="465"/>
      <c r="AF62" s="92"/>
      <c r="AG62" s="458"/>
      <c r="AH62" s="458"/>
      <c r="AI62" s="459"/>
      <c r="AJ62" s="465"/>
      <c r="AK62" s="92"/>
      <c r="AL62" s="458"/>
      <c r="AM62" s="458"/>
      <c r="AN62" s="459"/>
      <c r="AO62" s="465"/>
      <c r="AP62" s="92"/>
      <c r="AQ62" s="529"/>
    </row>
    <row r="63" spans="1:43" s="7" customFormat="1" ht="16.5">
      <c r="A63" s="6"/>
      <c r="B63" s="403"/>
      <c r="C63" s="404"/>
      <c r="D63" s="404"/>
      <c r="E63" s="404"/>
      <c r="F63" s="404"/>
      <c r="G63" s="404"/>
      <c r="H63" s="404"/>
      <c r="I63" s="404"/>
      <c r="J63" s="404"/>
      <c r="K63" s="404"/>
      <c r="L63" s="404"/>
      <c r="M63" s="404"/>
      <c r="N63" s="404"/>
      <c r="O63" s="404"/>
      <c r="P63" s="404"/>
      <c r="Q63" s="404"/>
      <c r="R63" s="404"/>
      <c r="S63" s="404"/>
      <c r="T63" s="404"/>
      <c r="U63" s="404"/>
      <c r="V63" s="404"/>
      <c r="W63" s="404"/>
      <c r="X63" s="404"/>
      <c r="Y63" s="404"/>
      <c r="Z63" s="85"/>
      <c r="AA63" s="84"/>
      <c r="AB63" s="469"/>
      <c r="AC63" s="469"/>
      <c r="AD63" s="470"/>
      <c r="AE63" s="465"/>
      <c r="AF63" s="92"/>
      <c r="AG63" s="460"/>
      <c r="AH63" s="460"/>
      <c r="AI63" s="461"/>
      <c r="AJ63" s="465"/>
      <c r="AK63" s="92"/>
      <c r="AL63" s="460"/>
      <c r="AM63" s="460"/>
      <c r="AN63" s="461"/>
      <c r="AO63" s="465"/>
      <c r="AP63" s="92"/>
      <c r="AQ63" s="529"/>
    </row>
    <row r="64" spans="1:43" s="7" customFormat="1" ht="16.5">
      <c r="A64" s="6"/>
      <c r="B64" s="93"/>
      <c r="C64" s="94"/>
      <c r="D64" s="94"/>
      <c r="E64" s="94"/>
      <c r="F64" s="94"/>
      <c r="G64" s="94"/>
      <c r="H64" s="94"/>
      <c r="I64" s="94"/>
      <c r="J64" s="94"/>
      <c r="K64" s="94"/>
      <c r="L64" s="94"/>
      <c r="M64" s="94"/>
      <c r="N64" s="94"/>
      <c r="O64" s="94"/>
      <c r="P64" s="94"/>
      <c r="Q64" s="94"/>
      <c r="R64" s="94"/>
      <c r="S64" s="94"/>
      <c r="T64" s="94"/>
      <c r="U64" s="94"/>
      <c r="V64" s="94"/>
      <c r="W64" s="94"/>
      <c r="X64" s="94"/>
      <c r="Y64" s="94"/>
      <c r="Z64" s="85"/>
      <c r="AA64" s="84"/>
      <c r="AB64" s="458"/>
      <c r="AC64" s="458"/>
      <c r="AD64" s="459"/>
      <c r="AE64" s="465"/>
      <c r="AF64" s="92"/>
      <c r="AG64" s="458"/>
      <c r="AH64" s="458"/>
      <c r="AI64" s="459"/>
      <c r="AJ64" s="465"/>
      <c r="AK64" s="92"/>
      <c r="AL64" s="458"/>
      <c r="AM64" s="458"/>
      <c r="AN64" s="459"/>
      <c r="AO64" s="465"/>
      <c r="AP64" s="92"/>
      <c r="AQ64" s="529"/>
    </row>
    <row r="65" spans="1:43" s="5" customFormat="1" ht="12.75" customHeight="1">
      <c r="B65" s="671" t="s">
        <v>221</v>
      </c>
      <c r="C65" s="672"/>
      <c r="D65" s="672"/>
      <c r="E65" s="672"/>
      <c r="F65" s="672"/>
      <c r="G65" s="95" t="s">
        <v>214</v>
      </c>
      <c r="H65" s="555" t="s">
        <v>96</v>
      </c>
      <c r="I65" s="555"/>
      <c r="J65" s="555"/>
      <c r="K65" s="556"/>
      <c r="L65" s="556"/>
      <c r="M65" s="556"/>
      <c r="N65" s="556"/>
      <c r="O65" s="556"/>
      <c r="P65" s="556"/>
      <c r="Q65" s="556"/>
      <c r="R65" s="556"/>
      <c r="S65" s="556"/>
      <c r="T65" s="556"/>
      <c r="U65" s="556"/>
      <c r="V65" s="556"/>
      <c r="W65" s="556"/>
      <c r="X65" s="556"/>
      <c r="Y65" s="556"/>
      <c r="Z65" s="96"/>
      <c r="AA65" s="97"/>
      <c r="AB65" s="460"/>
      <c r="AC65" s="460"/>
      <c r="AD65" s="461"/>
      <c r="AE65" s="465"/>
      <c r="AF65" s="92"/>
      <c r="AG65" s="460"/>
      <c r="AH65" s="460"/>
      <c r="AI65" s="461"/>
      <c r="AJ65" s="465"/>
      <c r="AK65" s="92"/>
      <c r="AL65" s="460"/>
      <c r="AM65" s="460"/>
      <c r="AN65" s="461"/>
      <c r="AO65" s="465"/>
      <c r="AP65" s="92"/>
      <c r="AQ65" s="529"/>
    </row>
    <row r="66" spans="1:43" s="5" customFormat="1" ht="12.75" customHeight="1">
      <c r="B66" s="671" t="s">
        <v>222</v>
      </c>
      <c r="C66" s="672"/>
      <c r="D66" s="672"/>
      <c r="E66" s="672"/>
      <c r="F66" s="672"/>
      <c r="G66" s="95" t="s">
        <v>214</v>
      </c>
      <c r="H66" s="555" t="s">
        <v>96</v>
      </c>
      <c r="I66" s="555"/>
      <c r="J66" s="555"/>
      <c r="K66" s="556"/>
      <c r="L66" s="556"/>
      <c r="M66" s="556"/>
      <c r="N66" s="556"/>
      <c r="O66" s="556"/>
      <c r="P66" s="556"/>
      <c r="Q66" s="556"/>
      <c r="R66" s="556"/>
      <c r="S66" s="556"/>
      <c r="T66" s="556"/>
      <c r="U66" s="556"/>
      <c r="V66" s="556"/>
      <c r="W66" s="556"/>
      <c r="X66" s="556"/>
      <c r="Y66" s="556"/>
      <c r="Z66" s="96"/>
      <c r="AA66" s="97"/>
      <c r="AB66" s="458"/>
      <c r="AC66" s="458"/>
      <c r="AD66" s="459"/>
      <c r="AE66" s="465"/>
      <c r="AF66" s="92"/>
      <c r="AG66" s="458"/>
      <c r="AH66" s="458"/>
      <c r="AI66" s="459"/>
      <c r="AJ66" s="465"/>
      <c r="AK66" s="92"/>
      <c r="AL66" s="458"/>
      <c r="AM66" s="458"/>
      <c r="AN66" s="459"/>
      <c r="AO66" s="465"/>
      <c r="AP66" s="92"/>
      <c r="AQ66" s="529"/>
    </row>
    <row r="67" spans="1:43" s="7" customFormat="1" ht="16.5">
      <c r="A67" s="6"/>
      <c r="B67" s="98"/>
      <c r="C67" s="99"/>
      <c r="D67" s="99"/>
      <c r="E67" s="99"/>
      <c r="F67" s="99"/>
      <c r="G67" s="99"/>
      <c r="H67" s="99"/>
      <c r="I67" s="99"/>
      <c r="J67" s="99"/>
      <c r="K67" s="99"/>
      <c r="L67" s="99"/>
      <c r="M67" s="99"/>
      <c r="N67" s="99"/>
      <c r="O67" s="99"/>
      <c r="P67" s="99"/>
      <c r="Q67" s="99"/>
      <c r="R67" s="99"/>
      <c r="S67" s="99"/>
      <c r="T67" s="99"/>
      <c r="U67" s="99"/>
      <c r="V67" s="99"/>
      <c r="W67" s="99"/>
      <c r="X67" s="99"/>
      <c r="Y67" s="99"/>
      <c r="Z67" s="85"/>
      <c r="AA67" s="84"/>
      <c r="AB67" s="460"/>
      <c r="AC67" s="460"/>
      <c r="AD67" s="461"/>
      <c r="AE67" s="465"/>
      <c r="AF67" s="92"/>
      <c r="AG67" s="460"/>
      <c r="AH67" s="460"/>
      <c r="AI67" s="461"/>
      <c r="AJ67" s="465"/>
      <c r="AK67" s="92"/>
      <c r="AL67" s="460"/>
      <c r="AM67" s="460"/>
      <c r="AN67" s="461"/>
      <c r="AO67" s="465"/>
      <c r="AP67" s="92"/>
      <c r="AQ67" s="529"/>
    </row>
    <row r="68" spans="1:43" s="4" customFormat="1" ht="12.75" customHeight="1">
      <c r="B68" s="676" t="s">
        <v>92</v>
      </c>
      <c r="C68" s="677"/>
      <c r="D68" s="677"/>
      <c r="E68" s="677"/>
      <c r="F68" s="677"/>
      <c r="G68" s="677"/>
      <c r="H68" s="619"/>
      <c r="I68" s="619"/>
      <c r="J68" s="619"/>
      <c r="K68" s="619"/>
      <c r="L68" s="619"/>
      <c r="M68" s="619"/>
      <c r="N68" s="619"/>
      <c r="O68" s="619"/>
      <c r="P68" s="619"/>
      <c r="Q68" s="619"/>
      <c r="R68" s="619"/>
      <c r="S68" s="619"/>
      <c r="T68" s="619"/>
      <c r="U68" s="619"/>
      <c r="V68" s="619"/>
      <c r="W68" s="619"/>
      <c r="X68" s="619"/>
      <c r="Y68" s="620"/>
      <c r="Z68" s="68"/>
      <c r="AA68" s="69"/>
      <c r="AB68" s="790"/>
      <c r="AC68" s="790"/>
      <c r="AD68" s="790"/>
      <c r="AE68" s="465"/>
      <c r="AF68" s="92"/>
      <c r="AG68" s="458"/>
      <c r="AH68" s="458"/>
      <c r="AI68" s="459"/>
      <c r="AJ68" s="465"/>
      <c r="AK68" s="92"/>
      <c r="AL68" s="458"/>
      <c r="AM68" s="458"/>
      <c r="AN68" s="459"/>
      <c r="AO68" s="465"/>
      <c r="AP68" s="92"/>
      <c r="AQ68" s="529"/>
    </row>
    <row r="69" spans="1:43" ht="12.75" customHeight="1">
      <c r="B69" s="100" t="s">
        <v>12</v>
      </c>
      <c r="C69" s="101" t="s">
        <v>77</v>
      </c>
      <c r="D69" s="102"/>
      <c r="E69" s="102"/>
      <c r="F69" s="102"/>
      <c r="G69" s="102"/>
      <c r="H69" s="102"/>
      <c r="I69" s="102"/>
      <c r="J69" s="102"/>
      <c r="K69" s="102"/>
      <c r="L69" s="102"/>
      <c r="M69" s="102"/>
      <c r="N69" s="102"/>
      <c r="O69" s="102"/>
      <c r="P69" s="102"/>
      <c r="Q69" s="102"/>
      <c r="R69" s="102"/>
      <c r="S69" s="102"/>
      <c r="T69" s="102"/>
      <c r="U69" s="102"/>
      <c r="V69" s="102"/>
      <c r="W69" s="102"/>
      <c r="X69" s="102"/>
      <c r="Y69" s="102"/>
      <c r="Z69" s="49"/>
      <c r="AA69" s="103"/>
      <c r="AB69" s="791"/>
      <c r="AC69" s="791"/>
      <c r="AD69" s="791"/>
      <c r="AE69" s="465"/>
      <c r="AF69" s="92"/>
      <c r="AG69" s="460"/>
      <c r="AH69" s="460"/>
      <c r="AI69" s="461"/>
      <c r="AJ69" s="465"/>
      <c r="AK69" s="92"/>
      <c r="AL69" s="460"/>
      <c r="AM69" s="460"/>
      <c r="AN69" s="461"/>
      <c r="AO69" s="465"/>
      <c r="AP69" s="92"/>
      <c r="AQ69" s="529"/>
    </row>
    <row r="70" spans="1:43" ht="16.5">
      <c r="B70" s="541"/>
      <c r="C70" s="542"/>
      <c r="D70" s="542"/>
      <c r="E70" s="542"/>
      <c r="F70" s="542"/>
      <c r="G70" s="542"/>
      <c r="H70" s="542"/>
      <c r="I70" s="542"/>
      <c r="J70" s="542"/>
      <c r="K70" s="542"/>
      <c r="L70" s="542"/>
      <c r="M70" s="542"/>
      <c r="N70" s="542"/>
      <c r="O70" s="542"/>
      <c r="P70" s="542"/>
      <c r="Q70" s="542"/>
      <c r="R70" s="542"/>
      <c r="S70" s="542"/>
      <c r="T70" s="542"/>
      <c r="U70" s="542"/>
      <c r="V70" s="542"/>
      <c r="W70" s="542"/>
      <c r="X70" s="542"/>
      <c r="Y70" s="542"/>
      <c r="Z70" s="85"/>
      <c r="AA70" s="23"/>
      <c r="AB70" s="458"/>
      <c r="AC70" s="458"/>
      <c r="AD70" s="459"/>
      <c r="AE70" s="465"/>
      <c r="AF70" s="92"/>
      <c r="AG70" s="458"/>
      <c r="AH70" s="458"/>
      <c r="AI70" s="459"/>
      <c r="AJ70" s="465"/>
      <c r="AK70" s="92"/>
      <c r="AL70" s="458"/>
      <c r="AM70" s="458"/>
      <c r="AN70" s="459"/>
      <c r="AO70" s="465"/>
      <c r="AP70" s="92"/>
      <c r="AQ70" s="529"/>
    </row>
    <row r="71" spans="1:43" ht="17.25" thickBot="1">
      <c r="B71" s="628"/>
      <c r="C71" s="629"/>
      <c r="D71" s="629"/>
      <c r="E71" s="629"/>
      <c r="F71" s="629"/>
      <c r="G71" s="629"/>
      <c r="H71" s="629"/>
      <c r="I71" s="629"/>
      <c r="J71" s="629"/>
      <c r="K71" s="629"/>
      <c r="L71" s="629"/>
      <c r="M71" s="629"/>
      <c r="N71" s="629"/>
      <c r="O71" s="629"/>
      <c r="P71" s="629"/>
      <c r="Q71" s="629"/>
      <c r="R71" s="629"/>
      <c r="S71" s="629"/>
      <c r="T71" s="629"/>
      <c r="U71" s="629"/>
      <c r="V71" s="629"/>
      <c r="W71" s="629"/>
      <c r="X71" s="629"/>
      <c r="Y71" s="629"/>
      <c r="Z71" s="85"/>
      <c r="AA71" s="23"/>
      <c r="AB71" s="460"/>
      <c r="AC71" s="460"/>
      <c r="AD71" s="461"/>
      <c r="AE71" s="466"/>
      <c r="AF71" s="92"/>
      <c r="AG71" s="460"/>
      <c r="AH71" s="460"/>
      <c r="AI71" s="461"/>
      <c r="AJ71" s="466"/>
      <c r="AK71" s="92"/>
      <c r="AL71" s="460"/>
      <c r="AM71" s="460"/>
      <c r="AN71" s="461"/>
      <c r="AO71" s="466"/>
      <c r="AP71" s="92"/>
      <c r="AQ71" s="529"/>
    </row>
    <row r="72" spans="1:43" s="9" customFormat="1" ht="39" customHeight="1">
      <c r="A72" s="8"/>
      <c r="B72" s="104" t="s">
        <v>0</v>
      </c>
      <c r="C72" s="621" t="s">
        <v>58</v>
      </c>
      <c r="D72" s="623"/>
      <c r="E72" s="621" t="s">
        <v>71</v>
      </c>
      <c r="F72" s="623"/>
      <c r="G72" s="621" t="s">
        <v>42</v>
      </c>
      <c r="H72" s="622"/>
      <c r="I72" s="623"/>
      <c r="J72" s="627" t="s">
        <v>43</v>
      </c>
      <c r="K72" s="627"/>
      <c r="L72" s="497" t="s">
        <v>78</v>
      </c>
      <c r="M72" s="498"/>
      <c r="N72" s="497" t="s">
        <v>70</v>
      </c>
      <c r="O72" s="498"/>
      <c r="P72" s="497" t="s">
        <v>98</v>
      </c>
      <c r="Q72" s="498"/>
      <c r="R72" s="499" t="s">
        <v>84</v>
      </c>
      <c r="S72" s="499"/>
      <c r="T72" s="499" t="s">
        <v>81</v>
      </c>
      <c r="U72" s="499"/>
      <c r="V72" s="499" t="s">
        <v>44</v>
      </c>
      <c r="W72" s="499"/>
      <c r="X72" s="499" t="s">
        <v>45</v>
      </c>
      <c r="Y72" s="621"/>
      <c r="Z72" s="105"/>
      <c r="AA72" s="106"/>
      <c r="AB72" s="107"/>
      <c r="AC72" s="107"/>
      <c r="AD72" s="107"/>
      <c r="AE72" s="92"/>
      <c r="AF72" s="92"/>
      <c r="AG72" s="107"/>
      <c r="AH72" s="107"/>
      <c r="AI72" s="107"/>
      <c r="AJ72" s="92"/>
      <c r="AK72" s="92"/>
      <c r="AL72" s="92"/>
      <c r="AM72" s="92"/>
      <c r="AN72" s="92"/>
      <c r="AO72" s="92"/>
      <c r="AP72" s="92"/>
      <c r="AQ72" s="529"/>
    </row>
    <row r="73" spans="1:43" ht="15" customHeight="1">
      <c r="B73" s="108" t="s">
        <v>48</v>
      </c>
      <c r="C73" s="617">
        <v>3134320709</v>
      </c>
      <c r="D73" s="554"/>
      <c r="E73" s="554" t="s">
        <v>308</v>
      </c>
      <c r="F73" s="554"/>
      <c r="G73" s="551" t="s">
        <v>321</v>
      </c>
      <c r="H73" s="552"/>
      <c r="I73" s="553"/>
      <c r="J73" s="554" t="s">
        <v>365</v>
      </c>
      <c r="K73" s="554"/>
      <c r="L73" s="554" t="s">
        <v>366</v>
      </c>
      <c r="M73" s="554"/>
      <c r="N73" s="554" t="s">
        <v>322</v>
      </c>
      <c r="O73" s="554"/>
      <c r="P73" s="554"/>
      <c r="Q73" s="554"/>
      <c r="R73" s="554"/>
      <c r="S73" s="554"/>
      <c r="T73" s="502">
        <v>9410</v>
      </c>
      <c r="U73" s="502"/>
      <c r="V73" s="502">
        <v>9410</v>
      </c>
      <c r="W73" s="502"/>
      <c r="X73" s="554">
        <v>0</v>
      </c>
      <c r="Y73" s="618"/>
      <c r="Z73" s="85"/>
      <c r="AA73" s="23"/>
      <c r="AB73" s="92"/>
      <c r="AC73" s="92"/>
      <c r="AD73" s="92"/>
      <c r="AE73" s="92"/>
      <c r="AF73" s="92"/>
      <c r="AG73" s="92"/>
      <c r="AH73" s="92"/>
      <c r="AI73" s="92"/>
      <c r="AJ73" s="92"/>
      <c r="AK73" s="92"/>
      <c r="AL73" s="92"/>
      <c r="AM73" s="92"/>
      <c r="AN73" s="92"/>
      <c r="AO73" s="109"/>
      <c r="AP73" s="110"/>
      <c r="AQ73" s="529"/>
    </row>
    <row r="74" spans="1:43" ht="15" customHeight="1">
      <c r="B74" s="111" t="s">
        <v>49</v>
      </c>
      <c r="C74" s="617">
        <v>3134320709</v>
      </c>
      <c r="D74" s="554"/>
      <c r="E74" s="501" t="s">
        <v>307</v>
      </c>
      <c r="F74" s="501"/>
      <c r="G74" s="551" t="s">
        <v>321</v>
      </c>
      <c r="H74" s="552"/>
      <c r="I74" s="553"/>
      <c r="J74" s="501" t="s">
        <v>323</v>
      </c>
      <c r="K74" s="501"/>
      <c r="L74" s="501" t="s">
        <v>367</v>
      </c>
      <c r="M74" s="501"/>
      <c r="N74" s="554" t="s">
        <v>322</v>
      </c>
      <c r="O74" s="554"/>
      <c r="P74" s="501"/>
      <c r="Q74" s="501"/>
      <c r="R74" s="501"/>
      <c r="S74" s="501"/>
      <c r="T74" s="500">
        <v>10000</v>
      </c>
      <c r="U74" s="500"/>
      <c r="V74" s="500">
        <v>10000</v>
      </c>
      <c r="W74" s="500"/>
      <c r="X74" s="501">
        <v>0</v>
      </c>
      <c r="Y74" s="639"/>
      <c r="Z74" s="85"/>
      <c r="AA74" s="23"/>
      <c r="AB74" s="92"/>
      <c r="AC74" s="92"/>
      <c r="AD74" s="92"/>
      <c r="AE74" s="92"/>
      <c r="AF74" s="92"/>
      <c r="AG74" s="92"/>
      <c r="AH74" s="92"/>
      <c r="AI74" s="92"/>
      <c r="AJ74" s="92"/>
      <c r="AK74" s="92"/>
      <c r="AL74" s="92"/>
      <c r="AM74" s="92"/>
      <c r="AN74" s="92"/>
      <c r="AO74" s="110"/>
      <c r="AP74" s="110"/>
      <c r="AQ74" s="529"/>
    </row>
    <row r="75" spans="1:43" ht="15" customHeight="1">
      <c r="B75" s="111" t="s">
        <v>50</v>
      </c>
      <c r="C75" s="543"/>
      <c r="D75" s="544"/>
      <c r="E75" s="616"/>
      <c r="F75" s="616"/>
      <c r="G75" s="389"/>
      <c r="H75" s="390"/>
      <c r="I75" s="391"/>
      <c r="J75" s="472"/>
      <c r="K75" s="472"/>
      <c r="L75" s="472"/>
      <c r="M75" s="472"/>
      <c r="N75" s="472"/>
      <c r="O75" s="472"/>
      <c r="P75" s="472"/>
      <c r="Q75" s="472"/>
      <c r="R75" s="472"/>
      <c r="S75" s="472"/>
      <c r="T75" s="472"/>
      <c r="U75" s="472"/>
      <c r="V75" s="472"/>
      <c r="W75" s="472"/>
      <c r="X75" s="472"/>
      <c r="Y75" s="473"/>
      <c r="Z75" s="85"/>
      <c r="AA75" s="23"/>
      <c r="AB75" s="92"/>
      <c r="AC75" s="92"/>
      <c r="AD75" s="92"/>
      <c r="AE75" s="92"/>
      <c r="AF75" s="92"/>
      <c r="AG75" s="92"/>
      <c r="AH75" s="92"/>
      <c r="AI75" s="92"/>
      <c r="AJ75" s="92"/>
      <c r="AK75" s="92"/>
      <c r="AL75" s="92"/>
      <c r="AM75" s="92"/>
      <c r="AN75" s="92"/>
      <c r="AO75" s="110"/>
      <c r="AP75" s="110"/>
      <c r="AQ75" s="529"/>
    </row>
    <row r="76" spans="1:43" ht="15" customHeight="1" thickBot="1">
      <c r="B76" s="111" t="s">
        <v>51</v>
      </c>
      <c r="C76" s="471"/>
      <c r="D76" s="472"/>
      <c r="E76" s="616"/>
      <c r="F76" s="616"/>
      <c r="G76" s="389"/>
      <c r="H76" s="390"/>
      <c r="I76" s="391"/>
      <c r="J76" s="472"/>
      <c r="K76" s="472"/>
      <c r="L76" s="472"/>
      <c r="M76" s="472"/>
      <c r="N76" s="472"/>
      <c r="O76" s="472"/>
      <c r="P76" s="472"/>
      <c r="Q76" s="472"/>
      <c r="R76" s="472"/>
      <c r="S76" s="472"/>
      <c r="T76" s="472"/>
      <c r="U76" s="472"/>
      <c r="V76" s="472"/>
      <c r="W76" s="472"/>
      <c r="X76" s="472"/>
      <c r="Y76" s="473"/>
      <c r="Z76" s="85"/>
      <c r="AA76" s="23"/>
      <c r="AB76" s="92"/>
      <c r="AC76" s="92"/>
      <c r="AD76" s="92"/>
      <c r="AE76" s="92"/>
      <c r="AF76" s="92"/>
      <c r="AG76" s="92"/>
      <c r="AH76" s="92"/>
      <c r="AI76" s="92"/>
      <c r="AJ76" s="92"/>
      <c r="AK76" s="92"/>
      <c r="AL76" s="92"/>
      <c r="AM76" s="92"/>
      <c r="AN76" s="92"/>
      <c r="AO76" s="92"/>
      <c r="AP76" s="92"/>
      <c r="AQ76" s="529"/>
    </row>
    <row r="77" spans="1:43" ht="15" customHeight="1">
      <c r="B77" s="111" t="s">
        <v>52</v>
      </c>
      <c r="C77" s="471"/>
      <c r="D77" s="472"/>
      <c r="E77" s="472"/>
      <c r="F77" s="472"/>
      <c r="G77" s="389"/>
      <c r="H77" s="390"/>
      <c r="I77" s="391"/>
      <c r="J77" s="472"/>
      <c r="K77" s="472"/>
      <c r="L77" s="472"/>
      <c r="M77" s="472"/>
      <c r="N77" s="472"/>
      <c r="O77" s="472"/>
      <c r="P77" s="472"/>
      <c r="Q77" s="472"/>
      <c r="R77" s="472"/>
      <c r="S77" s="472"/>
      <c r="T77" s="472"/>
      <c r="U77" s="472"/>
      <c r="V77" s="472"/>
      <c r="W77" s="472"/>
      <c r="X77" s="472"/>
      <c r="Y77" s="473"/>
      <c r="Z77" s="85"/>
      <c r="AA77" s="23"/>
      <c r="AB77" s="462" t="s">
        <v>140</v>
      </c>
      <c r="AC77" s="462"/>
      <c r="AD77" s="463"/>
      <c r="AE77" s="464" t="s">
        <v>89</v>
      </c>
      <c r="AF77" s="92"/>
      <c r="AG77" s="462" t="s">
        <v>141</v>
      </c>
      <c r="AH77" s="462"/>
      <c r="AI77" s="463"/>
      <c r="AJ77" s="464" t="s">
        <v>90</v>
      </c>
      <c r="AK77" s="92"/>
      <c r="AL77" s="462" t="s">
        <v>142</v>
      </c>
      <c r="AM77" s="462"/>
      <c r="AN77" s="463"/>
      <c r="AO77" s="464" t="s">
        <v>91</v>
      </c>
      <c r="AP77" s="92"/>
      <c r="AQ77" s="529"/>
    </row>
    <row r="78" spans="1:43" ht="15" customHeight="1">
      <c r="B78" s="111" t="s">
        <v>53</v>
      </c>
      <c r="C78" s="471"/>
      <c r="D78" s="472"/>
      <c r="E78" s="472"/>
      <c r="F78" s="472"/>
      <c r="G78" s="389"/>
      <c r="H78" s="390"/>
      <c r="I78" s="391"/>
      <c r="J78" s="472"/>
      <c r="K78" s="472"/>
      <c r="L78" s="472"/>
      <c r="M78" s="472"/>
      <c r="N78" s="472"/>
      <c r="O78" s="472"/>
      <c r="P78" s="472"/>
      <c r="Q78" s="472"/>
      <c r="R78" s="472"/>
      <c r="S78" s="472"/>
      <c r="T78" s="472"/>
      <c r="U78" s="472"/>
      <c r="V78" s="472"/>
      <c r="W78" s="472"/>
      <c r="X78" s="472"/>
      <c r="Y78" s="473"/>
      <c r="Z78" s="85"/>
      <c r="AA78" s="23"/>
      <c r="AB78" s="460"/>
      <c r="AC78" s="460"/>
      <c r="AD78" s="461"/>
      <c r="AE78" s="465"/>
      <c r="AF78" s="92"/>
      <c r="AG78" s="460"/>
      <c r="AH78" s="460"/>
      <c r="AI78" s="461"/>
      <c r="AJ78" s="465"/>
      <c r="AK78" s="92"/>
      <c r="AL78" s="460"/>
      <c r="AM78" s="460"/>
      <c r="AN78" s="461"/>
      <c r="AO78" s="465"/>
      <c r="AP78" s="92"/>
      <c r="AQ78" s="529"/>
    </row>
    <row r="79" spans="1:43" ht="15" customHeight="1">
      <c r="B79" s="111" t="s">
        <v>54</v>
      </c>
      <c r="C79" s="471"/>
      <c r="D79" s="472"/>
      <c r="E79" s="472"/>
      <c r="F79" s="472"/>
      <c r="G79" s="389"/>
      <c r="H79" s="390"/>
      <c r="I79" s="391"/>
      <c r="J79" s="472"/>
      <c r="K79" s="472"/>
      <c r="L79" s="472"/>
      <c r="M79" s="472"/>
      <c r="N79" s="472"/>
      <c r="O79" s="472"/>
      <c r="P79" s="472"/>
      <c r="Q79" s="472"/>
      <c r="R79" s="472"/>
      <c r="S79" s="472"/>
      <c r="T79" s="472"/>
      <c r="U79" s="472"/>
      <c r="V79" s="472"/>
      <c r="W79" s="472"/>
      <c r="X79" s="472"/>
      <c r="Y79" s="473"/>
      <c r="Z79" s="85"/>
      <c r="AA79" s="23"/>
      <c r="AB79" s="458"/>
      <c r="AC79" s="458"/>
      <c r="AD79" s="459"/>
      <c r="AE79" s="465"/>
      <c r="AF79" s="92"/>
      <c r="AG79" s="458"/>
      <c r="AH79" s="458"/>
      <c r="AI79" s="459"/>
      <c r="AJ79" s="465"/>
      <c r="AK79" s="92"/>
      <c r="AL79" s="458"/>
      <c r="AM79" s="458"/>
      <c r="AN79" s="459"/>
      <c r="AO79" s="465"/>
      <c r="AP79" s="92"/>
      <c r="AQ79" s="529"/>
    </row>
    <row r="80" spans="1:43" ht="31.9" customHeight="1">
      <c r="B80" s="111" t="s">
        <v>55</v>
      </c>
      <c r="C80" s="471"/>
      <c r="D80" s="472"/>
      <c r="E80" s="472"/>
      <c r="F80" s="472"/>
      <c r="G80" s="389"/>
      <c r="H80" s="390"/>
      <c r="I80" s="391"/>
      <c r="J80" s="472"/>
      <c r="K80" s="472"/>
      <c r="L80" s="472"/>
      <c r="M80" s="472"/>
      <c r="N80" s="472"/>
      <c r="O80" s="472"/>
      <c r="P80" s="472"/>
      <c r="Q80" s="472"/>
      <c r="R80" s="472"/>
      <c r="S80" s="472"/>
      <c r="T80" s="472"/>
      <c r="U80" s="472"/>
      <c r="V80" s="472"/>
      <c r="W80" s="472"/>
      <c r="X80" s="472"/>
      <c r="Y80" s="473"/>
      <c r="Z80" s="85"/>
      <c r="AA80" s="23"/>
      <c r="AB80" s="460"/>
      <c r="AC80" s="460"/>
      <c r="AD80" s="461"/>
      <c r="AE80" s="465"/>
      <c r="AF80" s="92"/>
      <c r="AG80" s="460"/>
      <c r="AH80" s="460"/>
      <c r="AI80" s="461"/>
      <c r="AJ80" s="465"/>
      <c r="AK80" s="92"/>
      <c r="AL80" s="460"/>
      <c r="AM80" s="460"/>
      <c r="AN80" s="461"/>
      <c r="AO80" s="465"/>
      <c r="AP80" s="92"/>
      <c r="AQ80" s="529"/>
    </row>
    <row r="81" spans="1:43" ht="15" customHeight="1">
      <c r="B81" s="111" t="s">
        <v>56</v>
      </c>
      <c r="C81" s="471"/>
      <c r="D81" s="472"/>
      <c r="E81" s="472"/>
      <c r="F81" s="472"/>
      <c r="G81" s="389"/>
      <c r="H81" s="390"/>
      <c r="I81" s="391"/>
      <c r="J81" s="472"/>
      <c r="K81" s="472"/>
      <c r="L81" s="472"/>
      <c r="M81" s="472"/>
      <c r="N81" s="472"/>
      <c r="O81" s="472"/>
      <c r="P81" s="472"/>
      <c r="Q81" s="472"/>
      <c r="R81" s="472"/>
      <c r="S81" s="472"/>
      <c r="T81" s="472"/>
      <c r="U81" s="472"/>
      <c r="V81" s="472"/>
      <c r="W81" s="472"/>
      <c r="X81" s="472"/>
      <c r="Y81" s="473"/>
      <c r="Z81" s="85"/>
      <c r="AA81" s="23"/>
      <c r="AB81" s="458"/>
      <c r="AC81" s="458"/>
      <c r="AD81" s="459"/>
      <c r="AE81" s="465"/>
      <c r="AF81" s="92"/>
      <c r="AG81" s="458"/>
      <c r="AH81" s="458"/>
      <c r="AI81" s="459"/>
      <c r="AJ81" s="465"/>
      <c r="AK81" s="92"/>
      <c r="AL81" s="458"/>
      <c r="AM81" s="458"/>
      <c r="AN81" s="459"/>
      <c r="AO81" s="465"/>
      <c r="AP81" s="92"/>
      <c r="AQ81" s="529"/>
    </row>
    <row r="82" spans="1:43" ht="15" customHeight="1">
      <c r="B82" s="112" t="s">
        <v>57</v>
      </c>
      <c r="C82" s="540"/>
      <c r="D82" s="533"/>
      <c r="E82" s="533"/>
      <c r="F82" s="533"/>
      <c r="G82" s="536"/>
      <c r="H82" s="545"/>
      <c r="I82" s="546"/>
      <c r="J82" s="533"/>
      <c r="K82" s="533"/>
      <c r="L82" s="533"/>
      <c r="M82" s="533"/>
      <c r="N82" s="533"/>
      <c r="O82" s="533"/>
      <c r="P82" s="533"/>
      <c r="Q82" s="533"/>
      <c r="R82" s="533"/>
      <c r="S82" s="533"/>
      <c r="T82" s="533"/>
      <c r="U82" s="533"/>
      <c r="V82" s="533"/>
      <c r="W82" s="533"/>
      <c r="X82" s="533"/>
      <c r="Y82" s="536"/>
      <c r="Z82" s="85"/>
      <c r="AA82" s="23"/>
      <c r="AB82" s="460"/>
      <c r="AC82" s="460"/>
      <c r="AD82" s="461"/>
      <c r="AE82" s="465"/>
      <c r="AF82" s="92"/>
      <c r="AG82" s="460"/>
      <c r="AH82" s="460"/>
      <c r="AI82" s="461"/>
      <c r="AJ82" s="465"/>
      <c r="AK82" s="92"/>
      <c r="AL82" s="460"/>
      <c r="AM82" s="460"/>
      <c r="AN82" s="461"/>
      <c r="AO82" s="465"/>
      <c r="AP82" s="92"/>
      <c r="AQ82" s="529"/>
    </row>
    <row r="83" spans="1:43" s="7" customFormat="1" ht="16.5">
      <c r="A83" s="6"/>
      <c r="B83" s="113"/>
      <c r="C83" s="114"/>
      <c r="D83" s="114"/>
      <c r="E83" s="114"/>
      <c r="F83" s="114"/>
      <c r="G83" s="114"/>
      <c r="H83" s="114"/>
      <c r="I83" s="114"/>
      <c r="J83" s="114"/>
      <c r="K83" s="114"/>
      <c r="L83" s="114"/>
      <c r="M83" s="114"/>
      <c r="N83" s="114"/>
      <c r="O83" s="114"/>
      <c r="P83" s="114"/>
      <c r="Q83" s="114"/>
      <c r="R83" s="115"/>
      <c r="S83" s="115"/>
      <c r="T83" s="115"/>
      <c r="U83" s="115"/>
      <c r="V83" s="116"/>
      <c r="W83" s="116"/>
      <c r="X83" s="116"/>
      <c r="Y83" s="116"/>
      <c r="Z83" s="85"/>
      <c r="AA83" s="84"/>
      <c r="AB83" s="458"/>
      <c r="AC83" s="458"/>
      <c r="AD83" s="459"/>
      <c r="AE83" s="465"/>
      <c r="AF83" s="92"/>
      <c r="AG83" s="458"/>
      <c r="AH83" s="458"/>
      <c r="AI83" s="459"/>
      <c r="AJ83" s="465"/>
      <c r="AK83" s="92"/>
      <c r="AL83" s="458"/>
      <c r="AM83" s="458"/>
      <c r="AN83" s="459"/>
      <c r="AO83" s="465"/>
      <c r="AP83" s="92"/>
      <c r="AQ83" s="529"/>
    </row>
    <row r="84" spans="1:43" ht="16.5">
      <c r="B84" s="541" t="s">
        <v>97</v>
      </c>
      <c r="C84" s="542"/>
      <c r="D84" s="542"/>
      <c r="E84" s="542"/>
      <c r="F84" s="542"/>
      <c r="G84" s="542"/>
      <c r="H84" s="542"/>
      <c r="I84" s="542"/>
      <c r="J84" s="542"/>
      <c r="K84" s="542"/>
      <c r="L84" s="542"/>
      <c r="M84" s="542"/>
      <c r="N84" s="542"/>
      <c r="O84" s="542"/>
      <c r="P84" s="542"/>
      <c r="Q84" s="542"/>
      <c r="R84" s="542"/>
      <c r="S84" s="542"/>
      <c r="T84" s="542"/>
      <c r="U84" s="542"/>
      <c r="V84" s="542"/>
      <c r="W84" s="542"/>
      <c r="X84" s="542"/>
      <c r="Y84" s="542"/>
      <c r="Z84" s="85"/>
      <c r="AA84" s="23"/>
      <c r="AB84" s="460"/>
      <c r="AC84" s="460"/>
      <c r="AD84" s="461"/>
      <c r="AE84" s="465"/>
      <c r="AF84" s="92"/>
      <c r="AG84" s="460"/>
      <c r="AH84" s="460"/>
      <c r="AI84" s="461"/>
      <c r="AJ84" s="465"/>
      <c r="AK84" s="92"/>
      <c r="AL84" s="460"/>
      <c r="AM84" s="460"/>
      <c r="AN84" s="461"/>
      <c r="AO84" s="465"/>
      <c r="AP84" s="92"/>
      <c r="AQ84" s="529"/>
    </row>
    <row r="85" spans="1:43" ht="16.5">
      <c r="B85" s="530" t="s">
        <v>345</v>
      </c>
      <c r="C85" s="531"/>
      <c r="D85" s="531"/>
      <c r="E85" s="531"/>
      <c r="F85" s="531"/>
      <c r="G85" s="531"/>
      <c r="H85" s="531"/>
      <c r="I85" s="531"/>
      <c r="J85" s="531"/>
      <c r="K85" s="531"/>
      <c r="L85" s="531"/>
      <c r="M85" s="531"/>
      <c r="N85" s="531"/>
      <c r="O85" s="531"/>
      <c r="P85" s="531"/>
      <c r="Q85" s="531"/>
      <c r="R85" s="531"/>
      <c r="S85" s="531"/>
      <c r="T85" s="531"/>
      <c r="U85" s="531"/>
      <c r="V85" s="531"/>
      <c r="W85" s="531"/>
      <c r="X85" s="531"/>
      <c r="Y85" s="531"/>
      <c r="Z85" s="85"/>
      <c r="AA85" s="23"/>
      <c r="AB85" s="458"/>
      <c r="AC85" s="458"/>
      <c r="AD85" s="459"/>
      <c r="AE85" s="465"/>
      <c r="AF85" s="92"/>
      <c r="AG85" s="458"/>
      <c r="AH85" s="458"/>
      <c r="AI85" s="459"/>
      <c r="AJ85" s="465"/>
      <c r="AK85" s="92"/>
      <c r="AL85" s="458"/>
      <c r="AM85" s="458"/>
      <c r="AN85" s="459"/>
      <c r="AO85" s="465"/>
      <c r="AP85" s="92"/>
      <c r="AQ85" s="529"/>
    </row>
    <row r="86" spans="1:43" ht="16.5">
      <c r="B86" s="494"/>
      <c r="C86" s="422"/>
      <c r="D86" s="422"/>
      <c r="E86" s="422"/>
      <c r="F86" s="422"/>
      <c r="G86" s="422"/>
      <c r="H86" s="422"/>
      <c r="I86" s="422"/>
      <c r="J86" s="422"/>
      <c r="K86" s="422"/>
      <c r="L86" s="422"/>
      <c r="M86" s="422"/>
      <c r="N86" s="422"/>
      <c r="O86" s="422"/>
      <c r="P86" s="422"/>
      <c r="Q86" s="422"/>
      <c r="R86" s="422"/>
      <c r="S86" s="422"/>
      <c r="T86" s="422"/>
      <c r="U86" s="422"/>
      <c r="V86" s="422"/>
      <c r="W86" s="422"/>
      <c r="X86" s="422"/>
      <c r="Y86" s="422"/>
      <c r="Z86" s="85"/>
      <c r="AA86" s="23"/>
      <c r="AB86" s="460"/>
      <c r="AC86" s="460"/>
      <c r="AD86" s="461"/>
      <c r="AE86" s="465"/>
      <c r="AF86" s="92"/>
      <c r="AG86" s="460"/>
      <c r="AH86" s="460"/>
      <c r="AI86" s="461"/>
      <c r="AJ86" s="465"/>
      <c r="AK86" s="92"/>
      <c r="AL86" s="460"/>
      <c r="AM86" s="460"/>
      <c r="AN86" s="461"/>
      <c r="AO86" s="465"/>
      <c r="AP86" s="92"/>
      <c r="AQ86" s="529"/>
    </row>
    <row r="87" spans="1:43" ht="16.5">
      <c r="B87" s="117"/>
      <c r="C87" s="118"/>
      <c r="D87" s="118"/>
      <c r="E87" s="118"/>
      <c r="F87" s="118"/>
      <c r="G87" s="118"/>
      <c r="H87" s="118"/>
      <c r="I87" s="118"/>
      <c r="J87" s="118"/>
      <c r="K87" s="118"/>
      <c r="L87" s="118"/>
      <c r="M87" s="118"/>
      <c r="N87" s="118"/>
      <c r="O87" s="118"/>
      <c r="P87" s="118"/>
      <c r="Q87" s="118"/>
      <c r="R87" s="118"/>
      <c r="S87" s="118"/>
      <c r="T87" s="118"/>
      <c r="U87" s="118"/>
      <c r="V87" s="118"/>
      <c r="W87" s="118"/>
      <c r="X87" s="118"/>
      <c r="Y87" s="119"/>
      <c r="Z87" s="120"/>
      <c r="AA87" s="23"/>
      <c r="AB87" s="458"/>
      <c r="AC87" s="458"/>
      <c r="AD87" s="459"/>
      <c r="AE87" s="465"/>
      <c r="AF87" s="92"/>
      <c r="AG87" s="458"/>
      <c r="AH87" s="458"/>
      <c r="AI87" s="459"/>
      <c r="AJ87" s="465"/>
      <c r="AK87" s="92"/>
      <c r="AL87" s="458"/>
      <c r="AM87" s="458"/>
      <c r="AN87" s="459"/>
      <c r="AO87" s="465"/>
      <c r="AP87" s="92"/>
      <c r="AQ87" s="529"/>
    </row>
    <row r="88" spans="1:43" ht="16.5">
      <c r="B88" s="121" t="s">
        <v>13</v>
      </c>
      <c r="C88" s="122" t="s">
        <v>14</v>
      </c>
      <c r="D88" s="123"/>
      <c r="E88" s="123"/>
      <c r="F88" s="123"/>
      <c r="G88" s="123"/>
      <c r="H88" s="123"/>
      <c r="I88" s="123"/>
      <c r="J88" s="123"/>
      <c r="K88" s="123"/>
      <c r="L88" s="123"/>
      <c r="M88" s="123"/>
      <c r="N88" s="123"/>
      <c r="O88" s="123"/>
      <c r="P88" s="123"/>
      <c r="Q88" s="123"/>
      <c r="R88" s="123"/>
      <c r="S88" s="123"/>
      <c r="T88" s="123"/>
      <c r="U88" s="123"/>
      <c r="V88" s="123"/>
      <c r="W88" s="123"/>
      <c r="X88" s="123"/>
      <c r="Y88" s="123"/>
      <c r="Z88" s="124"/>
      <c r="AA88" s="23"/>
      <c r="AB88" s="460"/>
      <c r="AC88" s="460"/>
      <c r="AD88" s="461"/>
      <c r="AE88" s="465"/>
      <c r="AF88" s="92"/>
      <c r="AG88" s="460"/>
      <c r="AH88" s="460"/>
      <c r="AI88" s="461"/>
      <c r="AJ88" s="465"/>
      <c r="AK88" s="92"/>
      <c r="AL88" s="460"/>
      <c r="AM88" s="460"/>
      <c r="AN88" s="461"/>
      <c r="AO88" s="465"/>
      <c r="AP88" s="92"/>
      <c r="AQ88" s="529"/>
    </row>
    <row r="89" spans="1:43" ht="12.75" customHeight="1">
      <c r="B89" s="125" t="s">
        <v>215</v>
      </c>
      <c r="C89" s="126"/>
      <c r="D89" s="126"/>
      <c r="E89" s="126"/>
      <c r="F89" s="126"/>
      <c r="G89" s="126"/>
      <c r="H89" s="126"/>
      <c r="I89" s="126"/>
      <c r="J89" s="126"/>
      <c r="K89" s="126"/>
      <c r="L89" s="126"/>
      <c r="M89" s="127"/>
      <c r="N89" s="127"/>
      <c r="O89" s="127"/>
      <c r="P89" s="127"/>
      <c r="Q89" s="127"/>
      <c r="R89" s="127"/>
      <c r="S89" s="127"/>
      <c r="T89" s="127"/>
      <c r="U89" s="127"/>
      <c r="V89" s="127"/>
      <c r="W89" s="127"/>
      <c r="X89" s="127"/>
      <c r="Y89" s="127"/>
      <c r="Z89" s="85"/>
      <c r="AA89" s="23"/>
      <c r="AB89" s="458"/>
      <c r="AC89" s="458"/>
      <c r="AD89" s="459"/>
      <c r="AE89" s="465"/>
      <c r="AF89" s="92"/>
      <c r="AG89" s="458"/>
      <c r="AH89" s="458"/>
      <c r="AI89" s="459"/>
      <c r="AJ89" s="465"/>
      <c r="AK89" s="92"/>
      <c r="AL89" s="458"/>
      <c r="AM89" s="458"/>
      <c r="AN89" s="459"/>
      <c r="AO89" s="465"/>
      <c r="AP89" s="92"/>
      <c r="AQ89" s="529"/>
    </row>
    <row r="90" spans="1:43" ht="12.75" customHeight="1">
      <c r="B90" s="128"/>
      <c r="C90" s="20"/>
      <c r="D90" s="20"/>
      <c r="E90" s="20"/>
      <c r="F90" s="20"/>
      <c r="G90" s="20"/>
      <c r="H90" s="20"/>
      <c r="I90" s="20"/>
      <c r="J90" s="20"/>
      <c r="K90" s="20"/>
      <c r="L90" s="20"/>
      <c r="M90" s="20"/>
      <c r="N90" s="20"/>
      <c r="O90" s="20"/>
      <c r="P90" s="20"/>
      <c r="Q90" s="20"/>
      <c r="R90" s="20"/>
      <c r="S90" s="20"/>
      <c r="T90" s="20"/>
      <c r="U90" s="20"/>
      <c r="V90" s="20"/>
      <c r="W90" s="20"/>
      <c r="X90" s="20"/>
      <c r="Y90" s="21"/>
      <c r="Z90" s="129"/>
      <c r="AA90" s="23"/>
      <c r="AB90" s="460"/>
      <c r="AC90" s="460"/>
      <c r="AD90" s="461"/>
      <c r="AE90" s="465"/>
      <c r="AF90" s="92"/>
      <c r="AG90" s="460"/>
      <c r="AH90" s="460"/>
      <c r="AI90" s="461"/>
      <c r="AJ90" s="465"/>
      <c r="AK90" s="92"/>
      <c r="AL90" s="460"/>
      <c r="AM90" s="460"/>
      <c r="AN90" s="461"/>
      <c r="AO90" s="465"/>
      <c r="AP90" s="92"/>
      <c r="AQ90" s="529"/>
    </row>
    <row r="91" spans="1:43" ht="12.75" customHeight="1">
      <c r="B91" s="537"/>
      <c r="C91" s="538"/>
      <c r="D91" s="538"/>
      <c r="E91" s="426" t="s">
        <v>131</v>
      </c>
      <c r="F91" s="427"/>
      <c r="G91" s="427"/>
      <c r="H91" s="427"/>
      <c r="I91" s="427"/>
      <c r="J91" s="427"/>
      <c r="K91" s="427"/>
      <c r="L91" s="427"/>
      <c r="M91" s="428"/>
      <c r="N91" s="534" t="s">
        <v>132</v>
      </c>
      <c r="O91" s="534"/>
      <c r="P91" s="534"/>
      <c r="Q91" s="534"/>
      <c r="R91" s="534"/>
      <c r="S91" s="534"/>
      <c r="T91" s="534"/>
      <c r="U91" s="534"/>
      <c r="V91" s="429" t="s">
        <v>108</v>
      </c>
      <c r="W91" s="539"/>
      <c r="X91" s="539"/>
      <c r="Y91" s="449"/>
      <c r="Z91" s="52"/>
      <c r="AA91" s="23"/>
      <c r="AB91" s="458"/>
      <c r="AC91" s="458"/>
      <c r="AD91" s="459"/>
      <c r="AE91" s="465"/>
      <c r="AF91" s="92"/>
      <c r="AG91" s="458"/>
      <c r="AH91" s="458"/>
      <c r="AI91" s="459"/>
      <c r="AJ91" s="465"/>
      <c r="AK91" s="92"/>
      <c r="AL91" s="458"/>
      <c r="AM91" s="458"/>
      <c r="AN91" s="459"/>
      <c r="AO91" s="465"/>
      <c r="AP91" s="92"/>
      <c r="AQ91" s="529"/>
    </row>
    <row r="92" spans="1:43" ht="12.75" customHeight="1" thickBot="1">
      <c r="B92" s="607" t="s">
        <v>104</v>
      </c>
      <c r="C92" s="608"/>
      <c r="D92" s="609"/>
      <c r="E92" s="418" t="s">
        <v>406</v>
      </c>
      <c r="F92" s="419"/>
      <c r="G92" s="419"/>
      <c r="H92" s="419"/>
      <c r="I92" s="419"/>
      <c r="J92" s="419"/>
      <c r="K92" s="419"/>
      <c r="L92" s="419"/>
      <c r="M92" s="420"/>
      <c r="N92" s="418" t="s">
        <v>404</v>
      </c>
      <c r="O92" s="419"/>
      <c r="P92" s="419"/>
      <c r="Q92" s="419"/>
      <c r="R92" s="419"/>
      <c r="S92" s="419"/>
      <c r="T92" s="419"/>
      <c r="U92" s="420"/>
      <c r="V92" s="435" t="s">
        <v>395</v>
      </c>
      <c r="W92" s="535"/>
      <c r="X92" s="535"/>
      <c r="Y92" s="436"/>
      <c r="Z92" s="85"/>
      <c r="AA92" s="23"/>
      <c r="AB92" s="460"/>
      <c r="AC92" s="460"/>
      <c r="AD92" s="461"/>
      <c r="AE92" s="466"/>
      <c r="AF92" s="92"/>
      <c r="AG92" s="460"/>
      <c r="AH92" s="460"/>
      <c r="AI92" s="461"/>
      <c r="AJ92" s="466"/>
      <c r="AK92" s="92"/>
      <c r="AL92" s="460"/>
      <c r="AM92" s="460"/>
      <c r="AN92" s="461"/>
      <c r="AO92" s="466"/>
      <c r="AP92" s="92"/>
      <c r="AQ92" s="529"/>
    </row>
    <row r="93" spans="1:43" ht="12.75" customHeight="1">
      <c r="B93" s="610"/>
      <c r="C93" s="611"/>
      <c r="D93" s="612"/>
      <c r="E93" s="421"/>
      <c r="F93" s="422"/>
      <c r="G93" s="422"/>
      <c r="H93" s="422"/>
      <c r="I93" s="422"/>
      <c r="J93" s="422"/>
      <c r="K93" s="422"/>
      <c r="L93" s="422"/>
      <c r="M93" s="423"/>
      <c r="N93" s="421"/>
      <c r="O93" s="422"/>
      <c r="P93" s="422"/>
      <c r="Q93" s="422"/>
      <c r="R93" s="422"/>
      <c r="S93" s="422"/>
      <c r="T93" s="422"/>
      <c r="U93" s="423"/>
      <c r="V93" s="398"/>
      <c r="W93" s="532"/>
      <c r="X93" s="532"/>
      <c r="Y93" s="399"/>
      <c r="Z93" s="85"/>
      <c r="AA93" s="23"/>
      <c r="AB93" s="20"/>
      <c r="AC93" s="20"/>
      <c r="AD93" s="20"/>
      <c r="AE93" s="20"/>
      <c r="AF93" s="20"/>
      <c r="AG93" s="20"/>
      <c r="AH93" s="20"/>
      <c r="AI93" s="20"/>
      <c r="AJ93" s="20"/>
      <c r="AK93" s="20"/>
      <c r="AL93" s="20"/>
      <c r="AM93" s="20"/>
      <c r="AN93" s="20"/>
      <c r="AO93" s="20"/>
      <c r="AP93" s="20"/>
      <c r="AQ93" s="24"/>
    </row>
    <row r="94" spans="1:43" ht="12.75" customHeight="1">
      <c r="B94" s="610"/>
      <c r="C94" s="611"/>
      <c r="D94" s="612"/>
      <c r="E94" s="421"/>
      <c r="F94" s="422"/>
      <c r="G94" s="422"/>
      <c r="H94" s="422"/>
      <c r="I94" s="422"/>
      <c r="J94" s="422"/>
      <c r="K94" s="422"/>
      <c r="L94" s="422"/>
      <c r="M94" s="423"/>
      <c r="N94" s="421"/>
      <c r="O94" s="422"/>
      <c r="P94" s="422"/>
      <c r="Q94" s="422"/>
      <c r="R94" s="422"/>
      <c r="S94" s="422"/>
      <c r="T94" s="422"/>
      <c r="U94" s="423"/>
      <c r="V94" s="398"/>
      <c r="W94" s="532"/>
      <c r="X94" s="532"/>
      <c r="Y94" s="399"/>
      <c r="Z94" s="85"/>
      <c r="AA94" s="23"/>
      <c r="AB94" s="20"/>
      <c r="AC94" s="20"/>
      <c r="AD94" s="20"/>
      <c r="AE94" s="20"/>
      <c r="AF94" s="20"/>
      <c r="AG94" s="20"/>
      <c r="AH94" s="20"/>
      <c r="AI94" s="20"/>
      <c r="AJ94" s="20"/>
      <c r="AK94" s="20"/>
      <c r="AL94" s="20"/>
      <c r="AM94" s="20"/>
      <c r="AN94" s="20"/>
      <c r="AO94" s="20"/>
      <c r="AP94" s="20"/>
      <c r="AQ94" s="24"/>
    </row>
    <row r="95" spans="1:43" ht="12.75" customHeight="1">
      <c r="B95" s="610"/>
      <c r="C95" s="611"/>
      <c r="D95" s="612"/>
      <c r="E95" s="424"/>
      <c r="F95" s="375"/>
      <c r="G95" s="375"/>
      <c r="H95" s="375"/>
      <c r="I95" s="375"/>
      <c r="J95" s="375"/>
      <c r="K95" s="375"/>
      <c r="L95" s="375"/>
      <c r="M95" s="425"/>
      <c r="N95" s="424"/>
      <c r="O95" s="375"/>
      <c r="P95" s="375"/>
      <c r="Q95" s="375"/>
      <c r="R95" s="375"/>
      <c r="S95" s="375"/>
      <c r="T95" s="375"/>
      <c r="U95" s="425"/>
      <c r="V95" s="398"/>
      <c r="W95" s="532"/>
      <c r="X95" s="532"/>
      <c r="Y95" s="399"/>
      <c r="Z95" s="85"/>
      <c r="AA95" s="23"/>
      <c r="AB95" s="130" t="s">
        <v>102</v>
      </c>
      <c r="AC95" s="20"/>
      <c r="AD95" s="20"/>
      <c r="AE95" s="20"/>
      <c r="AF95" s="20"/>
      <c r="AG95" s="20"/>
      <c r="AH95" s="20"/>
      <c r="AI95" s="20"/>
      <c r="AJ95" s="20"/>
      <c r="AK95" s="20"/>
      <c r="AL95" s="20"/>
      <c r="AM95" s="20"/>
      <c r="AN95" s="20"/>
      <c r="AO95" s="20"/>
      <c r="AP95" s="20"/>
      <c r="AQ95" s="24"/>
    </row>
    <row r="96" spans="1:43" ht="16.5">
      <c r="B96" s="613"/>
      <c r="C96" s="614"/>
      <c r="D96" s="615"/>
      <c r="E96" s="393"/>
      <c r="F96" s="394"/>
      <c r="G96" s="394"/>
      <c r="H96" s="394"/>
      <c r="I96" s="394"/>
      <c r="J96" s="394"/>
      <c r="K96" s="394"/>
      <c r="L96" s="394"/>
      <c r="M96" s="394"/>
      <c r="N96" s="455"/>
      <c r="O96" s="456"/>
      <c r="P96" s="456"/>
      <c r="Q96" s="456"/>
      <c r="R96" s="456"/>
      <c r="S96" s="456"/>
      <c r="T96" s="456"/>
      <c r="U96" s="457"/>
      <c r="V96" s="393"/>
      <c r="W96" s="394"/>
      <c r="X96" s="394"/>
      <c r="Y96" s="408"/>
      <c r="Z96" s="52"/>
      <c r="AA96" s="23"/>
      <c r="AB96" s="664"/>
      <c r="AC96" s="20"/>
      <c r="AD96" s="20"/>
      <c r="AE96" s="665"/>
      <c r="AF96" s="20"/>
      <c r="AG96" s="20"/>
      <c r="AH96" s="666"/>
      <c r="AI96" s="20"/>
      <c r="AJ96" s="20"/>
      <c r="AK96" s="20"/>
      <c r="AL96" s="20"/>
      <c r="AM96" s="20"/>
      <c r="AN96" s="20"/>
      <c r="AO96" s="20"/>
      <c r="AP96" s="20"/>
      <c r="AQ96" s="24"/>
    </row>
    <row r="97" spans="1:50" ht="16.5">
      <c r="B97" s="610" t="s">
        <v>209</v>
      </c>
      <c r="C97" s="611"/>
      <c r="D97" s="612"/>
      <c r="E97" s="418" t="s">
        <v>407</v>
      </c>
      <c r="F97" s="419"/>
      <c r="G97" s="419"/>
      <c r="H97" s="419"/>
      <c r="I97" s="419"/>
      <c r="J97" s="419"/>
      <c r="K97" s="419"/>
      <c r="L97" s="419"/>
      <c r="M97" s="420"/>
      <c r="N97" s="418" t="s">
        <v>405</v>
      </c>
      <c r="O97" s="419"/>
      <c r="P97" s="419"/>
      <c r="Q97" s="419"/>
      <c r="R97" s="419"/>
      <c r="S97" s="419"/>
      <c r="T97" s="419"/>
      <c r="U97" s="420"/>
      <c r="V97" s="435" t="s">
        <v>395</v>
      </c>
      <c r="W97" s="535"/>
      <c r="X97" s="535"/>
      <c r="Y97" s="436"/>
      <c r="Z97" s="52"/>
      <c r="AA97" s="23"/>
      <c r="AB97" s="664"/>
      <c r="AC97" s="20" t="s">
        <v>134</v>
      </c>
      <c r="AD97" s="20"/>
      <c r="AE97" s="665"/>
      <c r="AF97" s="20" t="s">
        <v>106</v>
      </c>
      <c r="AG97" s="20"/>
      <c r="AH97" s="666"/>
      <c r="AI97" s="20" t="s">
        <v>107</v>
      </c>
      <c r="AJ97" s="20"/>
      <c r="AK97" s="20"/>
      <c r="AL97" s="20"/>
      <c r="AM97" s="20"/>
      <c r="AN97" s="20"/>
      <c r="AO97" s="20"/>
      <c r="AP97" s="20"/>
      <c r="AQ97" s="24"/>
    </row>
    <row r="98" spans="1:50" ht="16.5" customHeight="1">
      <c r="B98" s="610"/>
      <c r="C98" s="611"/>
      <c r="D98" s="612"/>
      <c r="E98" s="421"/>
      <c r="F98" s="422"/>
      <c r="G98" s="422"/>
      <c r="H98" s="422"/>
      <c r="I98" s="422"/>
      <c r="J98" s="422"/>
      <c r="K98" s="422"/>
      <c r="L98" s="422"/>
      <c r="M98" s="423"/>
      <c r="N98" s="421"/>
      <c r="O98" s="422"/>
      <c r="P98" s="422"/>
      <c r="Q98" s="422"/>
      <c r="R98" s="422"/>
      <c r="S98" s="422"/>
      <c r="T98" s="422"/>
      <c r="U98" s="423"/>
      <c r="V98" s="398"/>
      <c r="W98" s="532"/>
      <c r="X98" s="532"/>
      <c r="Y98" s="399"/>
      <c r="Z98" s="52"/>
      <c r="AA98" s="23"/>
      <c r="AB98" s="20"/>
      <c r="AC98" s="20"/>
      <c r="AD98" s="20"/>
      <c r="AE98" s="20"/>
      <c r="AF98" s="20"/>
      <c r="AG98" s="20"/>
      <c r="AH98" s="20"/>
      <c r="AI98" s="20"/>
      <c r="AJ98" s="20"/>
      <c r="AK98" s="20"/>
      <c r="AL98" s="20"/>
      <c r="AM98" s="20"/>
      <c r="AN98" s="20"/>
      <c r="AO98" s="20"/>
      <c r="AP98" s="20"/>
      <c r="AQ98" s="24"/>
    </row>
    <row r="99" spans="1:50" ht="12.75" customHeight="1">
      <c r="B99" s="610"/>
      <c r="C99" s="611"/>
      <c r="D99" s="612"/>
      <c r="E99" s="421"/>
      <c r="F99" s="422"/>
      <c r="G99" s="422"/>
      <c r="H99" s="422"/>
      <c r="I99" s="422"/>
      <c r="J99" s="422"/>
      <c r="K99" s="422"/>
      <c r="L99" s="422"/>
      <c r="M99" s="423"/>
      <c r="N99" s="421"/>
      <c r="O99" s="422"/>
      <c r="P99" s="422"/>
      <c r="Q99" s="422"/>
      <c r="R99" s="422"/>
      <c r="S99" s="422"/>
      <c r="T99" s="422"/>
      <c r="U99" s="423"/>
      <c r="V99" s="398"/>
      <c r="W99" s="532"/>
      <c r="X99" s="532"/>
      <c r="Y99" s="399"/>
      <c r="Z99" s="85"/>
      <c r="AA99" s="23"/>
      <c r="AB99" s="663" t="s">
        <v>103</v>
      </c>
      <c r="AC99" s="663"/>
      <c r="AD99" s="663"/>
      <c r="AE99" s="663"/>
      <c r="AF99" s="663"/>
      <c r="AG99" s="663"/>
      <c r="AH99" s="663"/>
      <c r="AI99" s="663"/>
      <c r="AJ99" s="663"/>
      <c r="AK99" s="663"/>
      <c r="AL99" s="663"/>
      <c r="AM99" s="663"/>
      <c r="AN99" s="663"/>
      <c r="AO99" s="663"/>
      <c r="AP99" s="663"/>
      <c r="AQ99" s="24"/>
      <c r="AR99" s="13"/>
      <c r="AS99" s="13"/>
      <c r="AT99" s="13"/>
      <c r="AU99" s="13"/>
      <c r="AV99" s="13"/>
      <c r="AW99" s="13"/>
      <c r="AX99" s="13"/>
    </row>
    <row r="100" spans="1:50" ht="17.25" customHeight="1">
      <c r="B100" s="610"/>
      <c r="C100" s="611"/>
      <c r="D100" s="612"/>
      <c r="E100" s="424"/>
      <c r="F100" s="375"/>
      <c r="G100" s="375"/>
      <c r="H100" s="375"/>
      <c r="I100" s="375"/>
      <c r="J100" s="375"/>
      <c r="K100" s="375"/>
      <c r="L100" s="375"/>
      <c r="M100" s="425"/>
      <c r="N100" s="424"/>
      <c r="O100" s="375"/>
      <c r="P100" s="375"/>
      <c r="Q100" s="375"/>
      <c r="R100" s="375"/>
      <c r="S100" s="375"/>
      <c r="T100" s="375"/>
      <c r="U100" s="425"/>
      <c r="V100" s="398"/>
      <c r="W100" s="532"/>
      <c r="X100" s="532"/>
      <c r="Y100" s="399"/>
      <c r="Z100" s="85"/>
      <c r="AA100" s="23"/>
      <c r="AB100" s="659" t="s">
        <v>372</v>
      </c>
      <c r="AC100" s="660"/>
      <c r="AD100" s="660"/>
      <c r="AE100" s="660"/>
      <c r="AF100" s="660"/>
      <c r="AG100" s="660"/>
      <c r="AH100" s="660"/>
      <c r="AI100" s="660"/>
      <c r="AJ100" s="660"/>
      <c r="AK100" s="660"/>
      <c r="AL100" s="660"/>
      <c r="AM100" s="660"/>
      <c r="AN100" s="660"/>
      <c r="AO100" s="660"/>
      <c r="AP100" s="660"/>
      <c r="AQ100" s="24"/>
    </row>
    <row r="101" spans="1:50" ht="17.25" customHeight="1">
      <c r="B101" s="613"/>
      <c r="C101" s="614"/>
      <c r="D101" s="615"/>
      <c r="E101" s="393"/>
      <c r="F101" s="394"/>
      <c r="G101" s="394"/>
      <c r="H101" s="394"/>
      <c r="I101" s="394"/>
      <c r="J101" s="394"/>
      <c r="K101" s="394"/>
      <c r="L101" s="394"/>
      <c r="M101" s="394"/>
      <c r="N101" s="455"/>
      <c r="O101" s="456"/>
      <c r="P101" s="456"/>
      <c r="Q101" s="456"/>
      <c r="R101" s="456"/>
      <c r="S101" s="456"/>
      <c r="T101" s="456"/>
      <c r="U101" s="457"/>
      <c r="V101" s="393"/>
      <c r="W101" s="394"/>
      <c r="X101" s="394"/>
      <c r="Y101" s="408"/>
      <c r="Z101" s="85"/>
      <c r="AA101" s="23"/>
      <c r="AB101" s="661"/>
      <c r="AC101" s="661"/>
      <c r="AD101" s="661"/>
      <c r="AE101" s="661"/>
      <c r="AF101" s="661"/>
      <c r="AG101" s="661"/>
      <c r="AH101" s="661"/>
      <c r="AI101" s="661"/>
      <c r="AJ101" s="661"/>
      <c r="AK101" s="661"/>
      <c r="AL101" s="661"/>
      <c r="AM101" s="661"/>
      <c r="AN101" s="661"/>
      <c r="AO101" s="661"/>
      <c r="AP101" s="661"/>
      <c r="AQ101" s="131"/>
      <c r="AR101" s="12"/>
      <c r="AS101" s="12"/>
      <c r="AT101" s="12"/>
      <c r="AU101" s="12"/>
      <c r="AV101" s="12"/>
      <c r="AW101" s="12"/>
      <c r="AX101" s="12"/>
    </row>
    <row r="102" spans="1:50" ht="17.25" customHeight="1">
      <c r="B102" s="128"/>
      <c r="C102" s="20"/>
      <c r="D102" s="20"/>
      <c r="E102" s="20"/>
      <c r="F102" s="20"/>
      <c r="G102" s="20"/>
      <c r="H102" s="20"/>
      <c r="I102" s="20"/>
      <c r="J102" s="20"/>
      <c r="K102" s="20"/>
      <c r="L102" s="20"/>
      <c r="M102" s="20"/>
      <c r="N102" s="20"/>
      <c r="O102" s="20"/>
      <c r="P102" s="20"/>
      <c r="Q102" s="20"/>
      <c r="R102" s="20"/>
      <c r="S102" s="20"/>
      <c r="T102" s="20"/>
      <c r="U102" s="20"/>
      <c r="V102" s="20"/>
      <c r="W102" s="20"/>
      <c r="X102" s="20"/>
      <c r="Y102" s="21"/>
      <c r="Z102" s="85"/>
      <c r="AA102" s="23"/>
      <c r="AB102" s="662"/>
      <c r="AC102" s="662"/>
      <c r="AD102" s="662"/>
      <c r="AE102" s="662"/>
      <c r="AF102" s="662"/>
      <c r="AG102" s="662"/>
      <c r="AH102" s="662"/>
      <c r="AI102" s="662"/>
      <c r="AJ102" s="662"/>
      <c r="AK102" s="662"/>
      <c r="AL102" s="662"/>
      <c r="AM102" s="662"/>
      <c r="AN102" s="662"/>
      <c r="AO102" s="662"/>
      <c r="AP102" s="662"/>
      <c r="AQ102" s="131"/>
      <c r="AR102" s="12"/>
      <c r="AS102" s="12"/>
      <c r="AT102" s="12"/>
      <c r="AU102" s="12"/>
      <c r="AV102" s="12"/>
      <c r="AW102" s="12"/>
      <c r="AX102" s="12"/>
    </row>
    <row r="103" spans="1:50" ht="12.75" customHeight="1">
      <c r="B103" s="678" t="s">
        <v>135</v>
      </c>
      <c r="C103" s="679"/>
      <c r="D103" s="679"/>
      <c r="E103" s="679"/>
      <c r="F103" s="679"/>
      <c r="G103" s="679"/>
      <c r="H103" s="679"/>
      <c r="I103" s="679"/>
      <c r="J103" s="679"/>
      <c r="K103" s="679"/>
      <c r="L103" s="679"/>
      <c r="M103" s="679"/>
      <c r="N103" s="679"/>
      <c r="O103" s="679"/>
      <c r="P103" s="679"/>
      <c r="Q103" s="679"/>
      <c r="R103" s="679"/>
      <c r="S103" s="679"/>
      <c r="T103" s="679"/>
      <c r="U103" s="679"/>
      <c r="V103" s="679"/>
      <c r="W103" s="679"/>
      <c r="X103" s="679"/>
      <c r="Y103" s="680"/>
      <c r="Z103" s="85"/>
      <c r="AA103" s="23"/>
      <c r="AB103" s="20"/>
      <c r="AC103" s="20"/>
      <c r="AD103" s="20"/>
      <c r="AE103" s="20"/>
      <c r="AF103" s="20"/>
      <c r="AG103" s="20"/>
      <c r="AH103" s="20"/>
      <c r="AI103" s="20"/>
      <c r="AJ103" s="20"/>
      <c r="AK103" s="20"/>
      <c r="AL103" s="20"/>
      <c r="AM103" s="20"/>
      <c r="AN103" s="20"/>
      <c r="AO103" s="20"/>
      <c r="AP103" s="20"/>
      <c r="AQ103" s="24"/>
    </row>
    <row r="104" spans="1:50" ht="12.75" customHeight="1">
      <c r="B104" s="132"/>
      <c r="C104" s="133"/>
      <c r="D104" s="133"/>
      <c r="E104" s="133"/>
      <c r="F104" s="134"/>
      <c r="G104" s="134"/>
      <c r="H104" s="134"/>
      <c r="I104" s="134"/>
      <c r="J104" s="134"/>
      <c r="K104" s="134"/>
      <c r="L104" s="134"/>
      <c r="M104" s="134"/>
      <c r="N104" s="134"/>
      <c r="O104" s="134"/>
      <c r="P104" s="134"/>
      <c r="Q104" s="134"/>
      <c r="R104" s="134"/>
      <c r="S104" s="134"/>
      <c r="T104" s="134"/>
      <c r="U104" s="134"/>
      <c r="V104" s="134"/>
      <c r="W104" s="134"/>
      <c r="X104" s="134"/>
      <c r="Y104" s="135"/>
      <c r="Z104" s="85"/>
      <c r="AA104" s="23"/>
      <c r="AB104" s="20"/>
      <c r="AC104" s="20"/>
      <c r="AD104" s="20"/>
      <c r="AE104" s="20"/>
      <c r="AF104" s="20"/>
      <c r="AG104" s="20"/>
      <c r="AH104" s="20"/>
      <c r="AI104" s="20"/>
      <c r="AJ104" s="20"/>
      <c r="AK104" s="20"/>
      <c r="AL104" s="20"/>
      <c r="AM104" s="20"/>
      <c r="AN104" s="20"/>
      <c r="AO104" s="20"/>
      <c r="AP104" s="20"/>
      <c r="AQ104" s="131"/>
    </row>
    <row r="105" spans="1:50" ht="12.75" customHeight="1">
      <c r="B105" s="136"/>
      <c r="C105" s="137"/>
      <c r="D105" s="137"/>
      <c r="E105" s="137"/>
      <c r="F105" s="137"/>
      <c r="G105" s="137"/>
      <c r="H105" s="137"/>
      <c r="I105" s="137"/>
      <c r="J105" s="137"/>
      <c r="K105" s="137"/>
      <c r="L105" s="137"/>
      <c r="M105" s="137"/>
      <c r="N105" s="137"/>
      <c r="O105" s="137"/>
      <c r="P105" s="137"/>
      <c r="Q105" s="137"/>
      <c r="R105" s="137"/>
      <c r="S105" s="137"/>
      <c r="T105" s="137"/>
      <c r="U105" s="137"/>
      <c r="V105" s="137"/>
      <c r="W105" s="137"/>
      <c r="X105" s="137"/>
      <c r="Y105" s="138"/>
      <c r="Z105" s="85"/>
      <c r="AA105" s="23"/>
      <c r="AB105" s="20"/>
      <c r="AC105" s="20"/>
      <c r="AD105" s="20"/>
      <c r="AE105" s="20"/>
      <c r="AF105" s="20"/>
      <c r="AG105" s="20"/>
      <c r="AH105" s="20"/>
      <c r="AI105" s="20"/>
      <c r="AJ105" s="20"/>
      <c r="AK105" s="20"/>
      <c r="AL105" s="20"/>
      <c r="AM105" s="20"/>
      <c r="AN105" s="20"/>
      <c r="AO105" s="20"/>
      <c r="AP105" s="20"/>
      <c r="AQ105" s="131"/>
    </row>
    <row r="106" spans="1:50" ht="13.5" customHeight="1">
      <c r="B106" s="541" t="s">
        <v>46</v>
      </c>
      <c r="C106" s="542"/>
      <c r="D106" s="542"/>
      <c r="E106" s="542"/>
      <c r="F106" s="542"/>
      <c r="G106" s="542"/>
      <c r="H106" s="542"/>
      <c r="I106" s="542"/>
      <c r="J106" s="542"/>
      <c r="K106" s="542"/>
      <c r="L106" s="542"/>
      <c r="M106" s="542"/>
      <c r="N106" s="542"/>
      <c r="O106" s="542"/>
      <c r="P106" s="542"/>
      <c r="Q106" s="542"/>
      <c r="R106" s="542"/>
      <c r="S106" s="542"/>
      <c r="T106" s="542"/>
      <c r="U106" s="542"/>
      <c r="V106" s="542"/>
      <c r="W106" s="542"/>
      <c r="X106" s="542"/>
      <c r="Y106" s="542"/>
      <c r="Z106" s="85"/>
      <c r="AA106" s="377" t="s">
        <v>127</v>
      </c>
      <c r="AB106" s="378"/>
      <c r="AC106" s="378"/>
      <c r="AD106" s="378"/>
      <c r="AE106" s="378"/>
      <c r="AF106" s="378"/>
      <c r="AG106" s="378"/>
      <c r="AH106" s="378"/>
      <c r="AI106" s="378"/>
      <c r="AJ106" s="378"/>
      <c r="AK106" s="378"/>
      <c r="AL106" s="378"/>
      <c r="AM106" s="378"/>
      <c r="AN106" s="378"/>
      <c r="AO106" s="378"/>
      <c r="AP106" s="378"/>
      <c r="AQ106" s="379"/>
    </row>
    <row r="107" spans="1:50" ht="13.5" customHeight="1">
      <c r="B107" s="400"/>
      <c r="C107" s="401"/>
      <c r="D107" s="401"/>
      <c r="E107" s="401"/>
      <c r="F107" s="401"/>
      <c r="G107" s="401"/>
      <c r="H107" s="401"/>
      <c r="I107" s="401"/>
      <c r="J107" s="401"/>
      <c r="K107" s="401"/>
      <c r="L107" s="401"/>
      <c r="M107" s="401"/>
      <c r="N107" s="401"/>
      <c r="O107" s="401"/>
      <c r="P107" s="401"/>
      <c r="Q107" s="401"/>
      <c r="R107" s="401"/>
      <c r="S107" s="401"/>
      <c r="T107" s="401"/>
      <c r="U107" s="401"/>
      <c r="V107" s="401"/>
      <c r="W107" s="401"/>
      <c r="X107" s="401"/>
      <c r="Y107" s="401"/>
      <c r="Z107" s="85"/>
      <c r="AA107" s="380"/>
      <c r="AB107" s="381"/>
      <c r="AC107" s="381"/>
      <c r="AD107" s="381"/>
      <c r="AE107" s="381"/>
      <c r="AF107" s="381"/>
      <c r="AG107" s="381"/>
      <c r="AH107" s="381"/>
      <c r="AI107" s="381"/>
      <c r="AJ107" s="381"/>
      <c r="AK107" s="381"/>
      <c r="AL107" s="381"/>
      <c r="AM107" s="381"/>
      <c r="AN107" s="381"/>
      <c r="AO107" s="381"/>
      <c r="AP107" s="381"/>
      <c r="AQ107" s="382"/>
    </row>
    <row r="108" spans="1:50" ht="13.5" customHeight="1">
      <c r="B108" s="403"/>
      <c r="C108" s="404"/>
      <c r="D108" s="404"/>
      <c r="E108" s="404"/>
      <c r="F108" s="404"/>
      <c r="G108" s="404"/>
      <c r="H108" s="404"/>
      <c r="I108" s="404"/>
      <c r="J108" s="404"/>
      <c r="K108" s="404"/>
      <c r="L108" s="404"/>
      <c r="M108" s="404"/>
      <c r="N108" s="404"/>
      <c r="O108" s="404"/>
      <c r="P108" s="404"/>
      <c r="Q108" s="404"/>
      <c r="R108" s="404"/>
      <c r="S108" s="404"/>
      <c r="T108" s="404"/>
      <c r="U108" s="404"/>
      <c r="V108" s="404"/>
      <c r="W108" s="404"/>
      <c r="X108" s="404"/>
      <c r="Y108" s="404"/>
      <c r="Z108" s="85"/>
      <c r="AA108" s="380"/>
      <c r="AB108" s="381"/>
      <c r="AC108" s="381"/>
      <c r="AD108" s="381"/>
      <c r="AE108" s="381"/>
      <c r="AF108" s="381"/>
      <c r="AG108" s="381"/>
      <c r="AH108" s="381"/>
      <c r="AI108" s="381"/>
      <c r="AJ108" s="381"/>
      <c r="AK108" s="381"/>
      <c r="AL108" s="381"/>
      <c r="AM108" s="381"/>
      <c r="AN108" s="381"/>
      <c r="AO108" s="381"/>
      <c r="AP108" s="381"/>
      <c r="AQ108" s="382"/>
    </row>
    <row r="109" spans="1:50" ht="16.5">
      <c r="B109" s="139"/>
      <c r="C109" s="140"/>
      <c r="D109" s="140"/>
      <c r="E109" s="140"/>
      <c r="F109" s="140"/>
      <c r="G109" s="140"/>
      <c r="H109" s="140"/>
      <c r="I109" s="140"/>
      <c r="J109" s="140"/>
      <c r="K109" s="140"/>
      <c r="L109" s="140"/>
      <c r="M109" s="140"/>
      <c r="N109" s="140"/>
      <c r="O109" s="140"/>
      <c r="P109" s="140"/>
      <c r="Q109" s="140"/>
      <c r="R109" s="140"/>
      <c r="S109" s="140"/>
      <c r="T109" s="140"/>
      <c r="U109" s="140"/>
      <c r="V109" s="140"/>
      <c r="W109" s="140"/>
      <c r="X109" s="140"/>
      <c r="Y109" s="140"/>
      <c r="Z109" s="52"/>
      <c r="AA109" s="383"/>
      <c r="AB109" s="384"/>
      <c r="AC109" s="384"/>
      <c r="AD109" s="384"/>
      <c r="AE109" s="384"/>
      <c r="AF109" s="384"/>
      <c r="AG109" s="384"/>
      <c r="AH109" s="384"/>
      <c r="AI109" s="384"/>
      <c r="AJ109" s="384"/>
      <c r="AK109" s="384"/>
      <c r="AL109" s="384"/>
      <c r="AM109" s="384"/>
      <c r="AN109" s="384"/>
      <c r="AO109" s="384"/>
      <c r="AP109" s="384"/>
      <c r="AQ109" s="385"/>
    </row>
    <row r="110" spans="1:50" s="7" customFormat="1" ht="16.5">
      <c r="A110" s="6"/>
      <c r="B110" s="141" t="s">
        <v>398</v>
      </c>
      <c r="C110" s="39"/>
      <c r="D110" s="39"/>
      <c r="E110" s="39"/>
      <c r="F110" s="142"/>
      <c r="G110" s="142"/>
      <c r="H110" s="142"/>
      <c r="I110" s="142"/>
      <c r="J110" s="142"/>
      <c r="K110" s="142"/>
      <c r="L110" s="142"/>
      <c r="M110" s="142"/>
      <c r="N110" s="142"/>
      <c r="O110" s="142"/>
      <c r="P110" s="142"/>
      <c r="Q110" s="142"/>
      <c r="R110" s="142"/>
      <c r="S110" s="142"/>
      <c r="T110" s="142"/>
      <c r="U110" s="142"/>
      <c r="V110" s="142"/>
      <c r="W110" s="142"/>
      <c r="X110" s="142"/>
      <c r="Y110" s="142"/>
      <c r="Z110" s="52"/>
      <c r="AA110" s="23"/>
      <c r="AB110" s="20"/>
      <c r="AC110" s="20"/>
      <c r="AD110" s="20"/>
      <c r="AE110" s="20"/>
      <c r="AF110" s="20"/>
      <c r="AG110" s="20"/>
      <c r="AH110" s="20"/>
      <c r="AI110" s="20"/>
      <c r="AJ110" s="20"/>
      <c r="AK110" s="20"/>
      <c r="AL110" s="20"/>
      <c r="AM110" s="20"/>
      <c r="AN110" s="20"/>
      <c r="AO110" s="20"/>
      <c r="AP110" s="20"/>
      <c r="AQ110" s="24"/>
    </row>
    <row r="111" spans="1:50" ht="16.5">
      <c r="B111" s="541" t="s">
        <v>219</v>
      </c>
      <c r="C111" s="542"/>
      <c r="D111" s="542"/>
      <c r="E111" s="542"/>
      <c r="F111" s="542"/>
      <c r="G111" s="542"/>
      <c r="H111" s="542"/>
      <c r="I111" s="542"/>
      <c r="J111" s="542"/>
      <c r="K111" s="542"/>
      <c r="L111" s="542"/>
      <c r="M111" s="542"/>
      <c r="N111" s="542"/>
      <c r="O111" s="542"/>
      <c r="P111" s="542"/>
      <c r="Q111" s="542"/>
      <c r="R111" s="542"/>
      <c r="S111" s="542"/>
      <c r="T111" s="542"/>
      <c r="U111" s="542"/>
      <c r="V111" s="542"/>
      <c r="W111" s="542"/>
      <c r="X111" s="542"/>
      <c r="Y111" s="542"/>
      <c r="Z111" s="52"/>
      <c r="AA111" s="23"/>
      <c r="AB111" s="20"/>
      <c r="AC111" s="20"/>
      <c r="AD111" s="20"/>
      <c r="AE111" s="20"/>
      <c r="AF111" s="20"/>
      <c r="AG111" s="20"/>
      <c r="AH111" s="20"/>
      <c r="AI111" s="20"/>
      <c r="AJ111" s="20"/>
      <c r="AK111" s="20"/>
      <c r="AL111" s="20"/>
      <c r="AM111" s="20"/>
      <c r="AN111" s="20"/>
      <c r="AO111" s="20"/>
      <c r="AP111" s="20"/>
      <c r="AQ111" s="131"/>
    </row>
    <row r="112" spans="1:50" ht="12.75" customHeight="1">
      <c r="B112" s="530" t="s">
        <v>399</v>
      </c>
      <c r="C112" s="531"/>
      <c r="D112" s="531"/>
      <c r="E112" s="531"/>
      <c r="F112" s="531"/>
      <c r="G112" s="531"/>
      <c r="H112" s="531"/>
      <c r="I112" s="531"/>
      <c r="J112" s="531"/>
      <c r="K112" s="531"/>
      <c r="L112" s="531"/>
      <c r="M112" s="531"/>
      <c r="N112" s="531"/>
      <c r="O112" s="531"/>
      <c r="P112" s="531"/>
      <c r="Q112" s="531"/>
      <c r="R112" s="531"/>
      <c r="S112" s="531"/>
      <c r="T112" s="531"/>
      <c r="U112" s="531"/>
      <c r="V112" s="531"/>
      <c r="W112" s="531"/>
      <c r="X112" s="531"/>
      <c r="Y112" s="531"/>
      <c r="Z112" s="85"/>
      <c r="AA112" s="23"/>
      <c r="AB112" s="20"/>
      <c r="AC112" s="20"/>
      <c r="AD112" s="20"/>
      <c r="AE112" s="20"/>
      <c r="AF112" s="20"/>
      <c r="AG112" s="20"/>
      <c r="AH112" s="20"/>
      <c r="AI112" s="20"/>
      <c r="AJ112" s="20"/>
      <c r="AK112" s="20"/>
      <c r="AL112" s="20"/>
      <c r="AM112" s="20"/>
      <c r="AN112" s="20"/>
      <c r="AO112" s="20"/>
      <c r="AP112" s="20"/>
      <c r="AQ112" s="24"/>
    </row>
    <row r="113" spans="1:133" ht="12.75" customHeight="1">
      <c r="B113" s="494"/>
      <c r="C113" s="422"/>
      <c r="D113" s="422"/>
      <c r="E113" s="422"/>
      <c r="F113" s="422"/>
      <c r="G113" s="422"/>
      <c r="H113" s="422"/>
      <c r="I113" s="422"/>
      <c r="J113" s="422"/>
      <c r="K113" s="422"/>
      <c r="L113" s="422"/>
      <c r="M113" s="422"/>
      <c r="N113" s="422"/>
      <c r="O113" s="422"/>
      <c r="P113" s="422"/>
      <c r="Q113" s="422"/>
      <c r="R113" s="422"/>
      <c r="S113" s="422"/>
      <c r="T113" s="422"/>
      <c r="U113" s="422"/>
      <c r="V113" s="422"/>
      <c r="W113" s="422"/>
      <c r="X113" s="422"/>
      <c r="Y113" s="422"/>
      <c r="Z113" s="85"/>
      <c r="AA113" s="23"/>
      <c r="AB113" s="20" t="s">
        <v>130</v>
      </c>
      <c r="AC113" s="20"/>
      <c r="AD113" s="20"/>
      <c r="AE113" s="20"/>
      <c r="AF113" s="20"/>
      <c r="AG113" s="20"/>
      <c r="AH113" s="20"/>
      <c r="AI113" s="20" t="s">
        <v>130</v>
      </c>
      <c r="AJ113" s="20"/>
      <c r="AK113" s="20"/>
      <c r="AL113" s="20"/>
      <c r="AM113" s="20"/>
      <c r="AN113" s="20"/>
      <c r="AO113" s="20"/>
      <c r="AP113" s="20"/>
      <c r="AQ113" s="131"/>
    </row>
    <row r="114" spans="1:133" s="7" customFormat="1" ht="12.75" customHeight="1">
      <c r="A114" s="6"/>
      <c r="B114" s="143"/>
      <c r="C114" s="79"/>
      <c r="D114" s="79"/>
      <c r="E114" s="79"/>
      <c r="F114" s="79"/>
      <c r="G114" s="79"/>
      <c r="H114" s="144"/>
      <c r="I114" s="144"/>
      <c r="J114" s="145"/>
      <c r="K114" s="145"/>
      <c r="L114" s="144"/>
      <c r="M114" s="144"/>
      <c r="N114" s="79"/>
      <c r="O114" s="79"/>
      <c r="P114" s="146"/>
      <c r="Q114" s="146"/>
      <c r="R114" s="79"/>
      <c r="S114" s="79"/>
      <c r="T114" s="79"/>
      <c r="U114" s="79"/>
      <c r="V114" s="79"/>
      <c r="W114" s="79"/>
      <c r="X114" s="146"/>
      <c r="Y114" s="146"/>
      <c r="Z114" s="147"/>
      <c r="AA114" s="23"/>
      <c r="AB114" s="411"/>
      <c r="AC114" s="412"/>
      <c r="AD114" s="412"/>
      <c r="AE114" s="412"/>
      <c r="AF114" s="412"/>
      <c r="AG114" s="412"/>
      <c r="AH114" s="412"/>
      <c r="AI114" s="412"/>
      <c r="AJ114" s="412"/>
      <c r="AK114" s="412"/>
      <c r="AL114" s="412"/>
      <c r="AM114" s="412"/>
      <c r="AN114" s="412"/>
      <c r="AO114" s="413"/>
      <c r="AP114" s="20"/>
      <c r="AQ114" s="24"/>
    </row>
    <row r="115" spans="1:133" s="7" customFormat="1" ht="12.75" customHeight="1">
      <c r="A115" s="6"/>
      <c r="B115" s="121" t="s">
        <v>15</v>
      </c>
      <c r="C115" s="122" t="s">
        <v>75</v>
      </c>
      <c r="D115" s="123"/>
      <c r="E115" s="123"/>
      <c r="F115" s="123"/>
      <c r="G115" s="123"/>
      <c r="H115" s="123"/>
      <c r="I115" s="122"/>
      <c r="J115" s="123"/>
      <c r="K115" s="123"/>
      <c r="L115" s="123"/>
      <c r="M115" s="123"/>
      <c r="N115" s="123"/>
      <c r="O115" s="123"/>
      <c r="P115" s="123"/>
      <c r="Q115" s="123"/>
      <c r="R115" s="123"/>
      <c r="S115" s="123"/>
      <c r="T115" s="123"/>
      <c r="U115" s="123"/>
      <c r="V115" s="123"/>
      <c r="W115" s="123"/>
      <c r="X115" s="123"/>
      <c r="Y115" s="123"/>
      <c r="Z115" s="49"/>
      <c r="AA115" s="23"/>
      <c r="AB115" s="411"/>
      <c r="AC115" s="412"/>
      <c r="AD115" s="412"/>
      <c r="AE115" s="412"/>
      <c r="AF115" s="412"/>
      <c r="AG115" s="412"/>
      <c r="AH115" s="412"/>
      <c r="AI115" s="412"/>
      <c r="AJ115" s="412"/>
      <c r="AK115" s="412"/>
      <c r="AL115" s="412"/>
      <c r="AM115" s="412"/>
      <c r="AN115" s="412"/>
      <c r="AO115" s="413"/>
      <c r="AP115" s="20"/>
      <c r="AQ115" s="131"/>
    </row>
    <row r="116" spans="1:133" s="7" customFormat="1" ht="12.75" customHeight="1">
      <c r="A116" s="6"/>
      <c r="B116" s="148"/>
      <c r="C116" s="127"/>
      <c r="D116" s="127"/>
      <c r="E116" s="127"/>
      <c r="F116" s="127"/>
      <c r="G116" s="127"/>
      <c r="H116" s="127"/>
      <c r="I116" s="127"/>
      <c r="J116" s="127"/>
      <c r="K116" s="127"/>
      <c r="L116" s="127"/>
      <c r="M116" s="127"/>
      <c r="N116" s="127"/>
      <c r="O116" s="127"/>
      <c r="P116" s="127"/>
      <c r="Q116" s="127"/>
      <c r="R116" s="127"/>
      <c r="S116" s="127"/>
      <c r="T116" s="127"/>
      <c r="U116" s="127"/>
      <c r="V116" s="127"/>
      <c r="W116" s="127"/>
      <c r="X116" s="127"/>
      <c r="Y116" s="127"/>
      <c r="Z116" s="52"/>
      <c r="AA116" s="23"/>
      <c r="AB116" s="39"/>
      <c r="AC116" s="39"/>
      <c r="AD116" s="39"/>
      <c r="AE116" s="39"/>
      <c r="AF116" s="39"/>
      <c r="AG116" s="39"/>
      <c r="AH116" s="39"/>
      <c r="AI116" s="39"/>
      <c r="AJ116" s="39"/>
      <c r="AK116" s="39"/>
      <c r="AL116" s="39"/>
      <c r="AM116" s="39"/>
      <c r="AN116" s="39"/>
      <c r="AO116" s="39"/>
      <c r="AP116" s="20"/>
      <c r="AQ116" s="131"/>
    </row>
    <row r="117" spans="1:133" s="7" customFormat="1" ht="12.75" customHeight="1">
      <c r="A117" s="6"/>
      <c r="B117" s="128"/>
      <c r="C117" s="20"/>
      <c r="D117" s="20"/>
      <c r="E117" s="20"/>
      <c r="F117" s="20"/>
      <c r="G117" s="20"/>
      <c r="H117" s="20"/>
      <c r="I117" s="20"/>
      <c r="J117" s="20"/>
      <c r="K117" s="20"/>
      <c r="L117" s="20"/>
      <c r="M117" s="20"/>
      <c r="N117" s="20"/>
      <c r="O117" s="20"/>
      <c r="P117" s="20"/>
      <c r="Q117" s="20"/>
      <c r="R117" s="20"/>
      <c r="S117" s="20"/>
      <c r="T117" s="20"/>
      <c r="U117" s="20"/>
      <c r="V117" s="20"/>
      <c r="W117" s="20"/>
      <c r="X117" s="20"/>
      <c r="Y117" s="21"/>
      <c r="Z117" s="52"/>
      <c r="AA117" s="23"/>
      <c r="AB117" s="39"/>
      <c r="AC117" s="39"/>
      <c r="AD117" s="39"/>
      <c r="AE117" s="39"/>
      <c r="AF117" s="39"/>
      <c r="AG117" s="39"/>
      <c r="AH117" s="39"/>
      <c r="AI117" s="39"/>
      <c r="AJ117" s="39"/>
      <c r="AK117" s="39"/>
      <c r="AL117" s="39"/>
      <c r="AM117" s="39"/>
      <c r="AN117" s="39"/>
      <c r="AO117" s="39"/>
      <c r="AP117" s="20"/>
      <c r="AQ117" s="131"/>
    </row>
    <row r="118" spans="1:133" s="7" customFormat="1" ht="41.25" customHeight="1">
      <c r="A118" s="6"/>
      <c r="B118" s="537"/>
      <c r="C118" s="538"/>
      <c r="D118" s="538"/>
      <c r="E118" s="426" t="s">
        <v>131</v>
      </c>
      <c r="F118" s="427"/>
      <c r="G118" s="427"/>
      <c r="H118" s="427"/>
      <c r="I118" s="427"/>
      <c r="J118" s="427"/>
      <c r="K118" s="427"/>
      <c r="L118" s="427"/>
      <c r="M118" s="428"/>
      <c r="N118" s="534" t="s">
        <v>132</v>
      </c>
      <c r="O118" s="534"/>
      <c r="P118" s="534"/>
      <c r="Q118" s="534"/>
      <c r="R118" s="534"/>
      <c r="S118" s="534"/>
      <c r="T118" s="534"/>
      <c r="U118" s="534"/>
      <c r="V118" s="429" t="s">
        <v>120</v>
      </c>
      <c r="W118" s="430"/>
      <c r="X118" s="429" t="s">
        <v>121</v>
      </c>
      <c r="Y118" s="449"/>
      <c r="Z118" s="52"/>
      <c r="AA118" s="23"/>
      <c r="AB118" s="365" t="s">
        <v>136</v>
      </c>
      <c r="AC118" s="366"/>
      <c r="AD118" s="366"/>
      <c r="AE118" s="366"/>
      <c r="AF118" s="366"/>
      <c r="AG118" s="366"/>
      <c r="AH118" s="367"/>
      <c r="AI118" s="368" t="s">
        <v>380</v>
      </c>
      <c r="AJ118" s="369"/>
      <c r="AK118" s="369"/>
      <c r="AL118" s="369"/>
      <c r="AM118" s="369"/>
      <c r="AN118" s="369"/>
      <c r="AO118" s="370"/>
      <c r="AP118" s="149"/>
      <c r="AQ118" s="131"/>
    </row>
    <row r="119" spans="1:133" s="7" customFormat="1" ht="26.25" customHeight="1">
      <c r="A119" s="6"/>
      <c r="B119" s="607" t="s">
        <v>104</v>
      </c>
      <c r="C119" s="608"/>
      <c r="D119" s="609"/>
      <c r="E119" s="437" t="s">
        <v>409</v>
      </c>
      <c r="F119" s="438"/>
      <c r="G119" s="438"/>
      <c r="H119" s="438"/>
      <c r="I119" s="438"/>
      <c r="J119" s="438"/>
      <c r="K119" s="438"/>
      <c r="L119" s="438"/>
      <c r="M119" s="439"/>
      <c r="N119" s="418" t="s">
        <v>413</v>
      </c>
      <c r="O119" s="419"/>
      <c r="P119" s="419"/>
      <c r="Q119" s="419"/>
      <c r="R119" s="419"/>
      <c r="S119" s="419"/>
      <c r="T119" s="419"/>
      <c r="U119" s="420"/>
      <c r="V119" s="681">
        <v>1</v>
      </c>
      <c r="W119" s="682"/>
      <c r="X119" s="683" t="s">
        <v>396</v>
      </c>
      <c r="Y119" s="684"/>
      <c r="Z119" s="52"/>
      <c r="AA119" s="23"/>
      <c r="AB119" s="150" t="s">
        <v>1</v>
      </c>
      <c r="AC119" s="386" t="s">
        <v>382</v>
      </c>
      <c r="AD119" s="387"/>
      <c r="AE119" s="387"/>
      <c r="AF119" s="387"/>
      <c r="AG119" s="387"/>
      <c r="AH119" s="388"/>
      <c r="AI119" s="150" t="s">
        <v>1</v>
      </c>
      <c r="AJ119" s="386" t="s">
        <v>386</v>
      </c>
      <c r="AK119" s="387"/>
      <c r="AL119" s="387"/>
      <c r="AM119" s="387"/>
      <c r="AN119" s="387"/>
      <c r="AO119" s="388"/>
      <c r="AP119" s="20"/>
      <c r="AQ119" s="131"/>
    </row>
    <row r="120" spans="1:133" s="7" customFormat="1" ht="26.25" customHeight="1">
      <c r="A120" s="6"/>
      <c r="B120" s="610"/>
      <c r="C120" s="611"/>
      <c r="D120" s="612"/>
      <c r="E120" s="440"/>
      <c r="F120" s="441"/>
      <c r="G120" s="441"/>
      <c r="H120" s="441"/>
      <c r="I120" s="441"/>
      <c r="J120" s="441"/>
      <c r="K120" s="441"/>
      <c r="L120" s="441"/>
      <c r="M120" s="442"/>
      <c r="N120" s="421"/>
      <c r="O120" s="422"/>
      <c r="P120" s="422"/>
      <c r="Q120" s="422"/>
      <c r="R120" s="422"/>
      <c r="S120" s="422"/>
      <c r="T120" s="422"/>
      <c r="U120" s="423"/>
      <c r="V120" s="350"/>
      <c r="W120" s="351"/>
      <c r="X120" s="348"/>
      <c r="Y120" s="349"/>
      <c r="Z120" s="52"/>
      <c r="AA120" s="23"/>
      <c r="AB120" s="151"/>
      <c r="AC120" s="371" t="s">
        <v>383</v>
      </c>
      <c r="AD120" s="372"/>
      <c r="AE120" s="372"/>
      <c r="AF120" s="372"/>
      <c r="AG120" s="372"/>
      <c r="AH120" s="373"/>
      <c r="AI120" s="151"/>
      <c r="AJ120" s="371" t="s">
        <v>387</v>
      </c>
      <c r="AK120" s="372"/>
      <c r="AL120" s="372"/>
      <c r="AM120" s="372"/>
      <c r="AN120" s="372"/>
      <c r="AO120" s="373"/>
      <c r="AP120" s="20"/>
      <c r="AQ120" s="131"/>
    </row>
    <row r="121" spans="1:133" s="7" customFormat="1" ht="26.25" customHeight="1">
      <c r="A121" s="6"/>
      <c r="B121" s="610"/>
      <c r="C121" s="611"/>
      <c r="D121" s="612"/>
      <c r="E121" s="443"/>
      <c r="F121" s="444"/>
      <c r="G121" s="444"/>
      <c r="H121" s="444"/>
      <c r="I121" s="444"/>
      <c r="J121" s="444"/>
      <c r="K121" s="444"/>
      <c r="L121" s="444"/>
      <c r="M121" s="445"/>
      <c r="N121" s="424"/>
      <c r="O121" s="375"/>
      <c r="P121" s="375"/>
      <c r="Q121" s="375"/>
      <c r="R121" s="375"/>
      <c r="S121" s="375"/>
      <c r="T121" s="375"/>
      <c r="U121" s="425"/>
      <c r="V121" s="350"/>
      <c r="W121" s="351"/>
      <c r="X121" s="348"/>
      <c r="Y121" s="349"/>
      <c r="Z121" s="52"/>
      <c r="AA121" s="23"/>
      <c r="AB121" s="150" t="s">
        <v>2</v>
      </c>
      <c r="AC121" s="386" t="s">
        <v>374</v>
      </c>
      <c r="AD121" s="387"/>
      <c r="AE121" s="387"/>
      <c r="AF121" s="387"/>
      <c r="AG121" s="387"/>
      <c r="AH121" s="388"/>
      <c r="AI121" s="150" t="s">
        <v>2</v>
      </c>
      <c r="AJ121" s="386" t="s">
        <v>388</v>
      </c>
      <c r="AK121" s="387"/>
      <c r="AL121" s="387"/>
      <c r="AM121" s="387"/>
      <c r="AN121" s="387"/>
      <c r="AO121" s="388"/>
      <c r="AP121" s="20"/>
      <c r="AQ121" s="131"/>
    </row>
    <row r="122" spans="1:133" s="7" customFormat="1" ht="26.25" customHeight="1">
      <c r="A122" s="6"/>
      <c r="B122" s="610"/>
      <c r="C122" s="611"/>
      <c r="D122" s="612"/>
      <c r="E122" s="396"/>
      <c r="F122" s="431"/>
      <c r="G122" s="431"/>
      <c r="H122" s="431"/>
      <c r="I122" s="431"/>
      <c r="J122" s="431"/>
      <c r="K122" s="431"/>
      <c r="L122" s="431"/>
      <c r="M122" s="431"/>
      <c r="N122" s="432"/>
      <c r="O122" s="433"/>
      <c r="P122" s="433"/>
      <c r="Q122" s="433"/>
      <c r="R122" s="433"/>
      <c r="S122" s="433"/>
      <c r="T122" s="433"/>
      <c r="U122" s="434"/>
      <c r="V122" s="350"/>
      <c r="W122" s="351"/>
      <c r="X122" s="348"/>
      <c r="Y122" s="349"/>
      <c r="Z122" s="52"/>
      <c r="AA122" s="23"/>
      <c r="AB122" s="151"/>
      <c r="AC122" s="371" t="s">
        <v>384</v>
      </c>
      <c r="AD122" s="372"/>
      <c r="AE122" s="372"/>
      <c r="AF122" s="372"/>
      <c r="AG122" s="372"/>
      <c r="AH122" s="373"/>
      <c r="AI122" s="151"/>
      <c r="AJ122" s="371" t="s">
        <v>391</v>
      </c>
      <c r="AK122" s="372"/>
      <c r="AL122" s="372"/>
      <c r="AM122" s="372"/>
      <c r="AN122" s="372"/>
      <c r="AO122" s="373"/>
      <c r="AP122" s="20"/>
      <c r="AQ122" s="131"/>
    </row>
    <row r="123" spans="1:133" s="10" customFormat="1" ht="26.25" customHeight="1">
      <c r="A123" s="4"/>
      <c r="B123" s="613"/>
      <c r="C123" s="614"/>
      <c r="D123" s="615"/>
      <c r="E123" s="393"/>
      <c r="F123" s="394"/>
      <c r="G123" s="394"/>
      <c r="H123" s="394"/>
      <c r="I123" s="394"/>
      <c r="J123" s="394"/>
      <c r="K123" s="394"/>
      <c r="L123" s="394"/>
      <c r="M123" s="394"/>
      <c r="N123" s="455"/>
      <c r="O123" s="456"/>
      <c r="P123" s="456"/>
      <c r="Q123" s="456"/>
      <c r="R123" s="456"/>
      <c r="S123" s="456"/>
      <c r="T123" s="456"/>
      <c r="U123" s="457"/>
      <c r="V123" s="352"/>
      <c r="W123" s="353"/>
      <c r="X123" s="354"/>
      <c r="Y123" s="355"/>
      <c r="Z123" s="152"/>
      <c r="AA123" s="23"/>
      <c r="AB123" s="150" t="s">
        <v>3</v>
      </c>
      <c r="AC123" s="386" t="s">
        <v>375</v>
      </c>
      <c r="AD123" s="387"/>
      <c r="AE123" s="387"/>
      <c r="AF123" s="387"/>
      <c r="AG123" s="387"/>
      <c r="AH123" s="388"/>
      <c r="AI123" s="150" t="s">
        <v>3</v>
      </c>
      <c r="AJ123" s="386" t="s">
        <v>389</v>
      </c>
      <c r="AK123" s="387"/>
      <c r="AL123" s="387"/>
      <c r="AM123" s="387"/>
      <c r="AN123" s="387"/>
      <c r="AO123" s="388"/>
      <c r="AP123" s="20"/>
      <c r="AQ123" s="24"/>
      <c r="AR123" s="4"/>
      <c r="AS123" s="4"/>
      <c r="AT123" s="4"/>
      <c r="AU123" s="4"/>
      <c r="AV123" s="4"/>
      <c r="AW123" s="4"/>
      <c r="AX123" s="4"/>
      <c r="AY123" s="4"/>
      <c r="AZ123" s="4"/>
      <c r="BA123" s="4"/>
      <c r="BB123" s="4"/>
      <c r="BC123" s="4"/>
      <c r="BD123" s="4"/>
      <c r="BE123" s="4"/>
      <c r="BF123" s="4"/>
      <c r="BG123" s="4"/>
      <c r="BH123" s="4"/>
      <c r="BI123" s="4"/>
      <c r="BJ123" s="4"/>
      <c r="BK123" s="4"/>
      <c r="BL123" s="4"/>
      <c r="BM123" s="4"/>
      <c r="BN123" s="4"/>
      <c r="BO123" s="4"/>
      <c r="BP123" s="4"/>
      <c r="BQ123" s="4"/>
      <c r="BR123" s="4"/>
      <c r="BS123" s="4"/>
      <c r="BT123" s="4"/>
      <c r="BU123" s="4"/>
      <c r="BV123" s="4"/>
      <c r="BW123" s="4"/>
      <c r="BX123" s="4"/>
      <c r="BY123" s="4"/>
      <c r="BZ123" s="4"/>
      <c r="CA123" s="4"/>
      <c r="CB123" s="4"/>
      <c r="CC123" s="4"/>
      <c r="CD123" s="4"/>
      <c r="CE123" s="4"/>
      <c r="CF123" s="4"/>
      <c r="CG123" s="4"/>
      <c r="CH123" s="4"/>
      <c r="CI123" s="4"/>
      <c r="CJ123" s="4"/>
      <c r="CK123" s="4"/>
      <c r="CL123" s="4"/>
      <c r="CM123" s="4"/>
      <c r="CN123" s="4"/>
      <c r="CO123" s="4"/>
      <c r="CP123" s="4"/>
      <c r="CQ123" s="4"/>
      <c r="CR123" s="4"/>
      <c r="CS123" s="4"/>
      <c r="CT123" s="4"/>
      <c r="CU123" s="4"/>
      <c r="CV123" s="4"/>
      <c r="CW123" s="4"/>
      <c r="CX123" s="4"/>
      <c r="CY123" s="4"/>
      <c r="CZ123" s="4"/>
      <c r="DA123" s="4"/>
      <c r="DB123" s="4"/>
      <c r="DC123" s="4"/>
      <c r="DD123" s="4"/>
      <c r="DE123" s="4"/>
      <c r="DF123" s="4"/>
      <c r="DG123" s="4"/>
      <c r="DH123" s="4"/>
      <c r="DI123" s="4"/>
      <c r="DJ123" s="4"/>
      <c r="DK123" s="4"/>
      <c r="DL123" s="4"/>
      <c r="DM123" s="4"/>
      <c r="DN123" s="4"/>
      <c r="DO123" s="4"/>
      <c r="DP123" s="4"/>
      <c r="DQ123" s="4"/>
      <c r="DR123" s="4"/>
      <c r="DS123" s="4"/>
      <c r="DT123" s="4"/>
      <c r="DU123" s="4"/>
      <c r="DV123" s="4"/>
      <c r="DW123" s="4"/>
      <c r="DX123" s="4"/>
      <c r="DY123" s="4"/>
      <c r="DZ123" s="4"/>
      <c r="EA123" s="4"/>
      <c r="EB123" s="4"/>
      <c r="EC123" s="4"/>
    </row>
    <row r="124" spans="1:133" ht="26.25" customHeight="1">
      <c r="A124" s="361" t="s">
        <v>347</v>
      </c>
      <c r="B124" s="610" t="s">
        <v>209</v>
      </c>
      <c r="C124" s="611"/>
      <c r="D124" s="612"/>
      <c r="E124" s="418" t="s">
        <v>408</v>
      </c>
      <c r="F124" s="419"/>
      <c r="G124" s="419"/>
      <c r="H124" s="419"/>
      <c r="I124" s="419"/>
      <c r="J124" s="419"/>
      <c r="K124" s="419"/>
      <c r="L124" s="419"/>
      <c r="M124" s="420"/>
      <c r="N124" s="418" t="s">
        <v>393</v>
      </c>
      <c r="O124" s="419"/>
      <c r="P124" s="419"/>
      <c r="Q124" s="419"/>
      <c r="R124" s="419"/>
      <c r="S124" s="419"/>
      <c r="T124" s="419"/>
      <c r="U124" s="420"/>
      <c r="V124" s="681">
        <v>1</v>
      </c>
      <c r="W124" s="682"/>
      <c r="X124" s="683" t="s">
        <v>396</v>
      </c>
      <c r="Y124" s="684"/>
      <c r="Z124" s="153"/>
      <c r="AA124" s="23"/>
      <c r="AB124" s="151"/>
      <c r="AC124" s="371" t="s">
        <v>385</v>
      </c>
      <c r="AD124" s="372"/>
      <c r="AE124" s="372"/>
      <c r="AF124" s="372"/>
      <c r="AG124" s="372"/>
      <c r="AH124" s="373"/>
      <c r="AI124" s="151"/>
      <c r="AJ124" s="371" t="s">
        <v>392</v>
      </c>
      <c r="AK124" s="372"/>
      <c r="AL124" s="372"/>
      <c r="AM124" s="372"/>
      <c r="AN124" s="372"/>
      <c r="AO124" s="373"/>
      <c r="AP124" s="20"/>
      <c r="AQ124" s="131"/>
    </row>
    <row r="125" spans="1:133" s="11" customFormat="1" ht="26.25" customHeight="1">
      <c r="A125" s="4"/>
      <c r="B125" s="610"/>
      <c r="C125" s="611"/>
      <c r="D125" s="612"/>
      <c r="E125" s="421"/>
      <c r="F125" s="422"/>
      <c r="G125" s="422"/>
      <c r="H125" s="422"/>
      <c r="I125" s="422"/>
      <c r="J125" s="422"/>
      <c r="K125" s="422"/>
      <c r="L125" s="422"/>
      <c r="M125" s="423"/>
      <c r="N125" s="421"/>
      <c r="O125" s="422"/>
      <c r="P125" s="422"/>
      <c r="Q125" s="422"/>
      <c r="R125" s="422"/>
      <c r="S125" s="422"/>
      <c r="T125" s="422"/>
      <c r="U125" s="423"/>
      <c r="V125" s="356"/>
      <c r="W125" s="357"/>
      <c r="X125" s="358"/>
      <c r="Y125" s="359"/>
      <c r="Z125" s="153"/>
      <c r="AA125" s="23"/>
      <c r="AB125" s="150" t="s">
        <v>4</v>
      </c>
      <c r="AC125" s="386" t="s">
        <v>376</v>
      </c>
      <c r="AD125" s="387"/>
      <c r="AE125" s="387"/>
      <c r="AF125" s="387"/>
      <c r="AG125" s="387"/>
      <c r="AH125" s="388"/>
      <c r="AI125" s="150" t="s">
        <v>4</v>
      </c>
      <c r="AJ125" s="386" t="s">
        <v>331</v>
      </c>
      <c r="AK125" s="387"/>
      <c r="AL125" s="387"/>
      <c r="AM125" s="387"/>
      <c r="AN125" s="387"/>
      <c r="AO125" s="388"/>
      <c r="AP125" s="20"/>
      <c r="AQ125" s="24"/>
      <c r="AR125" s="4"/>
      <c r="AS125" s="4"/>
      <c r="AT125" s="4"/>
      <c r="AU125" s="4"/>
      <c r="AV125" s="4"/>
      <c r="AW125" s="4"/>
      <c r="AX125" s="4"/>
      <c r="AY125" s="4"/>
      <c r="AZ125" s="4"/>
      <c r="BA125" s="4"/>
      <c r="BB125" s="4"/>
      <c r="BC125" s="4"/>
      <c r="BD125" s="4"/>
      <c r="BE125" s="4"/>
      <c r="BF125" s="4"/>
      <c r="BG125" s="4"/>
      <c r="BH125" s="4"/>
      <c r="BI125" s="4"/>
      <c r="BJ125" s="4"/>
      <c r="BK125" s="4"/>
      <c r="BL125" s="4"/>
      <c r="BM125" s="4"/>
      <c r="BN125" s="4"/>
      <c r="BO125" s="4"/>
      <c r="BP125" s="4"/>
      <c r="BQ125" s="4"/>
      <c r="BR125" s="4"/>
      <c r="BS125" s="4"/>
      <c r="BT125" s="4"/>
      <c r="BU125" s="4"/>
      <c r="BV125" s="4"/>
      <c r="BW125" s="4"/>
      <c r="BX125" s="4"/>
      <c r="BY125" s="4"/>
      <c r="BZ125" s="4"/>
      <c r="CA125" s="4"/>
      <c r="CB125" s="4"/>
      <c r="CC125" s="4"/>
      <c r="CD125" s="4"/>
      <c r="CE125" s="4"/>
      <c r="CF125" s="4"/>
      <c r="CG125" s="4"/>
      <c r="CH125" s="4"/>
      <c r="CI125" s="4"/>
      <c r="CJ125" s="4"/>
      <c r="CK125" s="4"/>
      <c r="CL125" s="4"/>
      <c r="CM125" s="4"/>
      <c r="CN125" s="4"/>
      <c r="CO125" s="4"/>
      <c r="CP125" s="4"/>
      <c r="CQ125" s="4"/>
      <c r="CR125" s="4"/>
      <c r="CS125" s="4"/>
      <c r="CT125" s="4"/>
      <c r="CU125" s="4"/>
      <c r="CV125" s="4"/>
      <c r="CW125" s="4"/>
      <c r="CX125" s="4"/>
      <c r="CY125" s="4"/>
      <c r="CZ125" s="4"/>
      <c r="DA125" s="4"/>
      <c r="DB125" s="4"/>
      <c r="DC125" s="4"/>
      <c r="DD125" s="4"/>
      <c r="DE125" s="4"/>
      <c r="DF125" s="4"/>
      <c r="DG125" s="4"/>
      <c r="DH125" s="4"/>
      <c r="DI125" s="4"/>
      <c r="DJ125" s="4"/>
      <c r="DK125" s="4"/>
      <c r="DL125" s="4"/>
      <c r="DM125" s="4"/>
      <c r="DN125" s="4"/>
      <c r="DO125" s="4"/>
      <c r="DP125" s="4"/>
      <c r="DQ125" s="4"/>
      <c r="DR125" s="4"/>
      <c r="DS125" s="4"/>
      <c r="DT125" s="4"/>
      <c r="DU125" s="4"/>
      <c r="DV125" s="4"/>
      <c r="DW125" s="4"/>
      <c r="DX125" s="4"/>
      <c r="DY125" s="4"/>
      <c r="DZ125" s="4"/>
      <c r="EA125" s="4"/>
      <c r="EB125" s="4"/>
      <c r="EC125" s="4"/>
    </row>
    <row r="126" spans="1:133" s="11" customFormat="1" ht="26.25" customHeight="1">
      <c r="A126" s="4"/>
      <c r="B126" s="610"/>
      <c r="C126" s="611"/>
      <c r="D126" s="612"/>
      <c r="E126" s="424"/>
      <c r="F126" s="375"/>
      <c r="G126" s="375"/>
      <c r="H126" s="375"/>
      <c r="I126" s="375"/>
      <c r="J126" s="375"/>
      <c r="K126" s="375"/>
      <c r="L126" s="375"/>
      <c r="M126" s="425"/>
      <c r="N126" s="424"/>
      <c r="O126" s="375"/>
      <c r="P126" s="375"/>
      <c r="Q126" s="375"/>
      <c r="R126" s="375"/>
      <c r="S126" s="375"/>
      <c r="T126" s="375"/>
      <c r="U126" s="425"/>
      <c r="V126" s="356"/>
      <c r="W126" s="357"/>
      <c r="X126" s="358"/>
      <c r="Y126" s="359"/>
      <c r="Z126" s="153"/>
      <c r="AA126" s="23"/>
      <c r="AB126" s="151"/>
      <c r="AC126" s="371" t="s">
        <v>377</v>
      </c>
      <c r="AD126" s="372"/>
      <c r="AE126" s="372"/>
      <c r="AF126" s="372"/>
      <c r="AG126" s="372"/>
      <c r="AH126" s="373"/>
      <c r="AI126" s="151"/>
      <c r="AJ126" s="371" t="s">
        <v>381</v>
      </c>
      <c r="AK126" s="372"/>
      <c r="AL126" s="372"/>
      <c r="AM126" s="372"/>
      <c r="AN126" s="372"/>
      <c r="AO126" s="373"/>
      <c r="AP126" s="20"/>
      <c r="AQ126" s="131"/>
      <c r="AR126" s="4"/>
      <c r="AS126" s="4"/>
      <c r="AT126" s="4"/>
      <c r="AU126" s="4"/>
      <c r="AV126" s="4"/>
      <c r="AW126" s="4"/>
      <c r="AX126" s="4"/>
      <c r="AY126" s="4"/>
      <c r="AZ126" s="4"/>
      <c r="BA126" s="4"/>
      <c r="BB126" s="4"/>
      <c r="BC126" s="4"/>
      <c r="BD126" s="4"/>
      <c r="BE126" s="4"/>
      <c r="BF126" s="4"/>
      <c r="BG126" s="4"/>
      <c r="BH126" s="4"/>
      <c r="BI126" s="4"/>
      <c r="BJ126" s="4"/>
      <c r="BK126" s="4"/>
      <c r="BL126" s="4"/>
      <c r="BM126" s="4"/>
      <c r="BN126" s="4"/>
      <c r="BO126" s="4"/>
      <c r="BP126" s="4"/>
      <c r="BQ126" s="4"/>
      <c r="BR126" s="4"/>
      <c r="BS126" s="4"/>
      <c r="BT126" s="4"/>
      <c r="BU126" s="4"/>
      <c r="BV126" s="4"/>
      <c r="BW126" s="4"/>
      <c r="BX126" s="4"/>
      <c r="BY126" s="4"/>
      <c r="BZ126" s="4"/>
      <c r="CA126" s="4"/>
      <c r="CB126" s="4"/>
      <c r="CC126" s="4"/>
      <c r="CD126" s="4"/>
      <c r="CE126" s="4"/>
      <c r="CF126" s="4"/>
      <c r="CG126" s="4"/>
      <c r="CH126" s="4"/>
      <c r="CI126" s="4"/>
      <c r="CJ126" s="4"/>
      <c r="CK126" s="4"/>
      <c r="CL126" s="4"/>
      <c r="CM126" s="4"/>
      <c r="CN126" s="4"/>
      <c r="CO126" s="4"/>
      <c r="CP126" s="4"/>
      <c r="CQ126" s="4"/>
      <c r="CR126" s="4"/>
      <c r="CS126" s="4"/>
      <c r="CT126" s="4"/>
      <c r="CU126" s="4"/>
      <c r="CV126" s="4"/>
      <c r="CW126" s="4"/>
      <c r="CX126" s="4"/>
      <c r="CY126" s="4"/>
      <c r="CZ126" s="4"/>
      <c r="DA126" s="4"/>
      <c r="DB126" s="4"/>
      <c r="DC126" s="4"/>
      <c r="DD126" s="4"/>
      <c r="DE126" s="4"/>
      <c r="DF126" s="4"/>
      <c r="DG126" s="4"/>
      <c r="DH126" s="4"/>
      <c r="DI126" s="4"/>
      <c r="DJ126" s="4"/>
      <c r="DK126" s="4"/>
      <c r="DL126" s="4"/>
      <c r="DM126" s="4"/>
      <c r="DN126" s="4"/>
      <c r="DO126" s="4"/>
      <c r="DP126" s="4"/>
      <c r="DQ126" s="4"/>
      <c r="DR126" s="4"/>
      <c r="DS126" s="4"/>
      <c r="DT126" s="4"/>
      <c r="DU126" s="4"/>
      <c r="DV126" s="4"/>
      <c r="DW126" s="4"/>
      <c r="DX126" s="4"/>
      <c r="DY126" s="4"/>
      <c r="DZ126" s="4"/>
      <c r="EA126" s="4"/>
      <c r="EB126" s="4"/>
      <c r="EC126" s="4"/>
    </row>
    <row r="127" spans="1:133" s="11" customFormat="1" ht="26.25" customHeight="1">
      <c r="A127" s="4"/>
      <c r="B127" s="610"/>
      <c r="C127" s="611"/>
      <c r="D127" s="612"/>
      <c r="E127" s="398"/>
      <c r="F127" s="532"/>
      <c r="G127" s="532"/>
      <c r="H127" s="532"/>
      <c r="I127" s="532"/>
      <c r="J127" s="532"/>
      <c r="K127" s="532"/>
      <c r="L127" s="532"/>
      <c r="M127" s="532"/>
      <c r="N127" s="432"/>
      <c r="O127" s="433"/>
      <c r="P127" s="433"/>
      <c r="Q127" s="433"/>
      <c r="R127" s="433"/>
      <c r="S127" s="433"/>
      <c r="T127" s="433"/>
      <c r="U127" s="434"/>
      <c r="V127" s="356"/>
      <c r="W127" s="357"/>
      <c r="X127" s="358"/>
      <c r="Y127" s="359"/>
      <c r="Z127" s="153"/>
      <c r="AA127" s="23"/>
      <c r="AB127" s="154" t="s">
        <v>5</v>
      </c>
      <c r="AC127" s="386" t="s">
        <v>378</v>
      </c>
      <c r="AD127" s="387"/>
      <c r="AE127" s="387"/>
      <c r="AF127" s="387"/>
      <c r="AG127" s="387"/>
      <c r="AH127" s="388"/>
      <c r="AI127" s="154" t="s">
        <v>5</v>
      </c>
      <c r="AJ127" s="374" t="s">
        <v>331</v>
      </c>
      <c r="AK127" s="375"/>
      <c r="AL127" s="375"/>
      <c r="AM127" s="375"/>
      <c r="AN127" s="375"/>
      <c r="AO127" s="376"/>
      <c r="AP127" s="20"/>
      <c r="AQ127" s="24"/>
      <c r="AR127" s="4"/>
      <c r="AS127" s="4"/>
      <c r="AT127" s="4"/>
      <c r="AU127" s="4"/>
      <c r="AV127" s="4"/>
      <c r="AW127" s="4"/>
      <c r="AX127" s="4"/>
      <c r="AY127" s="4"/>
      <c r="AZ127" s="4"/>
      <c r="BA127" s="4"/>
      <c r="BB127" s="4"/>
      <c r="BC127" s="4"/>
      <c r="BD127" s="4"/>
      <c r="BE127" s="4"/>
      <c r="BF127" s="4"/>
      <c r="BG127" s="4"/>
      <c r="BH127" s="4"/>
      <c r="BI127" s="4"/>
      <c r="BJ127" s="4"/>
      <c r="BK127" s="4"/>
      <c r="BL127" s="4"/>
      <c r="BM127" s="4"/>
      <c r="BN127" s="4"/>
      <c r="BO127" s="4"/>
      <c r="BP127" s="4"/>
      <c r="BQ127" s="4"/>
      <c r="BR127" s="4"/>
      <c r="BS127" s="4"/>
      <c r="BT127" s="4"/>
      <c r="BU127" s="4"/>
      <c r="BV127" s="4"/>
      <c r="BW127" s="4"/>
      <c r="BX127" s="4"/>
      <c r="BY127" s="4"/>
      <c r="BZ127" s="4"/>
      <c r="CA127" s="4"/>
      <c r="CB127" s="4"/>
      <c r="CC127" s="4"/>
      <c r="CD127" s="4"/>
      <c r="CE127" s="4"/>
      <c r="CF127" s="4"/>
      <c r="CG127" s="4"/>
      <c r="CH127" s="4"/>
      <c r="CI127" s="4"/>
      <c r="CJ127" s="4"/>
      <c r="CK127" s="4"/>
      <c r="CL127" s="4"/>
      <c r="CM127" s="4"/>
      <c r="CN127" s="4"/>
      <c r="CO127" s="4"/>
      <c r="CP127" s="4"/>
      <c r="CQ127" s="4"/>
      <c r="CR127" s="4"/>
      <c r="CS127" s="4"/>
      <c r="CT127" s="4"/>
      <c r="CU127" s="4"/>
      <c r="CV127" s="4"/>
      <c r="CW127" s="4"/>
      <c r="CX127" s="4"/>
      <c r="CY127" s="4"/>
      <c r="CZ127" s="4"/>
      <c r="DA127" s="4"/>
      <c r="DB127" s="4"/>
      <c r="DC127" s="4"/>
      <c r="DD127" s="4"/>
      <c r="DE127" s="4"/>
      <c r="DF127" s="4"/>
      <c r="DG127" s="4"/>
      <c r="DH127" s="4"/>
      <c r="DI127" s="4"/>
      <c r="DJ127" s="4"/>
      <c r="DK127" s="4"/>
      <c r="DL127" s="4"/>
      <c r="DM127" s="4"/>
      <c r="DN127" s="4"/>
      <c r="DO127" s="4"/>
      <c r="DP127" s="4"/>
      <c r="DQ127" s="4"/>
      <c r="DR127" s="4"/>
      <c r="DS127" s="4"/>
      <c r="DT127" s="4"/>
      <c r="DU127" s="4"/>
      <c r="DV127" s="4"/>
      <c r="DW127" s="4"/>
      <c r="DX127" s="4"/>
      <c r="DY127" s="4"/>
      <c r="DZ127" s="4"/>
      <c r="EA127" s="4"/>
      <c r="EB127" s="4"/>
      <c r="EC127" s="4"/>
    </row>
    <row r="128" spans="1:133" s="11" customFormat="1" ht="26.25" customHeight="1">
      <c r="A128" s="4"/>
      <c r="B128" s="613"/>
      <c r="C128" s="614"/>
      <c r="D128" s="615"/>
      <c r="E128" s="393"/>
      <c r="F128" s="394"/>
      <c r="G128" s="394"/>
      <c r="H128" s="394"/>
      <c r="I128" s="394"/>
      <c r="J128" s="394"/>
      <c r="K128" s="394"/>
      <c r="L128" s="394"/>
      <c r="M128" s="394"/>
      <c r="N128" s="455"/>
      <c r="O128" s="456"/>
      <c r="P128" s="456"/>
      <c r="Q128" s="456"/>
      <c r="R128" s="456"/>
      <c r="S128" s="456"/>
      <c r="T128" s="456"/>
      <c r="U128" s="457"/>
      <c r="V128" s="360"/>
      <c r="W128" s="353"/>
      <c r="X128" s="354"/>
      <c r="Y128" s="355"/>
      <c r="Z128" s="153"/>
      <c r="AA128" s="23"/>
      <c r="AB128" s="151"/>
      <c r="AC128" s="371" t="s">
        <v>379</v>
      </c>
      <c r="AD128" s="372"/>
      <c r="AE128" s="372"/>
      <c r="AF128" s="372"/>
      <c r="AG128" s="372"/>
      <c r="AH128" s="373"/>
      <c r="AI128" s="151"/>
      <c r="AJ128" s="371" t="s">
        <v>330</v>
      </c>
      <c r="AK128" s="372"/>
      <c r="AL128" s="372"/>
      <c r="AM128" s="372"/>
      <c r="AN128" s="372"/>
      <c r="AO128" s="373"/>
      <c r="AP128" s="20"/>
      <c r="AQ128" s="131"/>
      <c r="AR128" s="4"/>
      <c r="AS128" s="4"/>
      <c r="AT128" s="4"/>
      <c r="AU128" s="4"/>
      <c r="AV128" s="4"/>
      <c r="AW128" s="4"/>
      <c r="AX128" s="4"/>
      <c r="AY128" s="4"/>
      <c r="AZ128" s="4"/>
      <c r="BA128" s="4"/>
      <c r="BB128" s="4"/>
      <c r="BC128" s="4"/>
      <c r="BD128" s="4"/>
      <c r="BE128" s="4"/>
      <c r="BF128" s="4"/>
      <c r="BG128" s="4"/>
      <c r="BH128" s="4"/>
      <c r="BI128" s="4"/>
      <c r="BJ128" s="4"/>
      <c r="BK128" s="4"/>
      <c r="BL128" s="4"/>
      <c r="BM128" s="4"/>
      <c r="BN128" s="4"/>
      <c r="BO128" s="4"/>
      <c r="BP128" s="4"/>
      <c r="BQ128" s="4"/>
      <c r="BR128" s="4"/>
      <c r="BS128" s="4"/>
      <c r="BT128" s="4"/>
      <c r="BU128" s="4"/>
      <c r="BV128" s="4"/>
      <c r="BW128" s="4"/>
      <c r="BX128" s="4"/>
      <c r="BY128" s="4"/>
      <c r="BZ128" s="4"/>
      <c r="CA128" s="4"/>
      <c r="CB128" s="4"/>
      <c r="CC128" s="4"/>
      <c r="CD128" s="4"/>
      <c r="CE128" s="4"/>
      <c r="CF128" s="4"/>
      <c r="CG128" s="4"/>
      <c r="CH128" s="4"/>
      <c r="CI128" s="4"/>
      <c r="CJ128" s="4"/>
      <c r="CK128" s="4"/>
      <c r="CL128" s="4"/>
      <c r="CM128" s="4"/>
      <c r="CN128" s="4"/>
      <c r="CO128" s="4"/>
      <c r="CP128" s="4"/>
      <c r="CQ128" s="4"/>
      <c r="CR128" s="4"/>
      <c r="CS128" s="4"/>
      <c r="CT128" s="4"/>
      <c r="CU128" s="4"/>
      <c r="CV128" s="4"/>
      <c r="CW128" s="4"/>
      <c r="CX128" s="4"/>
      <c r="CY128" s="4"/>
      <c r="CZ128" s="4"/>
      <c r="DA128" s="4"/>
      <c r="DB128" s="4"/>
      <c r="DC128" s="4"/>
      <c r="DD128" s="4"/>
      <c r="DE128" s="4"/>
      <c r="DF128" s="4"/>
      <c r="DG128" s="4"/>
      <c r="DH128" s="4"/>
      <c r="DI128" s="4"/>
      <c r="DJ128" s="4"/>
      <c r="DK128" s="4"/>
      <c r="DL128" s="4"/>
      <c r="DM128" s="4"/>
      <c r="DN128" s="4"/>
      <c r="DO128" s="4"/>
      <c r="DP128" s="4"/>
      <c r="DQ128" s="4"/>
      <c r="DR128" s="4"/>
      <c r="DS128" s="4"/>
      <c r="DT128" s="4"/>
      <c r="DU128" s="4"/>
      <c r="DV128" s="4"/>
      <c r="DW128" s="4"/>
      <c r="DX128" s="4"/>
      <c r="DY128" s="4"/>
      <c r="DZ128" s="4"/>
      <c r="EA128" s="4"/>
      <c r="EB128" s="4"/>
      <c r="EC128" s="4"/>
    </row>
    <row r="129" spans="1:133" ht="16.5">
      <c r="B129" s="128"/>
      <c r="C129" s="20"/>
      <c r="D129" s="20"/>
      <c r="E129" s="20"/>
      <c r="F129" s="20"/>
      <c r="G129" s="20"/>
      <c r="H129" s="20"/>
      <c r="I129" s="20"/>
      <c r="J129" s="20"/>
      <c r="K129" s="20"/>
      <c r="L129" s="20"/>
      <c r="M129" s="20"/>
      <c r="N129" s="20"/>
      <c r="O129" s="20"/>
      <c r="P129" s="20"/>
      <c r="Q129" s="20"/>
      <c r="R129" s="20"/>
      <c r="S129" s="20"/>
      <c r="T129" s="20"/>
      <c r="U129" s="20"/>
      <c r="V129" s="20"/>
      <c r="W129" s="20"/>
      <c r="X129" s="20"/>
      <c r="Y129" s="21"/>
      <c r="Z129" s="153"/>
      <c r="AA129" s="23"/>
      <c r="AB129" s="20"/>
      <c r="AC129" s="20"/>
      <c r="AD129" s="20"/>
      <c r="AE129" s="20"/>
      <c r="AF129" s="20"/>
      <c r="AG129" s="20"/>
      <c r="AH129" s="20"/>
      <c r="AI129" s="20"/>
      <c r="AJ129" s="20"/>
      <c r="AK129" s="20"/>
      <c r="AL129" s="20"/>
      <c r="AM129" s="20"/>
      <c r="AN129" s="20"/>
      <c r="AO129" s="20"/>
      <c r="AP129" s="20"/>
      <c r="AQ129" s="24"/>
    </row>
    <row r="130" spans="1:133" ht="12.75" customHeight="1">
      <c r="B130" s="155"/>
      <c r="C130" s="79"/>
      <c r="D130" s="79"/>
      <c r="E130" s="79"/>
      <c r="F130" s="79"/>
      <c r="G130" s="156"/>
      <c r="H130" s="156"/>
      <c r="I130" s="156"/>
      <c r="J130" s="156"/>
      <c r="K130" s="156"/>
      <c r="L130" s="156"/>
      <c r="M130" s="157"/>
      <c r="N130" s="157"/>
      <c r="O130" s="158"/>
      <c r="P130" s="159"/>
      <c r="Q130" s="156"/>
      <c r="R130" s="156"/>
      <c r="S130" s="156"/>
      <c r="T130" s="156"/>
      <c r="U130" s="158"/>
      <c r="V130" s="160"/>
      <c r="W130" s="156"/>
      <c r="X130" s="156"/>
      <c r="Y130" s="156"/>
      <c r="Z130" s="161"/>
      <c r="AA130" s="23"/>
      <c r="AB130" s="20" t="s">
        <v>130</v>
      </c>
      <c r="AC130" s="20"/>
      <c r="AD130" s="20"/>
      <c r="AE130" s="20"/>
      <c r="AF130" s="20"/>
      <c r="AG130" s="20"/>
      <c r="AH130" s="20"/>
      <c r="AI130" s="20" t="s">
        <v>130</v>
      </c>
      <c r="AJ130" s="20"/>
      <c r="AK130" s="20"/>
      <c r="AL130" s="20"/>
      <c r="AM130" s="20"/>
      <c r="AN130" s="20"/>
      <c r="AO130" s="20"/>
      <c r="AP130" s="20"/>
      <c r="AQ130" s="131"/>
    </row>
    <row r="131" spans="1:133" s="7" customFormat="1" ht="12.75" customHeight="1">
      <c r="A131" s="6"/>
      <c r="B131" s="82" t="s">
        <v>16</v>
      </c>
      <c r="C131" s="63" t="s">
        <v>37</v>
      </c>
      <c r="D131" s="64"/>
      <c r="E131" s="64"/>
      <c r="F131" s="64"/>
      <c r="G131" s="64"/>
      <c r="H131" s="64"/>
      <c r="I131" s="64"/>
      <c r="J131" s="64"/>
      <c r="K131" s="64"/>
      <c r="L131" s="64"/>
      <c r="M131" s="64"/>
      <c r="N131" s="64"/>
      <c r="O131" s="66"/>
      <c r="P131" s="64"/>
      <c r="Q131" s="64"/>
      <c r="R131" s="64"/>
      <c r="S131" s="66"/>
      <c r="T131" s="64"/>
      <c r="U131" s="64"/>
      <c r="V131" s="64"/>
      <c r="W131" s="64"/>
      <c r="X131" s="64"/>
      <c r="Y131" s="83"/>
      <c r="Z131" s="49"/>
      <c r="AA131" s="23"/>
      <c r="AB131" s="411"/>
      <c r="AC131" s="412"/>
      <c r="AD131" s="412"/>
      <c r="AE131" s="412"/>
      <c r="AF131" s="412"/>
      <c r="AG131" s="412"/>
      <c r="AH131" s="412"/>
      <c r="AI131" s="412"/>
      <c r="AJ131" s="412"/>
      <c r="AK131" s="412"/>
      <c r="AL131" s="412"/>
      <c r="AM131" s="412"/>
      <c r="AN131" s="412"/>
      <c r="AO131" s="413"/>
      <c r="AP131" s="20"/>
      <c r="AQ131" s="24"/>
    </row>
    <row r="132" spans="1:133" s="7" customFormat="1" ht="12.75" customHeight="1">
      <c r="A132" s="6"/>
      <c r="B132" s="141"/>
      <c r="C132" s="67"/>
      <c r="D132" s="39"/>
      <c r="E132" s="39"/>
      <c r="F132" s="39"/>
      <c r="G132" s="39"/>
      <c r="H132" s="39"/>
      <c r="I132" s="39"/>
      <c r="J132" s="39"/>
      <c r="K132" s="39"/>
      <c r="L132" s="39"/>
      <c r="M132" s="39"/>
      <c r="N132" s="39"/>
      <c r="O132" s="36"/>
      <c r="P132" s="39"/>
      <c r="Q132" s="39"/>
      <c r="R132" s="39"/>
      <c r="S132" s="36"/>
      <c r="T132" s="39"/>
      <c r="U132" s="39"/>
      <c r="V132" s="39"/>
      <c r="W132" s="39"/>
      <c r="X132" s="39"/>
      <c r="Y132" s="39"/>
      <c r="Z132" s="52"/>
      <c r="AA132" s="23"/>
      <c r="AB132" s="411"/>
      <c r="AC132" s="412"/>
      <c r="AD132" s="412"/>
      <c r="AE132" s="412"/>
      <c r="AF132" s="412"/>
      <c r="AG132" s="412"/>
      <c r="AH132" s="412"/>
      <c r="AI132" s="412"/>
      <c r="AJ132" s="412"/>
      <c r="AK132" s="412"/>
      <c r="AL132" s="412"/>
      <c r="AM132" s="412"/>
      <c r="AN132" s="412"/>
      <c r="AO132" s="413"/>
      <c r="AP132" s="20"/>
      <c r="AQ132" s="24"/>
    </row>
    <row r="133" spans="1:133" s="7" customFormat="1" ht="12.75" customHeight="1">
      <c r="A133" s="6"/>
      <c r="B133" s="141"/>
      <c r="C133" s="67"/>
      <c r="D133" s="39"/>
      <c r="E133" s="39"/>
      <c r="F133" s="39"/>
      <c r="G133" s="39"/>
      <c r="H133" s="39"/>
      <c r="I133" s="39"/>
      <c r="J133" s="39"/>
      <c r="K133" s="39"/>
      <c r="L133" s="39"/>
      <c r="M133" s="39"/>
      <c r="N133" s="39"/>
      <c r="O133" s="36"/>
      <c r="P133" s="39"/>
      <c r="Q133" s="39"/>
      <c r="R133" s="39"/>
      <c r="S133" s="36"/>
      <c r="T133" s="39"/>
      <c r="U133" s="39"/>
      <c r="V133" s="39"/>
      <c r="W133" s="39"/>
      <c r="X133" s="39"/>
      <c r="Y133" s="39"/>
      <c r="Z133" s="52"/>
      <c r="AA133" s="23"/>
      <c r="AB133" s="39"/>
      <c r="AC133" s="39"/>
      <c r="AD133" s="39"/>
      <c r="AE133" s="39"/>
      <c r="AF133" s="39"/>
      <c r="AG133" s="39"/>
      <c r="AH133" s="39"/>
      <c r="AI133" s="39"/>
      <c r="AJ133" s="39"/>
      <c r="AK133" s="39"/>
      <c r="AL133" s="39"/>
      <c r="AM133" s="39"/>
      <c r="AN133" s="39"/>
      <c r="AO133" s="39"/>
      <c r="AP133" s="20"/>
      <c r="AQ133" s="24"/>
    </row>
    <row r="134" spans="1:133" ht="42" customHeight="1">
      <c r="B134" s="537"/>
      <c r="C134" s="538"/>
      <c r="D134" s="538"/>
      <c r="E134" s="426" t="s">
        <v>131</v>
      </c>
      <c r="F134" s="427"/>
      <c r="G134" s="427"/>
      <c r="H134" s="427"/>
      <c r="I134" s="427"/>
      <c r="J134" s="427"/>
      <c r="K134" s="427"/>
      <c r="L134" s="426" t="s">
        <v>132</v>
      </c>
      <c r="M134" s="427"/>
      <c r="N134" s="427"/>
      <c r="O134" s="427"/>
      <c r="P134" s="427"/>
      <c r="Q134" s="427"/>
      <c r="R134" s="427"/>
      <c r="S134" s="428"/>
      <c r="T134" s="429" t="s">
        <v>122</v>
      </c>
      <c r="U134" s="430"/>
      <c r="V134" s="429" t="s">
        <v>43</v>
      </c>
      <c r="W134" s="430"/>
      <c r="X134" s="429" t="s">
        <v>123</v>
      </c>
      <c r="Y134" s="449"/>
      <c r="Z134" s="52"/>
      <c r="AA134" s="23"/>
      <c r="AB134" s="365" t="s">
        <v>136</v>
      </c>
      <c r="AC134" s="366"/>
      <c r="AD134" s="366"/>
      <c r="AE134" s="366"/>
      <c r="AF134" s="366"/>
      <c r="AG134" s="366"/>
      <c r="AH134" s="367"/>
      <c r="AI134" s="368" t="s">
        <v>213</v>
      </c>
      <c r="AJ134" s="369"/>
      <c r="AK134" s="369"/>
      <c r="AL134" s="369"/>
      <c r="AM134" s="369"/>
      <c r="AN134" s="369"/>
      <c r="AO134" s="370"/>
      <c r="AP134" s="149"/>
      <c r="AQ134" s="131"/>
    </row>
    <row r="135" spans="1:133" ht="13.5" customHeight="1">
      <c r="B135" s="607" t="s">
        <v>104</v>
      </c>
      <c r="C135" s="608"/>
      <c r="D135" s="609"/>
      <c r="E135" s="437" t="s">
        <v>410</v>
      </c>
      <c r="F135" s="438"/>
      <c r="G135" s="438"/>
      <c r="H135" s="438"/>
      <c r="I135" s="438"/>
      <c r="J135" s="438"/>
      <c r="K135" s="439"/>
      <c r="L135" s="453" t="s">
        <v>346</v>
      </c>
      <c r="M135" s="454"/>
      <c r="N135" s="454"/>
      <c r="O135" s="454"/>
      <c r="P135" s="454"/>
      <c r="Q135" s="454"/>
      <c r="R135" s="454"/>
      <c r="S135" s="452"/>
      <c r="T135" s="451">
        <v>1</v>
      </c>
      <c r="U135" s="452"/>
      <c r="V135" s="453" t="s">
        <v>323</v>
      </c>
      <c r="W135" s="452"/>
      <c r="X135" s="435" t="s">
        <v>401</v>
      </c>
      <c r="Y135" s="436"/>
      <c r="Z135" s="52"/>
      <c r="AA135" s="23"/>
      <c r="AB135" s="150" t="s">
        <v>1</v>
      </c>
      <c r="AC135" s="363" t="s">
        <v>128</v>
      </c>
      <c r="AD135" s="363"/>
      <c r="AE135" s="363"/>
      <c r="AF135" s="363"/>
      <c r="AG135" s="363"/>
      <c r="AH135" s="363"/>
      <c r="AI135" s="150" t="s">
        <v>1</v>
      </c>
      <c r="AJ135" s="363" t="s">
        <v>128</v>
      </c>
      <c r="AK135" s="363"/>
      <c r="AL135" s="363"/>
      <c r="AM135" s="363"/>
      <c r="AN135" s="363"/>
      <c r="AO135" s="363"/>
      <c r="AP135" s="20"/>
      <c r="AQ135" s="131"/>
    </row>
    <row r="136" spans="1:133" ht="13.5" customHeight="1">
      <c r="B136" s="610"/>
      <c r="C136" s="611"/>
      <c r="D136" s="612"/>
      <c r="E136" s="440"/>
      <c r="F136" s="441"/>
      <c r="G136" s="441"/>
      <c r="H136" s="441"/>
      <c r="I136" s="441"/>
      <c r="J136" s="441"/>
      <c r="K136" s="442"/>
      <c r="L136" s="446" t="s">
        <v>390</v>
      </c>
      <c r="M136" s="447"/>
      <c r="N136" s="447"/>
      <c r="O136" s="447"/>
      <c r="P136" s="447"/>
      <c r="Q136" s="447"/>
      <c r="R136" s="447"/>
      <c r="S136" s="448"/>
      <c r="T136" s="396"/>
      <c r="U136" s="397"/>
      <c r="V136" s="396"/>
      <c r="W136" s="397"/>
      <c r="X136" s="398"/>
      <c r="Y136" s="399"/>
      <c r="Z136" s="52"/>
      <c r="AA136" s="23"/>
      <c r="AB136" s="151"/>
      <c r="AC136" s="364" t="s">
        <v>129</v>
      </c>
      <c r="AD136" s="364"/>
      <c r="AE136" s="364"/>
      <c r="AF136" s="364"/>
      <c r="AG136" s="364"/>
      <c r="AH136" s="364"/>
      <c r="AI136" s="151"/>
      <c r="AJ136" s="364" t="s">
        <v>129</v>
      </c>
      <c r="AK136" s="364"/>
      <c r="AL136" s="364"/>
      <c r="AM136" s="364"/>
      <c r="AN136" s="364"/>
      <c r="AO136" s="364"/>
      <c r="AP136" s="20"/>
      <c r="AQ136" s="131"/>
    </row>
    <row r="137" spans="1:133" ht="13.5" customHeight="1">
      <c r="B137" s="610"/>
      <c r="C137" s="611"/>
      <c r="D137" s="612"/>
      <c r="E137" s="440"/>
      <c r="F137" s="441"/>
      <c r="G137" s="441"/>
      <c r="H137" s="441"/>
      <c r="I137" s="441"/>
      <c r="J137" s="441"/>
      <c r="K137" s="442"/>
      <c r="L137" s="440"/>
      <c r="M137" s="441"/>
      <c r="N137" s="441"/>
      <c r="O137" s="441"/>
      <c r="P137" s="441"/>
      <c r="Q137" s="441"/>
      <c r="R137" s="441"/>
      <c r="S137" s="442"/>
      <c r="T137" s="396"/>
      <c r="U137" s="397"/>
      <c r="V137" s="396"/>
      <c r="W137" s="397"/>
      <c r="X137" s="398"/>
      <c r="Y137" s="399"/>
      <c r="Z137" s="52"/>
      <c r="AA137" s="23"/>
      <c r="AB137" s="150" t="s">
        <v>2</v>
      </c>
      <c r="AC137" s="363" t="s">
        <v>128</v>
      </c>
      <c r="AD137" s="363"/>
      <c r="AE137" s="363"/>
      <c r="AF137" s="363"/>
      <c r="AG137" s="363"/>
      <c r="AH137" s="363"/>
      <c r="AI137" s="150" t="s">
        <v>2</v>
      </c>
      <c r="AJ137" s="363" t="s">
        <v>128</v>
      </c>
      <c r="AK137" s="363"/>
      <c r="AL137" s="363"/>
      <c r="AM137" s="363"/>
      <c r="AN137" s="363"/>
      <c r="AO137" s="363"/>
      <c r="AP137" s="20"/>
      <c r="AQ137" s="131"/>
    </row>
    <row r="138" spans="1:133" ht="13.5" customHeight="1">
      <c r="B138" s="610"/>
      <c r="C138" s="611"/>
      <c r="D138" s="612"/>
      <c r="E138" s="443"/>
      <c r="F138" s="444"/>
      <c r="G138" s="444"/>
      <c r="H138" s="444"/>
      <c r="I138" s="444"/>
      <c r="J138" s="444"/>
      <c r="K138" s="445"/>
      <c r="L138" s="443"/>
      <c r="M138" s="444"/>
      <c r="N138" s="444"/>
      <c r="O138" s="444"/>
      <c r="P138" s="444"/>
      <c r="Q138" s="444"/>
      <c r="R138" s="444"/>
      <c r="S138" s="445"/>
      <c r="T138" s="396"/>
      <c r="U138" s="397"/>
      <c r="V138" s="396"/>
      <c r="W138" s="397"/>
      <c r="X138" s="398"/>
      <c r="Y138" s="399"/>
      <c r="Z138" s="52"/>
      <c r="AA138" s="23"/>
      <c r="AB138" s="151"/>
      <c r="AC138" s="364" t="s">
        <v>129</v>
      </c>
      <c r="AD138" s="364"/>
      <c r="AE138" s="364"/>
      <c r="AF138" s="364"/>
      <c r="AG138" s="364"/>
      <c r="AH138" s="364"/>
      <c r="AI138" s="151"/>
      <c r="AJ138" s="364" t="s">
        <v>129</v>
      </c>
      <c r="AK138" s="364"/>
      <c r="AL138" s="364"/>
      <c r="AM138" s="364"/>
      <c r="AN138" s="364"/>
      <c r="AO138" s="364"/>
      <c r="AP138" s="20"/>
      <c r="AQ138" s="131"/>
    </row>
    <row r="139" spans="1:133" ht="13.5" customHeight="1">
      <c r="B139" s="613"/>
      <c r="C139" s="614"/>
      <c r="D139" s="615"/>
      <c r="E139" s="406"/>
      <c r="F139" s="450"/>
      <c r="G139" s="450"/>
      <c r="H139" s="450"/>
      <c r="I139" s="450"/>
      <c r="J139" s="450"/>
      <c r="K139" s="407"/>
      <c r="L139" s="418"/>
      <c r="M139" s="419"/>
      <c r="N139" s="419"/>
      <c r="O139" s="419"/>
      <c r="P139" s="419"/>
      <c r="Q139" s="419"/>
      <c r="R139" s="419"/>
      <c r="S139" s="420"/>
      <c r="T139" s="406"/>
      <c r="U139" s="407"/>
      <c r="V139" s="406"/>
      <c r="W139" s="407"/>
      <c r="X139" s="393"/>
      <c r="Y139" s="408"/>
      <c r="Z139" s="52"/>
      <c r="AA139" s="23"/>
      <c r="AB139" s="150" t="s">
        <v>3</v>
      </c>
      <c r="AC139" s="363" t="s">
        <v>128</v>
      </c>
      <c r="AD139" s="363"/>
      <c r="AE139" s="363"/>
      <c r="AF139" s="363"/>
      <c r="AG139" s="363"/>
      <c r="AH139" s="363"/>
      <c r="AI139" s="150" t="s">
        <v>3</v>
      </c>
      <c r="AJ139" s="363" t="s">
        <v>128</v>
      </c>
      <c r="AK139" s="363"/>
      <c r="AL139" s="363"/>
      <c r="AM139" s="363"/>
      <c r="AN139" s="363"/>
      <c r="AO139" s="363"/>
      <c r="AP139" s="20"/>
      <c r="AQ139" s="131"/>
    </row>
    <row r="140" spans="1:133" ht="13.5" customHeight="1">
      <c r="B140" s="610" t="s">
        <v>209</v>
      </c>
      <c r="C140" s="611"/>
      <c r="D140" s="612"/>
      <c r="E140" s="418" t="s">
        <v>411</v>
      </c>
      <c r="F140" s="419"/>
      <c r="G140" s="419"/>
      <c r="H140" s="419"/>
      <c r="I140" s="419"/>
      <c r="J140" s="419"/>
      <c r="K140" s="420"/>
      <c r="L140" s="453" t="s">
        <v>346</v>
      </c>
      <c r="M140" s="454"/>
      <c r="N140" s="454"/>
      <c r="O140" s="454"/>
      <c r="P140" s="454"/>
      <c r="Q140" s="454"/>
      <c r="R140" s="454"/>
      <c r="S140" s="452"/>
      <c r="T140" s="451">
        <v>1</v>
      </c>
      <c r="U140" s="452"/>
      <c r="V140" s="453" t="s">
        <v>332</v>
      </c>
      <c r="W140" s="452"/>
      <c r="X140" s="435" t="s">
        <v>401</v>
      </c>
      <c r="Y140" s="436"/>
      <c r="Z140" s="52"/>
      <c r="AA140" s="23"/>
      <c r="AB140" s="151"/>
      <c r="AC140" s="364" t="s">
        <v>129</v>
      </c>
      <c r="AD140" s="364"/>
      <c r="AE140" s="364"/>
      <c r="AF140" s="364"/>
      <c r="AG140" s="364"/>
      <c r="AH140" s="364"/>
      <c r="AI140" s="151"/>
      <c r="AJ140" s="364" t="s">
        <v>129</v>
      </c>
      <c r="AK140" s="364"/>
      <c r="AL140" s="364"/>
      <c r="AM140" s="364"/>
      <c r="AN140" s="364"/>
      <c r="AO140" s="364"/>
      <c r="AP140" s="20"/>
      <c r="AQ140" s="131"/>
    </row>
    <row r="141" spans="1:133" s="11" customFormat="1" ht="12.75" customHeight="1">
      <c r="A141" s="4"/>
      <c r="B141" s="610"/>
      <c r="C141" s="611"/>
      <c r="D141" s="612"/>
      <c r="E141" s="421"/>
      <c r="F141" s="422"/>
      <c r="G141" s="422"/>
      <c r="H141" s="422"/>
      <c r="I141" s="422"/>
      <c r="J141" s="422"/>
      <c r="K141" s="423"/>
      <c r="L141" s="446" t="s">
        <v>412</v>
      </c>
      <c r="M141" s="447"/>
      <c r="N141" s="447"/>
      <c r="O141" s="447"/>
      <c r="P141" s="447"/>
      <c r="Q141" s="447"/>
      <c r="R141" s="447"/>
      <c r="S141" s="448"/>
      <c r="T141" s="396"/>
      <c r="U141" s="397"/>
      <c r="V141" s="396"/>
      <c r="W141" s="397"/>
      <c r="X141" s="398"/>
      <c r="Y141" s="399"/>
      <c r="Z141" s="52"/>
      <c r="AA141" s="23"/>
      <c r="AB141" s="150" t="s">
        <v>4</v>
      </c>
      <c r="AC141" s="363" t="s">
        <v>128</v>
      </c>
      <c r="AD141" s="363"/>
      <c r="AE141" s="363"/>
      <c r="AF141" s="363"/>
      <c r="AG141" s="363"/>
      <c r="AH141" s="363"/>
      <c r="AI141" s="150" t="s">
        <v>4</v>
      </c>
      <c r="AJ141" s="392" t="s">
        <v>128</v>
      </c>
      <c r="AK141" s="387"/>
      <c r="AL141" s="387"/>
      <c r="AM141" s="387"/>
      <c r="AN141" s="387"/>
      <c r="AO141" s="388"/>
      <c r="AP141" s="20"/>
      <c r="AQ141" s="24"/>
      <c r="AR141" s="4"/>
      <c r="AS141" s="4"/>
      <c r="AT141" s="4"/>
      <c r="AU141" s="4"/>
      <c r="AV141" s="4"/>
      <c r="AW141" s="4"/>
      <c r="AX141" s="4"/>
      <c r="AY141" s="4"/>
      <c r="AZ141" s="4"/>
      <c r="BA141" s="4"/>
      <c r="BB141" s="4"/>
      <c r="BC141" s="4"/>
      <c r="BD141" s="4"/>
      <c r="BE141" s="4"/>
      <c r="BF141" s="4"/>
      <c r="BG141" s="4"/>
      <c r="BH141" s="4"/>
      <c r="BI141" s="4"/>
      <c r="BJ141" s="4"/>
      <c r="BK141" s="4"/>
      <c r="BL141" s="4"/>
      <c r="BM141" s="4"/>
      <c r="BN141" s="4"/>
      <c r="BO141" s="4"/>
      <c r="BP141" s="4"/>
      <c r="BQ141" s="4"/>
      <c r="BR141" s="4"/>
      <c r="BS141" s="4"/>
      <c r="BT141" s="4"/>
      <c r="BU141" s="4"/>
      <c r="BV141" s="4"/>
      <c r="BW141" s="4"/>
      <c r="BX141" s="4"/>
      <c r="BY141" s="4"/>
      <c r="BZ141" s="4"/>
      <c r="CA141" s="4"/>
      <c r="CB141" s="4"/>
      <c r="CC141" s="4"/>
      <c r="CD141" s="4"/>
      <c r="CE141" s="4"/>
      <c r="CF141" s="4"/>
      <c r="CG141" s="4"/>
      <c r="CH141" s="4"/>
      <c r="CI141" s="4"/>
      <c r="CJ141" s="4"/>
      <c r="CK141" s="4"/>
      <c r="CL141" s="4"/>
      <c r="CM141" s="4"/>
      <c r="CN141" s="4"/>
      <c r="CO141" s="4"/>
      <c r="CP141" s="4"/>
      <c r="CQ141" s="4"/>
      <c r="CR141" s="4"/>
      <c r="CS141" s="4"/>
      <c r="CT141" s="4"/>
      <c r="CU141" s="4"/>
      <c r="CV141" s="4"/>
      <c r="CW141" s="4"/>
      <c r="CX141" s="4"/>
      <c r="CY141" s="4"/>
      <c r="CZ141" s="4"/>
      <c r="DA141" s="4"/>
      <c r="DB141" s="4"/>
      <c r="DC141" s="4"/>
      <c r="DD141" s="4"/>
      <c r="DE141" s="4"/>
      <c r="DF141" s="4"/>
      <c r="DG141" s="4"/>
      <c r="DH141" s="4"/>
      <c r="DI141" s="4"/>
      <c r="DJ141" s="4"/>
      <c r="DK141" s="4"/>
      <c r="DL141" s="4"/>
      <c r="DM141" s="4"/>
      <c r="DN141" s="4"/>
      <c r="DO141" s="4"/>
      <c r="DP141" s="4"/>
      <c r="DQ141" s="4"/>
      <c r="DR141" s="4"/>
      <c r="DS141" s="4"/>
      <c r="DT141" s="4"/>
      <c r="DU141" s="4"/>
      <c r="DV141" s="4"/>
      <c r="DW141" s="4"/>
      <c r="DX141" s="4"/>
      <c r="DY141" s="4"/>
      <c r="DZ141" s="4"/>
      <c r="EA141" s="4"/>
      <c r="EB141" s="4"/>
      <c r="EC141" s="4"/>
    </row>
    <row r="142" spans="1:133" s="4" customFormat="1" ht="12.75" customHeight="1">
      <c r="B142" s="610"/>
      <c r="C142" s="611"/>
      <c r="D142" s="612"/>
      <c r="E142" s="421"/>
      <c r="F142" s="422"/>
      <c r="G142" s="422"/>
      <c r="H142" s="422"/>
      <c r="I142" s="422"/>
      <c r="J142" s="422"/>
      <c r="K142" s="423"/>
      <c r="L142" s="440"/>
      <c r="M142" s="441"/>
      <c r="N142" s="441"/>
      <c r="O142" s="441"/>
      <c r="P142" s="441"/>
      <c r="Q142" s="441"/>
      <c r="R142" s="441"/>
      <c r="S142" s="442"/>
      <c r="T142" s="396"/>
      <c r="U142" s="397"/>
      <c r="V142" s="396"/>
      <c r="W142" s="397"/>
      <c r="X142" s="398"/>
      <c r="Y142" s="399"/>
      <c r="Z142" s="52"/>
      <c r="AA142" s="23"/>
      <c r="AB142" s="151"/>
      <c r="AC142" s="364" t="s">
        <v>129</v>
      </c>
      <c r="AD142" s="364"/>
      <c r="AE142" s="364"/>
      <c r="AF142" s="364"/>
      <c r="AG142" s="364"/>
      <c r="AH142" s="364"/>
      <c r="AI142" s="151"/>
      <c r="AJ142" s="371" t="s">
        <v>129</v>
      </c>
      <c r="AK142" s="372"/>
      <c r="AL142" s="372"/>
      <c r="AM142" s="372"/>
      <c r="AN142" s="372"/>
      <c r="AO142" s="373"/>
      <c r="AP142" s="20"/>
      <c r="AQ142" s="131"/>
    </row>
    <row r="143" spans="1:133" s="11" customFormat="1" ht="12.75" customHeight="1">
      <c r="A143" s="4"/>
      <c r="B143" s="610"/>
      <c r="C143" s="611"/>
      <c r="D143" s="612"/>
      <c r="E143" s="424"/>
      <c r="F143" s="375"/>
      <c r="G143" s="375"/>
      <c r="H143" s="375"/>
      <c r="I143" s="375"/>
      <c r="J143" s="375"/>
      <c r="K143" s="425"/>
      <c r="L143" s="443"/>
      <c r="M143" s="444"/>
      <c r="N143" s="444"/>
      <c r="O143" s="444"/>
      <c r="P143" s="444"/>
      <c r="Q143" s="444"/>
      <c r="R143" s="444"/>
      <c r="S143" s="445"/>
      <c r="T143" s="396"/>
      <c r="U143" s="397"/>
      <c r="V143" s="396"/>
      <c r="W143" s="397"/>
      <c r="X143" s="398"/>
      <c r="Y143" s="399"/>
      <c r="Z143" s="52"/>
      <c r="AA143" s="23"/>
      <c r="AB143" s="154" t="s">
        <v>5</v>
      </c>
      <c r="AC143" s="363" t="s">
        <v>128</v>
      </c>
      <c r="AD143" s="363"/>
      <c r="AE143" s="363"/>
      <c r="AF143" s="363"/>
      <c r="AG143" s="363"/>
      <c r="AH143" s="363"/>
      <c r="AI143" s="154" t="s">
        <v>5</v>
      </c>
      <c r="AJ143" s="374" t="s">
        <v>128</v>
      </c>
      <c r="AK143" s="375"/>
      <c r="AL143" s="375"/>
      <c r="AM143" s="375"/>
      <c r="AN143" s="375"/>
      <c r="AO143" s="376"/>
      <c r="AP143" s="20"/>
      <c r="AQ143" s="24"/>
      <c r="AR143" s="4"/>
      <c r="AS143" s="4"/>
      <c r="AT143" s="4"/>
      <c r="AU143" s="4"/>
      <c r="AV143" s="4"/>
      <c r="AW143" s="4"/>
      <c r="AX143" s="4"/>
      <c r="AY143" s="4"/>
      <c r="AZ143" s="4"/>
      <c r="BA143" s="4"/>
      <c r="BB143" s="4"/>
      <c r="BC143" s="4"/>
      <c r="BD143" s="4"/>
      <c r="BE143" s="4"/>
      <c r="BF143" s="4"/>
      <c r="BG143" s="4"/>
      <c r="BH143" s="4"/>
      <c r="BI143" s="4"/>
      <c r="BJ143" s="4"/>
      <c r="BK143" s="4"/>
      <c r="BL143" s="4"/>
      <c r="BM143" s="4"/>
      <c r="BN143" s="4"/>
      <c r="BO143" s="4"/>
      <c r="BP143" s="4"/>
      <c r="BQ143" s="4"/>
      <c r="BR143" s="4"/>
      <c r="BS143" s="4"/>
      <c r="BT143" s="4"/>
      <c r="BU143" s="4"/>
      <c r="BV143" s="4"/>
      <c r="BW143" s="4"/>
      <c r="BX143" s="4"/>
      <c r="BY143" s="4"/>
      <c r="BZ143" s="4"/>
      <c r="CA143" s="4"/>
      <c r="CB143" s="4"/>
      <c r="CC143" s="4"/>
      <c r="CD143" s="4"/>
      <c r="CE143" s="4"/>
      <c r="CF143" s="4"/>
      <c r="CG143" s="4"/>
      <c r="CH143" s="4"/>
      <c r="CI143" s="4"/>
      <c r="CJ143" s="4"/>
      <c r="CK143" s="4"/>
      <c r="CL143" s="4"/>
      <c r="CM143" s="4"/>
      <c r="CN143" s="4"/>
      <c r="CO143" s="4"/>
      <c r="CP143" s="4"/>
      <c r="CQ143" s="4"/>
      <c r="CR143" s="4"/>
      <c r="CS143" s="4"/>
      <c r="CT143" s="4"/>
      <c r="CU143" s="4"/>
      <c r="CV143" s="4"/>
      <c r="CW143" s="4"/>
      <c r="CX143" s="4"/>
      <c r="CY143" s="4"/>
      <c r="CZ143" s="4"/>
      <c r="DA143" s="4"/>
      <c r="DB143" s="4"/>
      <c r="DC143" s="4"/>
      <c r="DD143" s="4"/>
      <c r="DE143" s="4"/>
      <c r="DF143" s="4"/>
      <c r="DG143" s="4"/>
      <c r="DH143" s="4"/>
      <c r="DI143" s="4"/>
      <c r="DJ143" s="4"/>
      <c r="DK143" s="4"/>
      <c r="DL143" s="4"/>
      <c r="DM143" s="4"/>
      <c r="DN143" s="4"/>
      <c r="DO143" s="4"/>
      <c r="DP143" s="4"/>
      <c r="DQ143" s="4"/>
      <c r="DR143" s="4"/>
      <c r="DS143" s="4"/>
      <c r="DT143" s="4"/>
      <c r="DU143" s="4"/>
      <c r="DV143" s="4"/>
      <c r="DW143" s="4"/>
      <c r="DX143" s="4"/>
      <c r="DY143" s="4"/>
      <c r="DZ143" s="4"/>
      <c r="EA143" s="4"/>
      <c r="EB143" s="4"/>
      <c r="EC143" s="4"/>
    </row>
    <row r="144" spans="1:133" s="4" customFormat="1" ht="12.75" customHeight="1">
      <c r="B144" s="613"/>
      <c r="C144" s="614"/>
      <c r="D144" s="615"/>
      <c r="E144" s="393"/>
      <c r="F144" s="394"/>
      <c r="G144" s="394"/>
      <c r="H144" s="394"/>
      <c r="I144" s="394"/>
      <c r="J144" s="394"/>
      <c r="K144" s="395"/>
      <c r="L144" s="604"/>
      <c r="M144" s="605"/>
      <c r="N144" s="605"/>
      <c r="O144" s="605"/>
      <c r="P144" s="605"/>
      <c r="Q144" s="605"/>
      <c r="R144" s="605"/>
      <c r="S144" s="606"/>
      <c r="T144" s="406"/>
      <c r="U144" s="407"/>
      <c r="V144" s="406"/>
      <c r="W144" s="407"/>
      <c r="X144" s="393"/>
      <c r="Y144" s="408"/>
      <c r="Z144" s="52"/>
      <c r="AA144" s="23"/>
      <c r="AB144" s="151"/>
      <c r="AC144" s="364" t="s">
        <v>129</v>
      </c>
      <c r="AD144" s="364"/>
      <c r="AE144" s="364"/>
      <c r="AF144" s="364"/>
      <c r="AG144" s="364"/>
      <c r="AH144" s="364"/>
      <c r="AI144" s="151"/>
      <c r="AJ144" s="371" t="s">
        <v>129</v>
      </c>
      <c r="AK144" s="372"/>
      <c r="AL144" s="372"/>
      <c r="AM144" s="372"/>
      <c r="AN144" s="372"/>
      <c r="AO144" s="373"/>
      <c r="AP144" s="20"/>
      <c r="AQ144" s="131"/>
    </row>
    <row r="145" spans="1:133" s="11" customFormat="1" ht="12.75" customHeight="1">
      <c r="A145" s="4"/>
      <c r="B145" s="141"/>
      <c r="C145" s="67"/>
      <c r="D145" s="67"/>
      <c r="E145" s="67"/>
      <c r="F145" s="67"/>
      <c r="G145" s="67"/>
      <c r="H145" s="67"/>
      <c r="I145" s="67"/>
      <c r="J145" s="67"/>
      <c r="K145" s="67"/>
      <c r="L145" s="67"/>
      <c r="M145" s="67"/>
      <c r="N145" s="67"/>
      <c r="O145" s="67"/>
      <c r="P145" s="67"/>
      <c r="Q145" s="67"/>
      <c r="R145" s="67"/>
      <c r="S145" s="67"/>
      <c r="T145" s="67"/>
      <c r="U145" s="67"/>
      <c r="V145" s="67"/>
      <c r="W145" s="67"/>
      <c r="X145" s="67"/>
      <c r="Y145" s="162"/>
      <c r="Z145" s="52"/>
      <c r="AA145" s="23"/>
      <c r="AB145" s="20"/>
      <c r="AC145" s="20"/>
      <c r="AD145" s="20"/>
      <c r="AE145" s="20"/>
      <c r="AF145" s="20"/>
      <c r="AG145" s="20"/>
      <c r="AH145" s="20"/>
      <c r="AI145" s="20"/>
      <c r="AJ145" s="20"/>
      <c r="AK145" s="20"/>
      <c r="AL145" s="20"/>
      <c r="AM145" s="20"/>
      <c r="AN145" s="20"/>
      <c r="AO145" s="20"/>
      <c r="AP145" s="20"/>
      <c r="AQ145" s="24"/>
      <c r="AR145" s="4"/>
      <c r="AS145" s="4"/>
      <c r="AT145" s="4"/>
      <c r="AU145" s="4"/>
      <c r="AV145" s="4"/>
      <c r="AW145" s="4"/>
      <c r="AX145" s="4"/>
      <c r="AY145" s="4"/>
      <c r="AZ145" s="4"/>
      <c r="BA145" s="4"/>
      <c r="BB145" s="4"/>
      <c r="BC145" s="4"/>
      <c r="BD145" s="4"/>
      <c r="BE145" s="4"/>
      <c r="BF145" s="4"/>
      <c r="BG145" s="4"/>
      <c r="BH145" s="4"/>
      <c r="BI145" s="4"/>
      <c r="BJ145" s="4"/>
      <c r="BK145" s="4"/>
      <c r="BL145" s="4"/>
      <c r="BM145" s="4"/>
      <c r="BN145" s="4"/>
      <c r="BO145" s="4"/>
      <c r="BP145" s="4"/>
      <c r="BQ145" s="4"/>
      <c r="BR145" s="4"/>
      <c r="BS145" s="4"/>
      <c r="BT145" s="4"/>
      <c r="BU145" s="4"/>
      <c r="BV145" s="4"/>
      <c r="BW145" s="4"/>
      <c r="BX145" s="4"/>
      <c r="BY145" s="4"/>
      <c r="BZ145" s="4"/>
      <c r="CA145" s="4"/>
      <c r="CB145" s="4"/>
      <c r="CC145" s="4"/>
      <c r="CD145" s="4"/>
      <c r="CE145" s="4"/>
      <c r="CF145" s="4"/>
      <c r="CG145" s="4"/>
      <c r="CH145" s="4"/>
      <c r="CI145" s="4"/>
      <c r="CJ145" s="4"/>
      <c r="CK145" s="4"/>
      <c r="CL145" s="4"/>
      <c r="CM145" s="4"/>
      <c r="CN145" s="4"/>
      <c r="CO145" s="4"/>
      <c r="CP145" s="4"/>
      <c r="CQ145" s="4"/>
      <c r="CR145" s="4"/>
      <c r="CS145" s="4"/>
      <c r="CT145" s="4"/>
      <c r="CU145" s="4"/>
      <c r="CV145" s="4"/>
      <c r="CW145" s="4"/>
      <c r="CX145" s="4"/>
      <c r="CY145" s="4"/>
      <c r="CZ145" s="4"/>
      <c r="DA145" s="4"/>
      <c r="DB145" s="4"/>
      <c r="DC145" s="4"/>
      <c r="DD145" s="4"/>
      <c r="DE145" s="4"/>
      <c r="DF145" s="4"/>
      <c r="DG145" s="4"/>
      <c r="DH145" s="4"/>
      <c r="DI145" s="4"/>
      <c r="DJ145" s="4"/>
      <c r="DK145" s="4"/>
      <c r="DL145" s="4"/>
      <c r="DM145" s="4"/>
      <c r="DN145" s="4"/>
      <c r="DO145" s="4"/>
      <c r="DP145" s="4"/>
      <c r="DQ145" s="4"/>
      <c r="DR145" s="4"/>
      <c r="DS145" s="4"/>
      <c r="DT145" s="4"/>
      <c r="DU145" s="4"/>
      <c r="DV145" s="4"/>
      <c r="DW145" s="4"/>
      <c r="DX145" s="4"/>
      <c r="DY145" s="4"/>
      <c r="DZ145" s="4"/>
      <c r="EA145" s="4"/>
      <c r="EB145" s="4"/>
      <c r="EC145" s="4"/>
    </row>
    <row r="146" spans="1:133" s="4" customFormat="1" ht="12.75" customHeight="1">
      <c r="B146" s="141"/>
      <c r="C146" s="67"/>
      <c r="D146" s="67"/>
      <c r="E146" s="67"/>
      <c r="F146" s="67"/>
      <c r="G146" s="67"/>
      <c r="H146" s="67"/>
      <c r="I146" s="67"/>
      <c r="J146" s="67"/>
      <c r="K146" s="67"/>
      <c r="L146" s="67"/>
      <c r="M146" s="67"/>
      <c r="N146" s="67"/>
      <c r="O146" s="67"/>
      <c r="P146" s="67"/>
      <c r="Q146" s="67"/>
      <c r="R146" s="67"/>
      <c r="S146" s="67"/>
      <c r="T146" s="67"/>
      <c r="U146" s="67"/>
      <c r="V146" s="67"/>
      <c r="W146" s="67"/>
      <c r="X146" s="67"/>
      <c r="Y146" s="162"/>
      <c r="Z146" s="52"/>
      <c r="AA146" s="23"/>
      <c r="AB146" s="20"/>
      <c r="AC146" s="20"/>
      <c r="AD146" s="20"/>
      <c r="AE146" s="20"/>
      <c r="AF146" s="20"/>
      <c r="AG146" s="20"/>
      <c r="AH146" s="20"/>
      <c r="AI146" s="20"/>
      <c r="AJ146" s="20"/>
      <c r="AK146" s="20"/>
      <c r="AL146" s="20"/>
      <c r="AM146" s="20"/>
      <c r="AN146" s="20"/>
      <c r="AO146" s="20"/>
      <c r="AP146" s="20"/>
      <c r="AQ146" s="131"/>
    </row>
    <row r="147" spans="1:133" ht="16.5">
      <c r="B147" s="163" t="s">
        <v>79</v>
      </c>
      <c r="C147" s="164"/>
      <c r="D147" s="164"/>
      <c r="E147" s="164"/>
      <c r="F147" s="164"/>
      <c r="G147" s="164"/>
      <c r="H147" s="164"/>
      <c r="I147" s="164"/>
      <c r="J147" s="164"/>
      <c r="K147" s="164"/>
      <c r="L147" s="164"/>
      <c r="M147" s="164"/>
      <c r="N147" s="164"/>
      <c r="O147" s="164"/>
      <c r="P147" s="164"/>
      <c r="Q147" s="164"/>
      <c r="R147" s="164"/>
      <c r="S147" s="164"/>
      <c r="T147" s="164"/>
      <c r="U147" s="164"/>
      <c r="V147" s="164"/>
      <c r="W147" s="164"/>
      <c r="X147" s="164"/>
      <c r="Y147" s="164"/>
      <c r="Z147" s="52"/>
      <c r="AA147" s="23"/>
      <c r="AB147" s="20" t="s">
        <v>130</v>
      </c>
      <c r="AC147" s="20"/>
      <c r="AD147" s="20"/>
      <c r="AE147" s="20"/>
      <c r="AF147" s="20"/>
      <c r="AG147" s="20"/>
      <c r="AH147" s="20"/>
      <c r="AI147" s="20" t="s">
        <v>130</v>
      </c>
      <c r="AJ147" s="20"/>
      <c r="AK147" s="20"/>
      <c r="AL147" s="20"/>
      <c r="AM147" s="20"/>
      <c r="AN147" s="20"/>
      <c r="AO147" s="20"/>
      <c r="AP147" s="20"/>
      <c r="AQ147" s="24"/>
    </row>
    <row r="148" spans="1:133" ht="16.5">
      <c r="B148" s="530" t="s">
        <v>400</v>
      </c>
      <c r="C148" s="531"/>
      <c r="D148" s="531"/>
      <c r="E148" s="531"/>
      <c r="F148" s="531"/>
      <c r="G148" s="531"/>
      <c r="H148" s="531"/>
      <c r="I148" s="531"/>
      <c r="J148" s="531"/>
      <c r="K148" s="531"/>
      <c r="L148" s="531"/>
      <c r="M148" s="531"/>
      <c r="N148" s="531"/>
      <c r="O148" s="531"/>
      <c r="P148" s="531"/>
      <c r="Q148" s="531"/>
      <c r="R148" s="531"/>
      <c r="S148" s="531"/>
      <c r="T148" s="531"/>
      <c r="U148" s="531"/>
      <c r="V148" s="531"/>
      <c r="W148" s="531"/>
      <c r="X148" s="531"/>
      <c r="Y148" s="531"/>
      <c r="Z148" s="52"/>
      <c r="AA148" s="23"/>
      <c r="AB148" s="411"/>
      <c r="AC148" s="412"/>
      <c r="AD148" s="412"/>
      <c r="AE148" s="412"/>
      <c r="AF148" s="412"/>
      <c r="AG148" s="412"/>
      <c r="AH148" s="412"/>
      <c r="AI148" s="412"/>
      <c r="AJ148" s="412"/>
      <c r="AK148" s="412"/>
      <c r="AL148" s="412"/>
      <c r="AM148" s="412"/>
      <c r="AN148" s="412"/>
      <c r="AO148" s="413"/>
      <c r="AP148" s="20"/>
      <c r="AQ148" s="131"/>
    </row>
    <row r="149" spans="1:133" ht="16.5">
      <c r="B149" s="494"/>
      <c r="C149" s="422"/>
      <c r="D149" s="422"/>
      <c r="E149" s="422"/>
      <c r="F149" s="422"/>
      <c r="G149" s="422"/>
      <c r="H149" s="422"/>
      <c r="I149" s="422"/>
      <c r="J149" s="422"/>
      <c r="K149" s="422"/>
      <c r="L149" s="422"/>
      <c r="M149" s="422"/>
      <c r="N149" s="422"/>
      <c r="O149" s="422"/>
      <c r="P149" s="422"/>
      <c r="Q149" s="422"/>
      <c r="R149" s="422"/>
      <c r="S149" s="422"/>
      <c r="T149" s="422"/>
      <c r="U149" s="422"/>
      <c r="V149" s="422"/>
      <c r="W149" s="422"/>
      <c r="X149" s="422"/>
      <c r="Y149" s="422"/>
      <c r="Z149" s="52"/>
      <c r="AA149" s="23"/>
      <c r="AB149" s="411"/>
      <c r="AC149" s="412"/>
      <c r="AD149" s="412"/>
      <c r="AE149" s="412"/>
      <c r="AF149" s="412"/>
      <c r="AG149" s="412"/>
      <c r="AH149" s="412"/>
      <c r="AI149" s="412"/>
      <c r="AJ149" s="412"/>
      <c r="AK149" s="412"/>
      <c r="AL149" s="412"/>
      <c r="AM149" s="412"/>
      <c r="AN149" s="412"/>
      <c r="AO149" s="413"/>
      <c r="AP149" s="20"/>
      <c r="AQ149" s="24"/>
    </row>
    <row r="150" spans="1:133" ht="16.5">
      <c r="B150" s="165"/>
      <c r="C150" s="166"/>
      <c r="D150" s="166"/>
      <c r="E150" s="167"/>
      <c r="F150" s="166"/>
      <c r="G150" s="166"/>
      <c r="H150" s="168"/>
      <c r="I150" s="168"/>
      <c r="J150" s="169"/>
      <c r="K150" s="166"/>
      <c r="L150" s="166"/>
      <c r="M150" s="166"/>
      <c r="N150" s="166"/>
      <c r="O150" s="166"/>
      <c r="P150" s="166"/>
      <c r="Q150" s="166"/>
      <c r="R150" s="166"/>
      <c r="S150" s="36"/>
      <c r="T150" s="170"/>
      <c r="U150" s="171" t="s">
        <v>80</v>
      </c>
      <c r="V150" s="603" t="s">
        <v>395</v>
      </c>
      <c r="W150" s="410"/>
      <c r="X150" s="410"/>
      <c r="Y150" s="410"/>
      <c r="Z150" s="52"/>
      <c r="AA150" s="23"/>
      <c r="AB150" s="39"/>
      <c r="AC150" s="39"/>
      <c r="AD150" s="39"/>
      <c r="AE150" s="39"/>
      <c r="AF150" s="39"/>
      <c r="AG150" s="39"/>
      <c r="AH150" s="39"/>
      <c r="AI150" s="39"/>
      <c r="AJ150" s="39"/>
      <c r="AK150" s="39"/>
      <c r="AL150" s="39"/>
      <c r="AM150" s="39"/>
      <c r="AN150" s="39"/>
      <c r="AO150" s="39"/>
      <c r="AP150" s="20"/>
      <c r="AQ150" s="131"/>
    </row>
    <row r="151" spans="1:133" ht="35.25" customHeight="1">
      <c r="B151" s="172"/>
      <c r="C151" s="173"/>
      <c r="D151" s="173"/>
      <c r="E151" s="174"/>
      <c r="F151" s="173"/>
      <c r="G151" s="173"/>
      <c r="H151" s="79"/>
      <c r="I151" s="79"/>
      <c r="J151" s="175"/>
      <c r="K151" s="79"/>
      <c r="L151" s="79"/>
      <c r="M151" s="79"/>
      <c r="N151" s="79"/>
      <c r="O151" s="79"/>
      <c r="P151" s="79"/>
      <c r="Q151" s="79"/>
      <c r="R151" s="79"/>
      <c r="S151" s="79"/>
      <c r="T151" s="79"/>
      <c r="U151" s="79"/>
      <c r="V151" s="79"/>
      <c r="W151" s="79"/>
      <c r="X151" s="176"/>
      <c r="Y151" s="176"/>
      <c r="Z151" s="177"/>
      <c r="AA151" s="23"/>
      <c r="AB151" s="365" t="s">
        <v>136</v>
      </c>
      <c r="AC151" s="366"/>
      <c r="AD151" s="366"/>
      <c r="AE151" s="366"/>
      <c r="AF151" s="366"/>
      <c r="AG151" s="366"/>
      <c r="AH151" s="367"/>
      <c r="AI151" s="368" t="s">
        <v>213</v>
      </c>
      <c r="AJ151" s="369"/>
      <c r="AK151" s="369"/>
      <c r="AL151" s="369"/>
      <c r="AM151" s="369"/>
      <c r="AN151" s="369"/>
      <c r="AO151" s="370"/>
      <c r="AP151" s="149"/>
      <c r="AQ151" s="24"/>
    </row>
    <row r="152" spans="1:133" ht="16.5">
      <c r="B152" s="82" t="s">
        <v>17</v>
      </c>
      <c r="C152" s="63" t="s">
        <v>22</v>
      </c>
      <c r="D152" s="64"/>
      <c r="E152" s="64"/>
      <c r="F152" s="64"/>
      <c r="G152" s="64"/>
      <c r="H152" s="64"/>
      <c r="I152" s="64"/>
      <c r="J152" s="64"/>
      <c r="K152" s="64"/>
      <c r="L152" s="64"/>
      <c r="M152" s="64"/>
      <c r="N152" s="64"/>
      <c r="O152" s="64"/>
      <c r="P152" s="64"/>
      <c r="Q152" s="64"/>
      <c r="R152" s="64"/>
      <c r="S152" s="64"/>
      <c r="T152" s="64"/>
      <c r="U152" s="64"/>
      <c r="V152" s="64"/>
      <c r="W152" s="64"/>
      <c r="X152" s="64"/>
      <c r="Y152" s="83"/>
      <c r="Z152" s="124"/>
      <c r="AA152" s="23"/>
      <c r="AB152" s="150" t="s">
        <v>1</v>
      </c>
      <c r="AC152" s="363" t="s">
        <v>128</v>
      </c>
      <c r="AD152" s="363"/>
      <c r="AE152" s="363"/>
      <c r="AF152" s="363"/>
      <c r="AG152" s="363"/>
      <c r="AH152" s="363"/>
      <c r="AI152" s="150" t="s">
        <v>1</v>
      </c>
      <c r="AJ152" s="363" t="s">
        <v>128</v>
      </c>
      <c r="AK152" s="363"/>
      <c r="AL152" s="363"/>
      <c r="AM152" s="363"/>
      <c r="AN152" s="363"/>
      <c r="AO152" s="363"/>
      <c r="AP152" s="20"/>
      <c r="AQ152" s="131"/>
    </row>
    <row r="153" spans="1:133" s="7" customFormat="1" ht="16.5">
      <c r="A153" s="6"/>
      <c r="B153" s="40" t="s">
        <v>124</v>
      </c>
      <c r="C153" s="39"/>
      <c r="D153" s="39"/>
      <c r="E153" s="39"/>
      <c r="F153" s="39"/>
      <c r="G153" s="39"/>
      <c r="H153" s="39"/>
      <c r="I153" s="39"/>
      <c r="J153" s="39"/>
      <c r="K153" s="39"/>
      <c r="L153" s="39"/>
      <c r="M153" s="39"/>
      <c r="N153" s="39"/>
      <c r="O153" s="39"/>
      <c r="P153" s="39"/>
      <c r="Q153" s="39"/>
      <c r="R153" s="39"/>
      <c r="S153" s="39"/>
      <c r="T153" s="39"/>
      <c r="U153" s="39"/>
      <c r="V153" s="39"/>
      <c r="W153" s="39"/>
      <c r="X153" s="39"/>
      <c r="Y153" s="178"/>
      <c r="Z153" s="85"/>
      <c r="AA153" s="23"/>
      <c r="AB153" s="151"/>
      <c r="AC153" s="364" t="s">
        <v>129</v>
      </c>
      <c r="AD153" s="364"/>
      <c r="AE153" s="364"/>
      <c r="AF153" s="364"/>
      <c r="AG153" s="364"/>
      <c r="AH153" s="364"/>
      <c r="AI153" s="151"/>
      <c r="AJ153" s="364" t="s">
        <v>129</v>
      </c>
      <c r="AK153" s="364"/>
      <c r="AL153" s="364"/>
      <c r="AM153" s="364"/>
      <c r="AN153" s="364"/>
      <c r="AO153" s="364"/>
      <c r="AP153" s="20"/>
      <c r="AQ153" s="24"/>
    </row>
    <row r="154" spans="1:133" ht="16.5">
      <c r="B154" s="400" t="s">
        <v>414</v>
      </c>
      <c r="C154" s="401"/>
      <c r="D154" s="401"/>
      <c r="E154" s="401"/>
      <c r="F154" s="401"/>
      <c r="G154" s="401"/>
      <c r="H154" s="401"/>
      <c r="I154" s="401"/>
      <c r="J154" s="401"/>
      <c r="K154" s="401"/>
      <c r="L154" s="401"/>
      <c r="M154" s="401"/>
      <c r="N154" s="401"/>
      <c r="O154" s="401"/>
      <c r="P154" s="401"/>
      <c r="Q154" s="401"/>
      <c r="R154" s="401"/>
      <c r="S154" s="401"/>
      <c r="T154" s="401"/>
      <c r="U154" s="401"/>
      <c r="V154" s="401"/>
      <c r="W154" s="401"/>
      <c r="X154" s="401"/>
      <c r="Y154" s="402"/>
      <c r="Z154" s="52"/>
      <c r="AA154" s="23"/>
      <c r="AB154" s="150" t="s">
        <v>2</v>
      </c>
      <c r="AC154" s="363" t="s">
        <v>128</v>
      </c>
      <c r="AD154" s="363"/>
      <c r="AE154" s="363"/>
      <c r="AF154" s="363"/>
      <c r="AG154" s="363"/>
      <c r="AH154" s="363"/>
      <c r="AI154" s="150" t="s">
        <v>2</v>
      </c>
      <c r="AJ154" s="363" t="s">
        <v>128</v>
      </c>
      <c r="AK154" s="363"/>
      <c r="AL154" s="363"/>
      <c r="AM154" s="363"/>
      <c r="AN154" s="363"/>
      <c r="AO154" s="363"/>
      <c r="AP154" s="20"/>
      <c r="AQ154" s="131"/>
    </row>
    <row r="155" spans="1:133" ht="16.5">
      <c r="B155" s="403"/>
      <c r="C155" s="404"/>
      <c r="D155" s="404"/>
      <c r="E155" s="404"/>
      <c r="F155" s="404"/>
      <c r="G155" s="404"/>
      <c r="H155" s="404"/>
      <c r="I155" s="404"/>
      <c r="J155" s="404"/>
      <c r="K155" s="404"/>
      <c r="L155" s="404"/>
      <c r="M155" s="404"/>
      <c r="N155" s="404"/>
      <c r="O155" s="404"/>
      <c r="P155" s="404"/>
      <c r="Q155" s="404"/>
      <c r="R155" s="404"/>
      <c r="S155" s="404"/>
      <c r="T155" s="404"/>
      <c r="U155" s="404"/>
      <c r="V155" s="404"/>
      <c r="W155" s="404"/>
      <c r="X155" s="404"/>
      <c r="Y155" s="405"/>
      <c r="Z155" s="52"/>
      <c r="AA155" s="23"/>
      <c r="AB155" s="151"/>
      <c r="AC155" s="364" t="s">
        <v>129</v>
      </c>
      <c r="AD155" s="364"/>
      <c r="AE155" s="364"/>
      <c r="AF155" s="364"/>
      <c r="AG155" s="364"/>
      <c r="AH155" s="364"/>
      <c r="AI155" s="151"/>
      <c r="AJ155" s="364" t="s">
        <v>129</v>
      </c>
      <c r="AK155" s="364"/>
      <c r="AL155" s="364"/>
      <c r="AM155" s="364"/>
      <c r="AN155" s="364"/>
      <c r="AO155" s="364"/>
      <c r="AP155" s="20"/>
      <c r="AQ155" s="24"/>
    </row>
    <row r="156" spans="1:133" ht="12.75" customHeight="1">
      <c r="B156" s="40"/>
      <c r="C156" s="39"/>
      <c r="D156" s="36" t="s">
        <v>34</v>
      </c>
      <c r="E156" s="603" t="s">
        <v>310</v>
      </c>
      <c r="F156" s="410"/>
      <c r="G156" s="410"/>
      <c r="H156" s="410"/>
      <c r="I156" s="410"/>
      <c r="J156" s="410"/>
      <c r="K156" s="36"/>
      <c r="L156" s="39"/>
      <c r="M156" s="36" t="s">
        <v>38</v>
      </c>
      <c r="N156" s="409" t="s">
        <v>396</v>
      </c>
      <c r="O156" s="410"/>
      <c r="P156" s="410"/>
      <c r="Q156" s="170"/>
      <c r="R156" s="39"/>
      <c r="S156" s="36"/>
      <c r="T156" s="179"/>
      <c r="U156" s="180" t="s">
        <v>36</v>
      </c>
      <c r="V156" s="409" t="s">
        <v>415</v>
      </c>
      <c r="W156" s="410"/>
      <c r="X156" s="410"/>
      <c r="Y156" s="410"/>
      <c r="Z156" s="85"/>
      <c r="AA156" s="23"/>
      <c r="AB156" s="150" t="s">
        <v>3</v>
      </c>
      <c r="AC156" s="363" t="s">
        <v>128</v>
      </c>
      <c r="AD156" s="363"/>
      <c r="AE156" s="363"/>
      <c r="AF156" s="363"/>
      <c r="AG156" s="363"/>
      <c r="AH156" s="363"/>
      <c r="AI156" s="150" t="s">
        <v>3</v>
      </c>
      <c r="AJ156" s="363" t="s">
        <v>128</v>
      </c>
      <c r="AK156" s="363"/>
      <c r="AL156" s="363"/>
      <c r="AM156" s="363"/>
      <c r="AN156" s="363"/>
      <c r="AO156" s="363"/>
      <c r="AP156" s="20"/>
      <c r="AQ156" s="131"/>
    </row>
    <row r="157" spans="1:133" ht="16.5">
      <c r="B157" s="40"/>
      <c r="C157" s="39"/>
      <c r="D157" s="36"/>
      <c r="E157" s="36"/>
      <c r="F157" s="36"/>
      <c r="G157" s="36"/>
      <c r="H157" s="36"/>
      <c r="I157" s="36"/>
      <c r="J157" s="36"/>
      <c r="K157" s="36"/>
      <c r="L157" s="36"/>
      <c r="M157" s="36"/>
      <c r="N157" s="36"/>
      <c r="O157" s="36"/>
      <c r="P157" s="36"/>
      <c r="Q157" s="36"/>
      <c r="R157" s="36"/>
      <c r="S157" s="36"/>
      <c r="T157" s="36"/>
      <c r="U157" s="36"/>
      <c r="V157" s="36"/>
      <c r="W157" s="36"/>
      <c r="X157" s="36"/>
      <c r="Y157" s="181"/>
      <c r="Z157" s="85"/>
      <c r="AA157" s="23"/>
      <c r="AB157" s="151"/>
      <c r="AC157" s="364" t="s">
        <v>129</v>
      </c>
      <c r="AD157" s="364"/>
      <c r="AE157" s="364"/>
      <c r="AF157" s="364"/>
      <c r="AG157" s="364"/>
      <c r="AH157" s="364"/>
      <c r="AI157" s="151"/>
      <c r="AJ157" s="364" t="s">
        <v>129</v>
      </c>
      <c r="AK157" s="364"/>
      <c r="AL157" s="364"/>
      <c r="AM157" s="364"/>
      <c r="AN157" s="364"/>
      <c r="AO157" s="364"/>
      <c r="AP157" s="20"/>
      <c r="AQ157" s="24"/>
    </row>
    <row r="158" spans="1:133" s="7" customFormat="1" ht="16.5">
      <c r="A158" s="6"/>
      <c r="B158" s="163" t="s">
        <v>72</v>
      </c>
      <c r="C158" s="164"/>
      <c r="D158" s="164"/>
      <c r="E158" s="164"/>
      <c r="F158" s="164"/>
      <c r="G158" s="164"/>
      <c r="H158" s="164"/>
      <c r="I158" s="164"/>
      <c r="J158" s="164"/>
      <c r="K158" s="164"/>
      <c r="L158" s="164"/>
      <c r="M158" s="164"/>
      <c r="N158" s="164"/>
      <c r="O158" s="164"/>
      <c r="P158" s="164"/>
      <c r="Q158" s="164"/>
      <c r="R158" s="164"/>
      <c r="S158" s="164"/>
      <c r="T158" s="164"/>
      <c r="U158" s="164"/>
      <c r="V158" s="164"/>
      <c r="W158" s="164"/>
      <c r="X158" s="164"/>
      <c r="Y158" s="164"/>
      <c r="Z158" s="85"/>
      <c r="AA158" s="23"/>
      <c r="AB158" s="150" t="s">
        <v>4</v>
      </c>
      <c r="AC158" s="392" t="s">
        <v>128</v>
      </c>
      <c r="AD158" s="387"/>
      <c r="AE158" s="387"/>
      <c r="AF158" s="387"/>
      <c r="AG158" s="387"/>
      <c r="AH158" s="388"/>
      <c r="AI158" s="150" t="s">
        <v>4</v>
      </c>
      <c r="AJ158" s="392" t="s">
        <v>128</v>
      </c>
      <c r="AK158" s="387"/>
      <c r="AL158" s="387"/>
      <c r="AM158" s="387"/>
      <c r="AN158" s="387"/>
      <c r="AO158" s="388"/>
      <c r="AP158" s="20"/>
      <c r="AQ158" s="131"/>
    </row>
    <row r="159" spans="1:133" ht="16.5">
      <c r="B159" s="40" t="s">
        <v>125</v>
      </c>
      <c r="C159" s="39"/>
      <c r="D159" s="39"/>
      <c r="E159" s="39"/>
      <c r="F159" s="39"/>
      <c r="G159" s="39"/>
      <c r="H159" s="39"/>
      <c r="I159" s="39"/>
      <c r="J159" s="39"/>
      <c r="K159" s="39"/>
      <c r="L159" s="39"/>
      <c r="M159" s="39"/>
      <c r="N159" s="39"/>
      <c r="O159" s="39"/>
      <c r="P159" s="39"/>
      <c r="Q159" s="39"/>
      <c r="R159" s="39"/>
      <c r="S159" s="39"/>
      <c r="T159" s="39"/>
      <c r="U159" s="39"/>
      <c r="V159" s="39"/>
      <c r="W159" s="39"/>
      <c r="X159" s="39"/>
      <c r="Y159" s="39"/>
      <c r="Z159" s="85"/>
      <c r="AA159" s="23"/>
      <c r="AB159" s="151"/>
      <c r="AC159" s="371" t="s">
        <v>129</v>
      </c>
      <c r="AD159" s="372"/>
      <c r="AE159" s="372"/>
      <c r="AF159" s="372"/>
      <c r="AG159" s="372"/>
      <c r="AH159" s="373"/>
      <c r="AI159" s="151"/>
      <c r="AJ159" s="371" t="s">
        <v>129</v>
      </c>
      <c r="AK159" s="372"/>
      <c r="AL159" s="372"/>
      <c r="AM159" s="372"/>
      <c r="AN159" s="372"/>
      <c r="AO159" s="373"/>
      <c r="AP159" s="20"/>
      <c r="AQ159" s="24"/>
    </row>
    <row r="160" spans="1:133" ht="16.5">
      <c r="B160" s="400" t="s">
        <v>329</v>
      </c>
      <c r="C160" s="401"/>
      <c r="D160" s="401"/>
      <c r="E160" s="401"/>
      <c r="F160" s="401"/>
      <c r="G160" s="401"/>
      <c r="H160" s="401"/>
      <c r="I160" s="401"/>
      <c r="J160" s="401"/>
      <c r="K160" s="401"/>
      <c r="L160" s="401"/>
      <c r="M160" s="401"/>
      <c r="N160" s="401"/>
      <c r="O160" s="401"/>
      <c r="P160" s="401"/>
      <c r="Q160" s="401"/>
      <c r="R160" s="401"/>
      <c r="S160" s="401"/>
      <c r="T160" s="401"/>
      <c r="U160" s="401"/>
      <c r="V160" s="401"/>
      <c r="W160" s="401"/>
      <c r="X160" s="401"/>
      <c r="Y160" s="401"/>
      <c r="Z160" s="85"/>
      <c r="AA160" s="23"/>
      <c r="AB160" s="154" t="s">
        <v>5</v>
      </c>
      <c r="AC160" s="374" t="s">
        <v>128</v>
      </c>
      <c r="AD160" s="375"/>
      <c r="AE160" s="375"/>
      <c r="AF160" s="375"/>
      <c r="AG160" s="375"/>
      <c r="AH160" s="376"/>
      <c r="AI160" s="154" t="s">
        <v>5</v>
      </c>
      <c r="AJ160" s="374" t="s">
        <v>128</v>
      </c>
      <c r="AK160" s="375"/>
      <c r="AL160" s="375"/>
      <c r="AM160" s="375"/>
      <c r="AN160" s="375"/>
      <c r="AO160" s="376"/>
      <c r="AP160" s="20"/>
      <c r="AQ160" s="24"/>
    </row>
    <row r="161" spans="1:43" ht="16.5">
      <c r="B161" s="403"/>
      <c r="C161" s="404"/>
      <c r="D161" s="404"/>
      <c r="E161" s="404"/>
      <c r="F161" s="404"/>
      <c r="G161" s="404"/>
      <c r="H161" s="404"/>
      <c r="I161" s="404"/>
      <c r="J161" s="404"/>
      <c r="K161" s="404"/>
      <c r="L161" s="404"/>
      <c r="M161" s="404"/>
      <c r="N161" s="404"/>
      <c r="O161" s="404"/>
      <c r="P161" s="404"/>
      <c r="Q161" s="404"/>
      <c r="R161" s="404"/>
      <c r="S161" s="404"/>
      <c r="T161" s="404"/>
      <c r="U161" s="404"/>
      <c r="V161" s="404"/>
      <c r="W161" s="404"/>
      <c r="X161" s="404"/>
      <c r="Y161" s="404"/>
      <c r="Z161" s="85"/>
      <c r="AA161" s="23"/>
      <c r="AB161" s="151"/>
      <c r="AC161" s="371" t="s">
        <v>129</v>
      </c>
      <c r="AD161" s="372"/>
      <c r="AE161" s="372"/>
      <c r="AF161" s="372"/>
      <c r="AG161" s="372"/>
      <c r="AH161" s="373"/>
      <c r="AI161" s="151"/>
      <c r="AJ161" s="371" t="s">
        <v>129</v>
      </c>
      <c r="AK161" s="372"/>
      <c r="AL161" s="372"/>
      <c r="AM161" s="372"/>
      <c r="AN161" s="372"/>
      <c r="AO161" s="373"/>
      <c r="AP161" s="20"/>
      <c r="AQ161" s="24"/>
    </row>
    <row r="162" spans="1:43" s="7" customFormat="1" ht="16.5">
      <c r="A162" s="6"/>
      <c r="B162" s="414"/>
      <c r="C162" s="415"/>
      <c r="D162" s="415"/>
      <c r="E162" s="415"/>
      <c r="F162" s="415"/>
      <c r="G162" s="415"/>
      <c r="H162" s="415"/>
      <c r="I162" s="415"/>
      <c r="J162" s="415"/>
      <c r="K162" s="415"/>
      <c r="L162" s="415"/>
      <c r="M162" s="415"/>
      <c r="N162" s="415"/>
      <c r="O162" s="415"/>
      <c r="P162" s="415"/>
      <c r="Q162" s="415"/>
      <c r="R162" s="415"/>
      <c r="S162" s="415"/>
      <c r="T162" s="415"/>
      <c r="U162" s="415"/>
      <c r="V162" s="415"/>
      <c r="W162" s="415"/>
      <c r="X162" s="415"/>
      <c r="Y162" s="415"/>
      <c r="Z162" s="147"/>
      <c r="AA162" s="23"/>
      <c r="AB162" s="20"/>
      <c r="AC162" s="20"/>
      <c r="AD162" s="20"/>
      <c r="AE162" s="20"/>
      <c r="AF162" s="20"/>
      <c r="AG162" s="20"/>
      <c r="AH162" s="20"/>
      <c r="AI162" s="20"/>
      <c r="AJ162" s="20"/>
      <c r="AK162" s="20"/>
      <c r="AL162" s="20"/>
      <c r="AM162" s="20"/>
      <c r="AN162" s="20"/>
      <c r="AO162" s="20"/>
      <c r="AP162" s="20"/>
      <c r="AQ162" s="24"/>
    </row>
    <row r="163" spans="1:43" ht="16.5">
      <c r="B163" s="82" t="s">
        <v>18</v>
      </c>
      <c r="C163" s="63" t="s">
        <v>19</v>
      </c>
      <c r="D163" s="64"/>
      <c r="E163" s="64"/>
      <c r="F163" s="64"/>
      <c r="G163" s="64"/>
      <c r="H163" s="64"/>
      <c r="I163" s="64"/>
      <c r="J163" s="64"/>
      <c r="K163" s="64"/>
      <c r="L163" s="64"/>
      <c r="M163" s="64"/>
      <c r="N163" s="64"/>
      <c r="O163" s="64"/>
      <c r="P163" s="64"/>
      <c r="Q163" s="64"/>
      <c r="R163" s="64"/>
      <c r="S163" s="64"/>
      <c r="T163" s="64"/>
      <c r="U163" s="64"/>
      <c r="V163" s="64"/>
      <c r="W163" s="64"/>
      <c r="X163" s="64"/>
      <c r="Y163" s="182"/>
      <c r="Z163" s="124"/>
      <c r="AA163" s="23"/>
      <c r="AB163" s="20" t="s">
        <v>130</v>
      </c>
      <c r="AC163" s="20"/>
      <c r="AD163" s="20"/>
      <c r="AE163" s="20"/>
      <c r="AF163" s="20"/>
      <c r="AG163" s="20"/>
      <c r="AH163" s="20"/>
      <c r="AI163" s="20" t="s">
        <v>130</v>
      </c>
      <c r="AJ163" s="20"/>
      <c r="AK163" s="20"/>
      <c r="AL163" s="20"/>
      <c r="AM163" s="20"/>
      <c r="AN163" s="20"/>
      <c r="AO163" s="20"/>
      <c r="AP163" s="20"/>
      <c r="AQ163" s="131"/>
    </row>
    <row r="164" spans="1:43" ht="16.5">
      <c r="B164" s="53" t="s">
        <v>39</v>
      </c>
      <c r="C164" s="39"/>
      <c r="D164" s="39"/>
      <c r="E164" s="416" t="s">
        <v>416</v>
      </c>
      <c r="F164" s="416"/>
      <c r="G164" s="416"/>
      <c r="H164" s="416"/>
      <c r="I164" s="416"/>
      <c r="J164" s="416"/>
      <c r="K164" s="416"/>
      <c r="L164" s="416"/>
      <c r="M164" s="416"/>
      <c r="N164" s="416"/>
      <c r="O164" s="416"/>
      <c r="P164" s="416"/>
      <c r="Q164" s="416"/>
      <c r="R164" s="416"/>
      <c r="S164" s="416"/>
      <c r="T164" s="416"/>
      <c r="U164" s="416"/>
      <c r="V164" s="416"/>
      <c r="W164" s="416"/>
      <c r="X164" s="416"/>
      <c r="Y164" s="417"/>
      <c r="Z164" s="85"/>
      <c r="AA164" s="23"/>
      <c r="AB164" s="411"/>
      <c r="AC164" s="412"/>
      <c r="AD164" s="412"/>
      <c r="AE164" s="412"/>
      <c r="AF164" s="412"/>
      <c r="AG164" s="412"/>
      <c r="AH164" s="412"/>
      <c r="AI164" s="412"/>
      <c r="AJ164" s="412"/>
      <c r="AK164" s="412"/>
      <c r="AL164" s="412"/>
      <c r="AM164" s="412"/>
      <c r="AN164" s="412"/>
      <c r="AO164" s="413"/>
      <c r="AP164" s="20"/>
      <c r="AQ164" s="24"/>
    </row>
    <row r="165" spans="1:43" ht="16.5">
      <c r="B165" s="183" t="s">
        <v>74</v>
      </c>
      <c r="C165" s="72"/>
      <c r="D165" s="72"/>
      <c r="E165" s="601" t="s">
        <v>394</v>
      </c>
      <c r="F165" s="602"/>
      <c r="G165" s="602"/>
      <c r="H165" s="72"/>
      <c r="I165" s="72"/>
      <c r="J165" s="72"/>
      <c r="K165" s="72"/>
      <c r="L165" s="72"/>
      <c r="M165" s="72"/>
      <c r="N165" s="72"/>
      <c r="O165" s="72"/>
      <c r="P165" s="72"/>
      <c r="Q165" s="72"/>
      <c r="R165" s="72"/>
      <c r="S165" s="72"/>
      <c r="T165" s="72"/>
      <c r="U165" s="72"/>
      <c r="V165" s="72"/>
      <c r="W165" s="72"/>
      <c r="X165" s="72"/>
      <c r="Y165" s="184"/>
      <c r="Z165" s="85"/>
      <c r="AA165" s="23"/>
      <c r="AB165" s="411"/>
      <c r="AC165" s="412"/>
      <c r="AD165" s="412"/>
      <c r="AE165" s="412"/>
      <c r="AF165" s="412"/>
      <c r="AG165" s="412"/>
      <c r="AH165" s="412"/>
      <c r="AI165" s="412"/>
      <c r="AJ165" s="412"/>
      <c r="AK165" s="412"/>
      <c r="AL165" s="412"/>
      <c r="AM165" s="412"/>
      <c r="AN165" s="412"/>
      <c r="AO165" s="413"/>
      <c r="AP165" s="20"/>
      <c r="AQ165" s="131"/>
    </row>
    <row r="166" spans="1:43" ht="16.5">
      <c r="B166" s="185" t="s">
        <v>126</v>
      </c>
      <c r="C166" s="73"/>
      <c r="D166" s="73"/>
      <c r="E166" s="73"/>
      <c r="F166" s="73"/>
      <c r="G166" s="73"/>
      <c r="H166" s="73"/>
      <c r="I166" s="73"/>
      <c r="J166" s="73"/>
      <c r="K166" s="73"/>
      <c r="L166" s="73"/>
      <c r="M166" s="73"/>
      <c r="N166" s="73"/>
      <c r="O166" s="73"/>
      <c r="P166" s="73"/>
      <c r="Q166" s="73"/>
      <c r="R166" s="73"/>
      <c r="S166" s="73"/>
      <c r="T166" s="73"/>
      <c r="U166" s="73"/>
      <c r="V166" s="73"/>
      <c r="W166" s="73"/>
      <c r="X166" s="73"/>
      <c r="Y166" s="73"/>
      <c r="Z166" s="85"/>
      <c r="AA166" s="23"/>
      <c r="AB166" s="39"/>
      <c r="AC166" s="39"/>
      <c r="AD166" s="39"/>
      <c r="AE166" s="39"/>
      <c r="AF166" s="39"/>
      <c r="AG166" s="39"/>
      <c r="AH166" s="39"/>
      <c r="AI166" s="39"/>
      <c r="AJ166" s="39"/>
      <c r="AK166" s="39"/>
      <c r="AL166" s="39"/>
      <c r="AM166" s="39"/>
      <c r="AN166" s="39"/>
      <c r="AO166" s="39"/>
      <c r="AP166" s="20"/>
      <c r="AQ166" s="24"/>
    </row>
    <row r="167" spans="1:43" ht="16.5">
      <c r="B167" s="400" t="s">
        <v>333</v>
      </c>
      <c r="C167" s="401"/>
      <c r="D167" s="401"/>
      <c r="E167" s="401"/>
      <c r="F167" s="401"/>
      <c r="G167" s="401"/>
      <c r="H167" s="401"/>
      <c r="I167" s="401"/>
      <c r="J167" s="401"/>
      <c r="K167" s="401"/>
      <c r="L167" s="401"/>
      <c r="M167" s="401"/>
      <c r="N167" s="401"/>
      <c r="O167" s="401"/>
      <c r="P167" s="401"/>
      <c r="Q167" s="401"/>
      <c r="R167" s="401"/>
      <c r="S167" s="401"/>
      <c r="T167" s="401"/>
      <c r="U167" s="401"/>
      <c r="V167" s="401"/>
      <c r="W167" s="401"/>
      <c r="X167" s="401"/>
      <c r="Y167" s="402"/>
      <c r="Z167" s="85"/>
      <c r="AA167" s="23"/>
      <c r="AB167" s="365" t="s">
        <v>136</v>
      </c>
      <c r="AC167" s="366"/>
      <c r="AD167" s="366"/>
      <c r="AE167" s="366"/>
      <c r="AF167" s="366"/>
      <c r="AG167" s="366"/>
      <c r="AH167" s="367"/>
      <c r="AI167" s="368" t="s">
        <v>213</v>
      </c>
      <c r="AJ167" s="369"/>
      <c r="AK167" s="369"/>
      <c r="AL167" s="369"/>
      <c r="AM167" s="369"/>
      <c r="AN167" s="369"/>
      <c r="AO167" s="370"/>
      <c r="AP167" s="20"/>
      <c r="AQ167" s="131"/>
    </row>
    <row r="168" spans="1:43" ht="16.5">
      <c r="B168" s="403"/>
      <c r="C168" s="404"/>
      <c r="D168" s="404"/>
      <c r="E168" s="404"/>
      <c r="F168" s="404"/>
      <c r="G168" s="404"/>
      <c r="H168" s="404"/>
      <c r="I168" s="404"/>
      <c r="J168" s="404"/>
      <c r="K168" s="404"/>
      <c r="L168" s="404"/>
      <c r="M168" s="404"/>
      <c r="N168" s="404"/>
      <c r="O168" s="404"/>
      <c r="P168" s="404"/>
      <c r="Q168" s="404"/>
      <c r="R168" s="404"/>
      <c r="S168" s="404"/>
      <c r="T168" s="404"/>
      <c r="U168" s="404"/>
      <c r="V168" s="404"/>
      <c r="W168" s="404"/>
      <c r="X168" s="404"/>
      <c r="Y168" s="405"/>
      <c r="Z168" s="85"/>
      <c r="AA168" s="23"/>
      <c r="AB168" s="150" t="s">
        <v>1</v>
      </c>
      <c r="AC168" s="363" t="s">
        <v>128</v>
      </c>
      <c r="AD168" s="363"/>
      <c r="AE168" s="363"/>
      <c r="AF168" s="363"/>
      <c r="AG168" s="363"/>
      <c r="AH168" s="363"/>
      <c r="AI168" s="150" t="s">
        <v>1</v>
      </c>
      <c r="AJ168" s="363" t="s">
        <v>128</v>
      </c>
      <c r="AK168" s="363"/>
      <c r="AL168" s="363"/>
      <c r="AM168" s="363"/>
      <c r="AN168" s="363"/>
      <c r="AO168" s="363"/>
      <c r="AP168" s="20"/>
      <c r="AQ168" s="131"/>
    </row>
    <row r="169" spans="1:43" ht="16.5">
      <c r="B169" s="186"/>
      <c r="C169" s="187"/>
      <c r="D169" s="187"/>
      <c r="E169" s="187"/>
      <c r="F169" s="187"/>
      <c r="G169" s="187"/>
      <c r="H169" s="187"/>
      <c r="I169" s="187"/>
      <c r="J169" s="187"/>
      <c r="K169" s="187"/>
      <c r="L169" s="187"/>
      <c r="M169" s="187"/>
      <c r="N169" s="187"/>
      <c r="O169" s="187"/>
      <c r="P169" s="187"/>
      <c r="Q169" s="187"/>
      <c r="R169" s="187"/>
      <c r="S169" s="187"/>
      <c r="T169" s="187"/>
      <c r="U169" s="187"/>
      <c r="V169" s="187"/>
      <c r="W169" s="187"/>
      <c r="X169" s="187"/>
      <c r="Y169" s="187"/>
      <c r="Z169" s="188"/>
      <c r="AA169" s="23"/>
      <c r="AB169" s="151"/>
      <c r="AC169" s="364" t="s">
        <v>129</v>
      </c>
      <c r="AD169" s="364"/>
      <c r="AE169" s="364"/>
      <c r="AF169" s="364"/>
      <c r="AG169" s="364"/>
      <c r="AH169" s="364"/>
      <c r="AI169" s="151"/>
      <c r="AJ169" s="364" t="s">
        <v>129</v>
      </c>
      <c r="AK169" s="364"/>
      <c r="AL169" s="364"/>
      <c r="AM169" s="364"/>
      <c r="AN169" s="364"/>
      <c r="AO169" s="364"/>
      <c r="AP169" s="20"/>
      <c r="AQ169" s="24"/>
    </row>
    <row r="170" spans="1:43" ht="16.5">
      <c r="B170" s="40" t="s">
        <v>76</v>
      </c>
      <c r="C170" s="39"/>
      <c r="D170" s="39"/>
      <c r="E170" s="39"/>
      <c r="F170" s="39"/>
      <c r="G170" s="39"/>
      <c r="H170" s="39"/>
      <c r="I170" s="39"/>
      <c r="J170" s="39"/>
      <c r="K170" s="39"/>
      <c r="L170" s="39"/>
      <c r="M170" s="39"/>
      <c r="N170" s="39"/>
      <c r="O170" s="39"/>
      <c r="P170" s="39"/>
      <c r="Q170" s="39"/>
      <c r="R170" s="39"/>
      <c r="S170" s="39"/>
      <c r="T170" s="39"/>
      <c r="U170" s="39"/>
      <c r="V170" s="39"/>
      <c r="W170" s="39"/>
      <c r="X170" s="39"/>
      <c r="Y170" s="39"/>
      <c r="Z170" s="85"/>
      <c r="AA170" s="23"/>
      <c r="AB170" s="150" t="s">
        <v>2</v>
      </c>
      <c r="AC170" s="363" t="s">
        <v>128</v>
      </c>
      <c r="AD170" s="363"/>
      <c r="AE170" s="363"/>
      <c r="AF170" s="363"/>
      <c r="AG170" s="363"/>
      <c r="AH170" s="363"/>
      <c r="AI170" s="150" t="s">
        <v>2</v>
      </c>
      <c r="AJ170" s="363" t="s">
        <v>128</v>
      </c>
      <c r="AK170" s="363"/>
      <c r="AL170" s="363"/>
      <c r="AM170" s="363"/>
      <c r="AN170" s="363"/>
      <c r="AO170" s="363"/>
      <c r="AP170" s="20"/>
      <c r="AQ170" s="131"/>
    </row>
    <row r="171" spans="1:43" ht="16.5">
      <c r="A171" s="2"/>
      <c r="B171" s="40"/>
      <c r="C171" s="39"/>
      <c r="D171" s="39"/>
      <c r="E171" s="39"/>
      <c r="F171" s="38"/>
      <c r="G171" s="38"/>
      <c r="H171" s="38"/>
      <c r="I171" s="38"/>
      <c r="J171" s="38"/>
      <c r="K171" s="38"/>
      <c r="L171" s="38"/>
      <c r="M171" s="38"/>
      <c r="N171" s="39"/>
      <c r="O171" s="39"/>
      <c r="P171" s="39"/>
      <c r="Q171" s="39"/>
      <c r="R171" s="39"/>
      <c r="S171" s="39"/>
      <c r="T171" s="39"/>
      <c r="U171" s="39"/>
      <c r="V171" s="39"/>
      <c r="W171" s="39"/>
      <c r="X171" s="39"/>
      <c r="Y171" s="39"/>
      <c r="Z171" s="85"/>
      <c r="AA171" s="23"/>
      <c r="AB171" s="151"/>
      <c r="AC171" s="364" t="s">
        <v>129</v>
      </c>
      <c r="AD171" s="364"/>
      <c r="AE171" s="364"/>
      <c r="AF171" s="364"/>
      <c r="AG171" s="364"/>
      <c r="AH171" s="364"/>
      <c r="AI171" s="151"/>
      <c r="AJ171" s="364" t="s">
        <v>129</v>
      </c>
      <c r="AK171" s="364"/>
      <c r="AL171" s="364"/>
      <c r="AM171" s="364"/>
      <c r="AN171" s="364"/>
      <c r="AO171" s="364"/>
      <c r="AP171" s="20"/>
      <c r="AQ171" s="24"/>
    </row>
    <row r="172" spans="1:43" ht="16.5">
      <c r="A172" s="2"/>
      <c r="B172" s="31" t="s">
        <v>83</v>
      </c>
      <c r="C172" s="39"/>
      <c r="D172" s="189"/>
      <c r="E172" s="189" t="s">
        <v>40</v>
      </c>
      <c r="F172" s="602" t="s">
        <v>310</v>
      </c>
      <c r="G172" s="602"/>
      <c r="H172" s="602"/>
      <c r="I172" s="602"/>
      <c r="J172" s="602"/>
      <c r="K172" s="602"/>
      <c r="L172" s="602"/>
      <c r="M172" s="602"/>
      <c r="N172" s="190"/>
      <c r="O172" s="189" t="s">
        <v>35</v>
      </c>
      <c r="P172" s="601" t="s">
        <v>394</v>
      </c>
      <c r="Q172" s="602"/>
      <c r="R172" s="602"/>
      <c r="S172" s="39"/>
      <c r="T172" s="36"/>
      <c r="U172" s="36" t="s">
        <v>41</v>
      </c>
      <c r="V172" s="638"/>
      <c r="W172" s="638"/>
      <c r="X172" s="638"/>
      <c r="Y172" s="638"/>
      <c r="Z172" s="85"/>
      <c r="AA172" s="23"/>
      <c r="AB172" s="150" t="s">
        <v>3</v>
      </c>
      <c r="AC172" s="363" t="s">
        <v>128</v>
      </c>
      <c r="AD172" s="363"/>
      <c r="AE172" s="363"/>
      <c r="AF172" s="363"/>
      <c r="AG172" s="363"/>
      <c r="AH172" s="363"/>
      <c r="AI172" s="150" t="s">
        <v>3</v>
      </c>
      <c r="AJ172" s="363" t="s">
        <v>128</v>
      </c>
      <c r="AK172" s="363"/>
      <c r="AL172" s="363"/>
      <c r="AM172" s="363"/>
      <c r="AN172" s="363"/>
      <c r="AO172" s="363"/>
      <c r="AP172" s="20"/>
      <c r="AQ172" s="131"/>
    </row>
    <row r="173" spans="1:43" ht="16.5">
      <c r="A173" s="2"/>
      <c r="B173" s="40"/>
      <c r="C173" s="39"/>
      <c r="D173" s="39"/>
      <c r="E173" s="39"/>
      <c r="F173" s="38"/>
      <c r="G173" s="38"/>
      <c r="H173" s="38"/>
      <c r="I173" s="38"/>
      <c r="J173" s="38"/>
      <c r="K173" s="191"/>
      <c r="L173" s="191"/>
      <c r="M173" s="38"/>
      <c r="N173" s="39"/>
      <c r="O173" s="39"/>
      <c r="P173" s="39"/>
      <c r="Q173" s="39"/>
      <c r="R173" s="39"/>
      <c r="S173" s="39"/>
      <c r="T173" s="39"/>
      <c r="U173" s="39"/>
      <c r="V173" s="39"/>
      <c r="W173" s="39"/>
      <c r="X173" s="39"/>
      <c r="Y173" s="39"/>
      <c r="Z173" s="85"/>
      <c r="AA173" s="23"/>
      <c r="AB173" s="151"/>
      <c r="AC173" s="364" t="s">
        <v>129</v>
      </c>
      <c r="AD173" s="364"/>
      <c r="AE173" s="364"/>
      <c r="AF173" s="364"/>
      <c r="AG173" s="364"/>
      <c r="AH173" s="364"/>
      <c r="AI173" s="151"/>
      <c r="AJ173" s="364" t="s">
        <v>129</v>
      </c>
      <c r="AK173" s="364"/>
      <c r="AL173" s="364"/>
      <c r="AM173" s="364"/>
      <c r="AN173" s="364"/>
      <c r="AO173" s="364"/>
      <c r="AP173" s="20"/>
      <c r="AQ173" s="24"/>
    </row>
    <row r="174" spans="1:43" ht="16.5" customHeight="1">
      <c r="A174" s="2"/>
      <c r="B174" s="636" t="s">
        <v>20</v>
      </c>
      <c r="C174" s="637"/>
      <c r="D174" s="39"/>
      <c r="E174" s="189" t="s">
        <v>40</v>
      </c>
      <c r="F174" s="602" t="s">
        <v>310</v>
      </c>
      <c r="G174" s="602"/>
      <c r="H174" s="602"/>
      <c r="I174" s="602"/>
      <c r="J174" s="602"/>
      <c r="K174" s="602"/>
      <c r="L174" s="602"/>
      <c r="M174" s="602"/>
      <c r="N174" s="39"/>
      <c r="O174" s="36" t="s">
        <v>35</v>
      </c>
      <c r="P174" s="601" t="s">
        <v>394</v>
      </c>
      <c r="Q174" s="602"/>
      <c r="R174" s="602"/>
      <c r="S174" s="39"/>
      <c r="T174" s="36"/>
      <c r="U174" s="36" t="s">
        <v>41</v>
      </c>
      <c r="V174" s="638"/>
      <c r="W174" s="638"/>
      <c r="X174" s="638"/>
      <c r="Y174" s="638"/>
      <c r="Z174" s="85"/>
      <c r="AA174" s="23"/>
      <c r="AB174" s="150" t="s">
        <v>4</v>
      </c>
      <c r="AC174" s="392" t="s">
        <v>128</v>
      </c>
      <c r="AD174" s="387"/>
      <c r="AE174" s="387"/>
      <c r="AF174" s="387"/>
      <c r="AG174" s="387"/>
      <c r="AH174" s="388"/>
      <c r="AI174" s="150" t="s">
        <v>4</v>
      </c>
      <c r="AJ174" s="392" t="s">
        <v>128</v>
      </c>
      <c r="AK174" s="387"/>
      <c r="AL174" s="387"/>
      <c r="AM174" s="387"/>
      <c r="AN174" s="387"/>
      <c r="AO174" s="388"/>
      <c r="AP174" s="20"/>
      <c r="AQ174" s="131"/>
    </row>
    <row r="175" spans="1:43" ht="16.5">
      <c r="A175" s="2"/>
      <c r="B175" s="192"/>
      <c r="C175" s="193"/>
      <c r="D175" s="39"/>
      <c r="E175" s="189"/>
      <c r="F175" s="194"/>
      <c r="G175" s="194"/>
      <c r="H175" s="194"/>
      <c r="I175" s="194"/>
      <c r="J175" s="194"/>
      <c r="K175" s="194"/>
      <c r="L175" s="194"/>
      <c r="M175" s="194"/>
      <c r="N175" s="39"/>
      <c r="O175" s="36"/>
      <c r="P175" s="194"/>
      <c r="Q175" s="194"/>
      <c r="R175" s="194"/>
      <c r="S175" s="39"/>
      <c r="T175" s="36"/>
      <c r="U175" s="36"/>
      <c r="V175" s="38"/>
      <c r="W175" s="38"/>
      <c r="X175" s="38"/>
      <c r="Y175" s="38"/>
      <c r="Z175" s="85"/>
      <c r="AA175" s="23"/>
      <c r="AB175" s="151"/>
      <c r="AC175" s="371" t="s">
        <v>129</v>
      </c>
      <c r="AD175" s="372"/>
      <c r="AE175" s="372"/>
      <c r="AF175" s="372"/>
      <c r="AG175" s="372"/>
      <c r="AH175" s="373"/>
      <c r="AI175" s="151"/>
      <c r="AJ175" s="371" t="s">
        <v>129</v>
      </c>
      <c r="AK175" s="372"/>
      <c r="AL175" s="372"/>
      <c r="AM175" s="372"/>
      <c r="AN175" s="372"/>
      <c r="AO175" s="373"/>
      <c r="AP175" s="20"/>
      <c r="AQ175" s="24"/>
    </row>
    <row r="176" spans="1:43" ht="16.5" customHeight="1">
      <c r="A176" s="2"/>
      <c r="B176" s="636" t="s">
        <v>47</v>
      </c>
      <c r="C176" s="637"/>
      <c r="D176" s="39"/>
      <c r="E176" s="189" t="s">
        <v>40</v>
      </c>
      <c r="F176" s="602" t="s">
        <v>313</v>
      </c>
      <c r="G176" s="602"/>
      <c r="H176" s="602"/>
      <c r="I176" s="602"/>
      <c r="J176" s="602"/>
      <c r="K176" s="602"/>
      <c r="L176" s="602"/>
      <c r="M176" s="602"/>
      <c r="N176" s="39"/>
      <c r="O176" s="36" t="s">
        <v>35</v>
      </c>
      <c r="P176" s="601" t="s">
        <v>394</v>
      </c>
      <c r="Q176" s="602"/>
      <c r="R176" s="602"/>
      <c r="S176" s="39"/>
      <c r="T176" s="36"/>
      <c r="U176" s="36" t="s">
        <v>41</v>
      </c>
      <c r="V176" s="638"/>
      <c r="W176" s="638"/>
      <c r="X176" s="638"/>
      <c r="Y176" s="638"/>
      <c r="Z176" s="85"/>
      <c r="AA176" s="23"/>
      <c r="AB176" s="154" t="s">
        <v>5</v>
      </c>
      <c r="AC176" s="374" t="s">
        <v>128</v>
      </c>
      <c r="AD176" s="375"/>
      <c r="AE176" s="375"/>
      <c r="AF176" s="375"/>
      <c r="AG176" s="375"/>
      <c r="AH176" s="376"/>
      <c r="AI176" s="154" t="s">
        <v>5</v>
      </c>
      <c r="AJ176" s="374" t="s">
        <v>128</v>
      </c>
      <c r="AK176" s="375"/>
      <c r="AL176" s="375"/>
      <c r="AM176" s="375"/>
      <c r="AN176" s="375"/>
      <c r="AO176" s="376"/>
      <c r="AP176" s="20"/>
      <c r="AQ176" s="131"/>
    </row>
    <row r="177" spans="1:43" ht="16.5">
      <c r="A177" s="2"/>
      <c r="B177" s="40"/>
      <c r="C177" s="39"/>
      <c r="D177" s="39"/>
      <c r="E177" s="39"/>
      <c r="F177" s="38"/>
      <c r="G177" s="38"/>
      <c r="H177" s="38"/>
      <c r="I177" s="38"/>
      <c r="J177" s="38"/>
      <c r="K177" s="191"/>
      <c r="L177" s="191"/>
      <c r="M177" s="38"/>
      <c r="N177" s="39"/>
      <c r="O177" s="39"/>
      <c r="P177" s="39"/>
      <c r="Q177" s="39"/>
      <c r="R177" s="39"/>
      <c r="S177" s="39"/>
      <c r="T177" s="39"/>
      <c r="U177" s="39"/>
      <c r="V177" s="39"/>
      <c r="W177" s="39"/>
      <c r="X177" s="39"/>
      <c r="Y177" s="39"/>
      <c r="Z177" s="85"/>
      <c r="AA177" s="23"/>
      <c r="AB177" s="151"/>
      <c r="AC177" s="371" t="s">
        <v>129</v>
      </c>
      <c r="AD177" s="372"/>
      <c r="AE177" s="372"/>
      <c r="AF177" s="372"/>
      <c r="AG177" s="372"/>
      <c r="AH177" s="373"/>
      <c r="AI177" s="151"/>
      <c r="AJ177" s="371" t="s">
        <v>129</v>
      </c>
      <c r="AK177" s="372"/>
      <c r="AL177" s="372"/>
      <c r="AM177" s="372"/>
      <c r="AN177" s="372"/>
      <c r="AO177" s="373"/>
      <c r="AP177" s="20"/>
      <c r="AQ177" s="24"/>
    </row>
    <row r="178" spans="1:43" ht="16.5">
      <c r="A178" s="2"/>
      <c r="B178" s="155"/>
      <c r="C178" s="79"/>
      <c r="D178" s="79"/>
      <c r="E178" s="79"/>
      <c r="F178" s="79"/>
      <c r="G178" s="79"/>
      <c r="H178" s="79"/>
      <c r="I178" s="79"/>
      <c r="J178" s="79"/>
      <c r="K178" s="195"/>
      <c r="L178" s="195"/>
      <c r="M178" s="195"/>
      <c r="N178" s="79"/>
      <c r="O178" s="79"/>
      <c r="P178" s="79"/>
      <c r="Q178" s="79"/>
      <c r="R178" s="79"/>
      <c r="S178" s="79"/>
      <c r="T178" s="79"/>
      <c r="U178" s="79"/>
      <c r="V178" s="79"/>
      <c r="W178" s="79"/>
      <c r="X178" s="79"/>
      <c r="Y178" s="79"/>
      <c r="Z178" s="147"/>
      <c r="AA178" s="196"/>
      <c r="AB178" s="197"/>
      <c r="AC178" s="197"/>
      <c r="AD178" s="197"/>
      <c r="AE178" s="197"/>
      <c r="AF178" s="197"/>
      <c r="AG178" s="197"/>
      <c r="AH178" s="197"/>
      <c r="AI178" s="197"/>
      <c r="AJ178" s="197"/>
      <c r="AK178" s="197"/>
      <c r="AL178" s="197"/>
      <c r="AM178" s="197"/>
      <c r="AN178" s="197"/>
      <c r="AO178" s="197"/>
      <c r="AP178" s="197"/>
      <c r="AQ178" s="198"/>
    </row>
  </sheetData>
  <mergeCells count="500">
    <mergeCell ref="B135:D139"/>
    <mergeCell ref="V119:W119"/>
    <mergeCell ref="X119:Y119"/>
    <mergeCell ref="V124:W124"/>
    <mergeCell ref="X124:Y124"/>
    <mergeCell ref="B118:D118"/>
    <mergeCell ref="B119:D123"/>
    <mergeCell ref="B140:D144"/>
    <mergeCell ref="B134:D134"/>
    <mergeCell ref="E92:M95"/>
    <mergeCell ref="N92:U95"/>
    <mergeCell ref="E97:M100"/>
    <mergeCell ref="N97:U100"/>
    <mergeCell ref="E119:M121"/>
    <mergeCell ref="N119:U121"/>
    <mergeCell ref="E124:M126"/>
    <mergeCell ref="N124:U126"/>
    <mergeCell ref="V95:Y95"/>
    <mergeCell ref="V96:Y96"/>
    <mergeCell ref="V99:Y99"/>
    <mergeCell ref="V100:Y100"/>
    <mergeCell ref="V101:Y101"/>
    <mergeCell ref="E118:M118"/>
    <mergeCell ref="N118:U118"/>
    <mergeCell ref="B103:Y103"/>
    <mergeCell ref="E123:M123"/>
    <mergeCell ref="N123:U123"/>
    <mergeCell ref="B124:D128"/>
    <mergeCell ref="B112:Y113"/>
    <mergeCell ref="V118:W118"/>
    <mergeCell ref="AB114:AH115"/>
    <mergeCell ref="AI114:AO115"/>
    <mergeCell ref="AB131:AH132"/>
    <mergeCell ref="AI131:AO132"/>
    <mergeCell ref="X140:Y140"/>
    <mergeCell ref="AJ121:AO121"/>
    <mergeCell ref="AJ122:AO122"/>
    <mergeCell ref="AJ123:AO123"/>
    <mergeCell ref="AJ124:AO124"/>
    <mergeCell ref="AC125:AH125"/>
    <mergeCell ref="AC126:AH126"/>
    <mergeCell ref="AC127:AH127"/>
    <mergeCell ref="AC128:AH128"/>
    <mergeCell ref="AJ125:AO125"/>
    <mergeCell ref="AJ126:AO126"/>
    <mergeCell ref="AC139:AH139"/>
    <mergeCell ref="AJ139:AO139"/>
    <mergeCell ref="AC140:AH140"/>
    <mergeCell ref="AJ140:AO140"/>
    <mergeCell ref="X118:Y118"/>
    <mergeCell ref="AC120:AH120"/>
    <mergeCell ref="AJ119:AO119"/>
    <mergeCell ref="AJ120:AO120"/>
    <mergeCell ref="AC121:AH121"/>
    <mergeCell ref="AB100:AP102"/>
    <mergeCell ref="AB99:AP99"/>
    <mergeCell ref="AB96:AB97"/>
    <mergeCell ref="AE96:AE97"/>
    <mergeCell ref="AH96:AH97"/>
    <mergeCell ref="E96:M96"/>
    <mergeCell ref="AI43:AN43"/>
    <mergeCell ref="AH43:AH46"/>
    <mergeCell ref="AC43:AG43"/>
    <mergeCell ref="X76:Y76"/>
    <mergeCell ref="J77:K77"/>
    <mergeCell ref="E73:F73"/>
    <mergeCell ref="V72:W72"/>
    <mergeCell ref="X72:Y72"/>
    <mergeCell ref="B65:F65"/>
    <mergeCell ref="F60:Y60"/>
    <mergeCell ref="B60:E60"/>
    <mergeCell ref="B68:G68"/>
    <mergeCell ref="B66:F66"/>
    <mergeCell ref="H66:J66"/>
    <mergeCell ref="K66:Y66"/>
    <mergeCell ref="C77:D77"/>
    <mergeCell ref="F54:Y54"/>
    <mergeCell ref="F55:Y55"/>
    <mergeCell ref="AI25:AN41"/>
    <mergeCell ref="AH25:AH41"/>
    <mergeCell ref="AC25:AG41"/>
    <mergeCell ref="AA55:AQ55"/>
    <mergeCell ref="AO77:AO92"/>
    <mergeCell ref="AG87:AI88"/>
    <mergeCell ref="AL87:AN88"/>
    <mergeCell ref="AB89:AD90"/>
    <mergeCell ref="AG89:AI90"/>
    <mergeCell ref="AL89:AN90"/>
    <mergeCell ref="AB91:AD92"/>
    <mergeCell ref="AG91:AI92"/>
    <mergeCell ref="AL91:AN92"/>
    <mergeCell ref="AO56:AO71"/>
    <mergeCell ref="AB58:AD59"/>
    <mergeCell ref="AG58:AI59"/>
    <mergeCell ref="AL58:AN59"/>
    <mergeCell ref="AB60:AD61"/>
    <mergeCell ref="AB85:AD86"/>
    <mergeCell ref="AI44:AN46"/>
    <mergeCell ref="AC44:AG46"/>
    <mergeCell ref="AL85:AN86"/>
    <mergeCell ref="AB87:AD88"/>
    <mergeCell ref="AB56:AD57"/>
    <mergeCell ref="B176:C176"/>
    <mergeCell ref="F176:M176"/>
    <mergeCell ref="P176:R176"/>
    <mergeCell ref="V176:Y176"/>
    <mergeCell ref="B174:C174"/>
    <mergeCell ref="F174:M174"/>
    <mergeCell ref="P174:R174"/>
    <mergeCell ref="V174:Y174"/>
    <mergeCell ref="F172:M172"/>
    <mergeCell ref="P172:R172"/>
    <mergeCell ref="V172:Y172"/>
    <mergeCell ref="AE56:AE71"/>
    <mergeCell ref="B57:Y58"/>
    <mergeCell ref="V74:W74"/>
    <mergeCell ref="X74:Y74"/>
    <mergeCell ref="J73:K73"/>
    <mergeCell ref="R73:S73"/>
    <mergeCell ref="V73:W73"/>
    <mergeCell ref="H68:Y68"/>
    <mergeCell ref="G72:I72"/>
    <mergeCell ref="B56:Y56"/>
    <mergeCell ref="C72:D72"/>
    <mergeCell ref="E72:F72"/>
    <mergeCell ref="C74:D74"/>
    <mergeCell ref="E74:F74"/>
    <mergeCell ref="J72:K72"/>
    <mergeCell ref="L72:M72"/>
    <mergeCell ref="R72:S72"/>
    <mergeCell ref="B71:Y71"/>
    <mergeCell ref="P74:Q74"/>
    <mergeCell ref="N73:O73"/>
    <mergeCell ref="L73:M73"/>
    <mergeCell ref="J74:K74"/>
    <mergeCell ref="G73:I73"/>
    <mergeCell ref="E77:F77"/>
    <mergeCell ref="R77:S77"/>
    <mergeCell ref="R76:S76"/>
    <mergeCell ref="E75:F75"/>
    <mergeCell ref="E76:F76"/>
    <mergeCell ref="C73:D73"/>
    <mergeCell ref="C76:D76"/>
    <mergeCell ref="E78:F78"/>
    <mergeCell ref="P73:Q73"/>
    <mergeCell ref="AG85:AI86"/>
    <mergeCell ref="V94:Y94"/>
    <mergeCell ref="E165:G165"/>
    <mergeCell ref="E156:J156"/>
    <mergeCell ref="B111:Y111"/>
    <mergeCell ref="B148:Y149"/>
    <mergeCell ref="V150:Y150"/>
    <mergeCell ref="B154:Y155"/>
    <mergeCell ref="V156:Y156"/>
    <mergeCell ref="V144:W144"/>
    <mergeCell ref="X144:Y144"/>
    <mergeCell ref="T143:U143"/>
    <mergeCell ref="T144:U144"/>
    <mergeCell ref="L144:S144"/>
    <mergeCell ref="B160:Y161"/>
    <mergeCell ref="E127:M127"/>
    <mergeCell ref="N96:U96"/>
    <mergeCell ref="B92:D96"/>
    <mergeCell ref="V135:W135"/>
    <mergeCell ref="B97:D101"/>
    <mergeCell ref="E101:M101"/>
    <mergeCell ref="N101:U101"/>
    <mergeCell ref="V97:Y97"/>
    <mergeCell ref="V98:Y98"/>
    <mergeCell ref="V25:Y25"/>
    <mergeCell ref="F33:M33"/>
    <mergeCell ref="B18:G28"/>
    <mergeCell ref="V27:Y27"/>
    <mergeCell ref="B31:E31"/>
    <mergeCell ref="N33:Q33"/>
    <mergeCell ref="V35:Y35"/>
    <mergeCell ref="V26:Y26"/>
    <mergeCell ref="H18:W22"/>
    <mergeCell ref="H23:W24"/>
    <mergeCell ref="K27:P27"/>
    <mergeCell ref="R30:Y30"/>
    <mergeCell ref="R31:Y31"/>
    <mergeCell ref="R32:Y32"/>
    <mergeCell ref="F30:M30"/>
    <mergeCell ref="F31:M31"/>
    <mergeCell ref="F32:M32"/>
    <mergeCell ref="H34:S34"/>
    <mergeCell ref="V34:Y34"/>
    <mergeCell ref="F51:Y51"/>
    <mergeCell ref="M45:O45"/>
    <mergeCell ref="F46:Y46"/>
    <mergeCell ref="O41:R41"/>
    <mergeCell ref="O42:R42"/>
    <mergeCell ref="O43:R43"/>
    <mergeCell ref="D43:H43"/>
    <mergeCell ref="J43:M43"/>
    <mergeCell ref="D41:H41"/>
    <mergeCell ref="D42:H42"/>
    <mergeCell ref="E47:Y47"/>
    <mergeCell ref="S41:U41"/>
    <mergeCell ref="S42:U42"/>
    <mergeCell ref="B47:D47"/>
    <mergeCell ref="S43:U43"/>
    <mergeCell ref="V43:Y43"/>
    <mergeCell ref="B51:D51"/>
    <mergeCell ref="V36:Y36"/>
    <mergeCell ref="H37:S37"/>
    <mergeCell ref="O40:R40"/>
    <mergeCell ref="G74:I74"/>
    <mergeCell ref="N74:O74"/>
    <mergeCell ref="N75:O75"/>
    <mergeCell ref="L75:M75"/>
    <mergeCell ref="P75:Q75"/>
    <mergeCell ref="R78:S78"/>
    <mergeCell ref="N76:O76"/>
    <mergeCell ref="V78:W78"/>
    <mergeCell ref="T76:U76"/>
    <mergeCell ref="L77:M77"/>
    <mergeCell ref="P76:Q76"/>
    <mergeCell ref="J78:K78"/>
    <mergeCell ref="L78:M78"/>
    <mergeCell ref="G76:I76"/>
    <mergeCell ref="G75:I75"/>
    <mergeCell ref="H65:J65"/>
    <mergeCell ref="K65:Y65"/>
    <mergeCell ref="B70:Y70"/>
    <mergeCell ref="J75:K75"/>
    <mergeCell ref="B59:Y59"/>
    <mergeCell ref="F50:Y50"/>
    <mergeCell ref="B107:Y108"/>
    <mergeCell ref="B106:Y106"/>
    <mergeCell ref="C75:D75"/>
    <mergeCell ref="G77:I77"/>
    <mergeCell ref="G82:I82"/>
    <mergeCell ref="J81:K81"/>
    <mergeCell ref="T81:U81"/>
    <mergeCell ref="T82:U82"/>
    <mergeCell ref="L80:M80"/>
    <mergeCell ref="R80:S80"/>
    <mergeCell ref="R81:S81"/>
    <mergeCell ref="X78:Y78"/>
    <mergeCell ref="V77:W77"/>
    <mergeCell ref="X77:Y77"/>
    <mergeCell ref="J76:K76"/>
    <mergeCell ref="R79:S79"/>
    <mergeCell ref="J79:K79"/>
    <mergeCell ref="L79:M79"/>
    <mergeCell ref="E79:F79"/>
    <mergeCell ref="C78:D78"/>
    <mergeCell ref="C79:D79"/>
    <mergeCell ref="T78:U78"/>
    <mergeCell ref="P79:Q79"/>
    <mergeCell ref="T79:U79"/>
    <mergeCell ref="B85:Y86"/>
    <mergeCell ref="L81:M81"/>
    <mergeCell ref="V93:Y93"/>
    <mergeCell ref="L82:M82"/>
    <mergeCell ref="R82:S82"/>
    <mergeCell ref="V82:W82"/>
    <mergeCell ref="N91:U91"/>
    <mergeCell ref="V92:Y92"/>
    <mergeCell ref="X82:Y82"/>
    <mergeCell ref="B91:D91"/>
    <mergeCell ref="V91:Y91"/>
    <mergeCell ref="E82:F82"/>
    <mergeCell ref="E91:M91"/>
    <mergeCell ref="J82:K82"/>
    <mergeCell ref="C82:D82"/>
    <mergeCell ref="P81:Q81"/>
    <mergeCell ref="V81:W81"/>
    <mergeCell ref="X81:Y81"/>
    <mergeCell ref="N82:O82"/>
    <mergeCell ref="N81:O81"/>
    <mergeCell ref="P82:Q82"/>
    <mergeCell ref="B84:Y84"/>
    <mergeCell ref="C81:D81"/>
    <mergeCell ref="E81:F81"/>
    <mergeCell ref="AA18:AQ21"/>
    <mergeCell ref="R75:S75"/>
    <mergeCell ref="J39:M39"/>
    <mergeCell ref="J40:M40"/>
    <mergeCell ref="J41:M41"/>
    <mergeCell ref="J42:M42"/>
    <mergeCell ref="V39:Y39"/>
    <mergeCell ref="V40:Y40"/>
    <mergeCell ref="V41:Y41"/>
    <mergeCell ref="V42:Y42"/>
    <mergeCell ref="V75:W75"/>
    <mergeCell ref="X75:Y75"/>
    <mergeCell ref="X18:Z24"/>
    <mergeCell ref="H25:R25"/>
    <mergeCell ref="Z25:Z28"/>
    <mergeCell ref="K26:P26"/>
    <mergeCell ref="AQ56:AQ92"/>
    <mergeCell ref="AJ77:AJ92"/>
    <mergeCell ref="AL77:AN78"/>
    <mergeCell ref="AL79:AN80"/>
    <mergeCell ref="AB81:AD82"/>
    <mergeCell ref="AG81:AI82"/>
    <mergeCell ref="AB83:AD84"/>
    <mergeCell ref="AG83:AI84"/>
    <mergeCell ref="X80:Y80"/>
    <mergeCell ref="T80:U80"/>
    <mergeCell ref="L76:M76"/>
    <mergeCell ref="N77:O77"/>
    <mergeCell ref="N78:O78"/>
    <mergeCell ref="N79:O79"/>
    <mergeCell ref="P72:Q72"/>
    <mergeCell ref="N72:O72"/>
    <mergeCell ref="T72:U72"/>
    <mergeCell ref="P77:Q77"/>
    <mergeCell ref="P78:Q78"/>
    <mergeCell ref="V80:W80"/>
    <mergeCell ref="T74:U74"/>
    <mergeCell ref="T75:U75"/>
    <mergeCell ref="L74:M74"/>
    <mergeCell ref="R74:S74"/>
    <mergeCell ref="T73:U73"/>
    <mergeCell ref="V79:W79"/>
    <mergeCell ref="N80:O80"/>
    <mergeCell ref="P80:Q80"/>
    <mergeCell ref="X73:Y73"/>
    <mergeCell ref="V76:W76"/>
    <mergeCell ref="T77:U77"/>
    <mergeCell ref="AG79:AI80"/>
    <mergeCell ref="C80:D80"/>
    <mergeCell ref="X79:Y79"/>
    <mergeCell ref="J80:K80"/>
    <mergeCell ref="W28:Y28"/>
    <mergeCell ref="K28:O28"/>
    <mergeCell ref="S39:U39"/>
    <mergeCell ref="S40:U40"/>
    <mergeCell ref="O39:R39"/>
    <mergeCell ref="H35:S35"/>
    <mergeCell ref="V37:Y37"/>
    <mergeCell ref="R33:Y33"/>
    <mergeCell ref="D39:H39"/>
    <mergeCell ref="D40:H40"/>
    <mergeCell ref="P38:Y38"/>
    <mergeCell ref="H36:S36"/>
    <mergeCell ref="AB79:AD80"/>
    <mergeCell ref="F53:Y53"/>
    <mergeCell ref="B46:E46"/>
    <mergeCell ref="B48:Y49"/>
    <mergeCell ref="F52:Y52"/>
    <mergeCell ref="B62:Y63"/>
    <mergeCell ref="B61:Y61"/>
    <mergeCell ref="E80:F80"/>
    <mergeCell ref="AL83:AN84"/>
    <mergeCell ref="AG56:AI57"/>
    <mergeCell ref="AJ56:AJ71"/>
    <mergeCell ref="AL56:AN57"/>
    <mergeCell ref="AL60:AN61"/>
    <mergeCell ref="AB62:AD63"/>
    <mergeCell ref="AG62:AI63"/>
    <mergeCell ref="AL62:AN63"/>
    <mergeCell ref="AB64:AD65"/>
    <mergeCell ref="AG64:AI65"/>
    <mergeCell ref="AL64:AN65"/>
    <mergeCell ref="AB66:AD67"/>
    <mergeCell ref="AG66:AI67"/>
    <mergeCell ref="AL66:AN67"/>
    <mergeCell ref="AG60:AI61"/>
    <mergeCell ref="AL81:AN82"/>
    <mergeCell ref="AG68:AI69"/>
    <mergeCell ref="AL68:AN69"/>
    <mergeCell ref="AB70:AD71"/>
    <mergeCell ref="AG70:AI71"/>
    <mergeCell ref="AL70:AN71"/>
    <mergeCell ref="AB77:AD78"/>
    <mergeCell ref="AE77:AE92"/>
    <mergeCell ref="AG77:AI78"/>
    <mergeCell ref="AJ127:AO127"/>
    <mergeCell ref="AJ128:AO128"/>
    <mergeCell ref="X142:Y142"/>
    <mergeCell ref="V143:W143"/>
    <mergeCell ref="X143:Y143"/>
    <mergeCell ref="E139:K139"/>
    <mergeCell ref="T140:U140"/>
    <mergeCell ref="T141:U141"/>
    <mergeCell ref="T142:U142"/>
    <mergeCell ref="L140:S140"/>
    <mergeCell ref="L139:S139"/>
    <mergeCell ref="V140:W140"/>
    <mergeCell ref="T139:U139"/>
    <mergeCell ref="N127:U127"/>
    <mergeCell ref="E128:M128"/>
    <mergeCell ref="N128:U128"/>
    <mergeCell ref="L141:S143"/>
    <mergeCell ref="L135:S135"/>
    <mergeCell ref="T135:U135"/>
    <mergeCell ref="T136:U136"/>
    <mergeCell ref="V141:W141"/>
    <mergeCell ref="X141:Y141"/>
    <mergeCell ref="V142:W142"/>
    <mergeCell ref="AC122:AH122"/>
    <mergeCell ref="AC123:AH123"/>
    <mergeCell ref="AC124:AH124"/>
    <mergeCell ref="E134:K134"/>
    <mergeCell ref="X138:Y138"/>
    <mergeCell ref="L134:S134"/>
    <mergeCell ref="T134:U134"/>
    <mergeCell ref="E122:M122"/>
    <mergeCell ref="N122:U122"/>
    <mergeCell ref="X135:Y135"/>
    <mergeCell ref="V136:W136"/>
    <mergeCell ref="E135:K138"/>
    <mergeCell ref="L136:S138"/>
    <mergeCell ref="V134:W134"/>
    <mergeCell ref="X134:Y134"/>
    <mergeCell ref="AB167:AH167"/>
    <mergeCell ref="AI167:AO167"/>
    <mergeCell ref="AC168:AH168"/>
    <mergeCell ref="AJ168:AO168"/>
    <mergeCell ref="T137:U137"/>
    <mergeCell ref="T138:U138"/>
    <mergeCell ref="X136:Y136"/>
    <mergeCell ref="V137:W137"/>
    <mergeCell ref="X137:Y137"/>
    <mergeCell ref="V138:W138"/>
    <mergeCell ref="AJ137:AO137"/>
    <mergeCell ref="AC138:AH138"/>
    <mergeCell ref="AJ138:AO138"/>
    <mergeCell ref="B167:Y168"/>
    <mergeCell ref="V139:W139"/>
    <mergeCell ref="X139:Y139"/>
    <mergeCell ref="N156:P156"/>
    <mergeCell ref="AB148:AH149"/>
    <mergeCell ref="AI148:AO149"/>
    <mergeCell ref="AB164:AH165"/>
    <mergeCell ref="AI164:AO165"/>
    <mergeCell ref="B162:Y162"/>
    <mergeCell ref="E164:Y164"/>
    <mergeCell ref="E140:K143"/>
    <mergeCell ref="AC174:AH174"/>
    <mergeCell ref="AJ174:AO174"/>
    <mergeCell ref="AC175:AH175"/>
    <mergeCell ref="AJ175:AO175"/>
    <mergeCell ref="AC176:AH176"/>
    <mergeCell ref="AJ176:AO176"/>
    <mergeCell ref="AC177:AH177"/>
    <mergeCell ref="AJ177:AO177"/>
    <mergeCell ref="AC169:AH169"/>
    <mergeCell ref="AJ169:AO169"/>
    <mergeCell ref="AC170:AH170"/>
    <mergeCell ref="AJ170:AO170"/>
    <mergeCell ref="AC171:AH171"/>
    <mergeCell ref="AJ171:AO171"/>
    <mergeCell ref="AC172:AH172"/>
    <mergeCell ref="AJ172:AO172"/>
    <mergeCell ref="AC173:AH173"/>
    <mergeCell ref="AJ173:AO173"/>
    <mergeCell ref="AC159:AH159"/>
    <mergeCell ref="AJ159:AO159"/>
    <mergeCell ref="AC160:AH160"/>
    <mergeCell ref="AJ160:AO160"/>
    <mergeCell ref="AC161:AH161"/>
    <mergeCell ref="AJ161:AO161"/>
    <mergeCell ref="G78:I78"/>
    <mergeCell ref="G79:I79"/>
    <mergeCell ref="G80:I80"/>
    <mergeCell ref="G81:I81"/>
    <mergeCell ref="AC154:AH154"/>
    <mergeCell ref="AJ154:AO154"/>
    <mergeCell ref="AC155:AH155"/>
    <mergeCell ref="AJ155:AO155"/>
    <mergeCell ref="AC156:AH156"/>
    <mergeCell ref="AJ156:AO156"/>
    <mergeCell ref="AC157:AH157"/>
    <mergeCell ref="AJ157:AO157"/>
    <mergeCell ref="AC158:AH158"/>
    <mergeCell ref="AJ158:AO158"/>
    <mergeCell ref="AC141:AH141"/>
    <mergeCell ref="AJ141:AO141"/>
    <mergeCell ref="E144:K144"/>
    <mergeCell ref="AA106:AQ109"/>
    <mergeCell ref="B17:AB17"/>
    <mergeCell ref="AC152:AH152"/>
    <mergeCell ref="AJ152:AO152"/>
    <mergeCell ref="AC153:AH153"/>
    <mergeCell ref="AJ153:AO153"/>
    <mergeCell ref="AC136:AH136"/>
    <mergeCell ref="AJ136:AO136"/>
    <mergeCell ref="AB134:AH134"/>
    <mergeCell ref="AI134:AO134"/>
    <mergeCell ref="AC135:AH135"/>
    <mergeCell ref="AJ135:AO135"/>
    <mergeCell ref="AB151:AH151"/>
    <mergeCell ref="AI151:AO151"/>
    <mergeCell ref="AC142:AH142"/>
    <mergeCell ref="AJ142:AO142"/>
    <mergeCell ref="AC143:AH143"/>
    <mergeCell ref="AJ143:AO143"/>
    <mergeCell ref="AC144:AH144"/>
    <mergeCell ref="AJ144:AO144"/>
    <mergeCell ref="AC137:AH137"/>
    <mergeCell ref="AA51:AQ54"/>
    <mergeCell ref="AB118:AH118"/>
    <mergeCell ref="AI118:AO118"/>
    <mergeCell ref="AC119:AH119"/>
  </mergeCells>
  <phoneticPr fontId="56" type="noConversion"/>
  <conditionalFormatting sqref="B92 V92:V101 B97">
    <cfRule type="expression" dxfId="40" priority="115">
      <formula>B92=""</formula>
    </cfRule>
  </conditionalFormatting>
  <conditionalFormatting sqref="B107 H108:I108 O108:T108">
    <cfRule type="expression" dxfId="39" priority="114">
      <formula>B107=""</formula>
    </cfRule>
  </conditionalFormatting>
  <conditionalFormatting sqref="B119 E119 V119:V128 E122:E124 B124 E127:E128">
    <cfRule type="expression" dxfId="38" priority="34">
      <formula>B119=""</formula>
    </cfRule>
  </conditionalFormatting>
  <conditionalFormatting sqref="B135 B140">
    <cfRule type="expression" dxfId="37" priority="108">
      <formula>B135=""</formula>
    </cfRule>
  </conditionalFormatting>
  <conditionalFormatting sqref="B160:B161 H161:I161 O161:T161">
    <cfRule type="expression" dxfId="36" priority="100">
      <formula>B160=""</formula>
    </cfRule>
  </conditionalFormatting>
  <conditionalFormatting sqref="B167">
    <cfRule type="expression" dxfId="35" priority="99">
      <formula>B167=""</formula>
    </cfRule>
  </conditionalFormatting>
  <conditionalFormatting sqref="E92">
    <cfRule type="expression" dxfId="34" priority="3">
      <formula>E92=""</formula>
    </cfRule>
  </conditionalFormatting>
  <conditionalFormatting sqref="E96:E97 E101">
    <cfRule type="expression" dxfId="33" priority="4">
      <formula>E96=""</formula>
    </cfRule>
  </conditionalFormatting>
  <conditionalFormatting sqref="E164:E165">
    <cfRule type="expression" dxfId="32" priority="133">
      <formula>E164=""</formula>
    </cfRule>
  </conditionalFormatting>
  <conditionalFormatting sqref="E156:F156">
    <cfRule type="expression" dxfId="31" priority="138">
      <formula>E156=""</formula>
    </cfRule>
  </conditionalFormatting>
  <conditionalFormatting sqref="F50:F52">
    <cfRule type="expression" dxfId="30" priority="124">
      <formula>F50=""</formula>
    </cfRule>
  </conditionalFormatting>
  <conditionalFormatting sqref="F172:G172 L172:M172">
    <cfRule type="expression" dxfId="29" priority="131">
      <formula>F172=""</formula>
    </cfRule>
  </conditionalFormatting>
  <conditionalFormatting sqref="F174:G174 L174:M174">
    <cfRule type="expression" dxfId="28" priority="130">
      <formula>F174=""</formula>
    </cfRule>
  </conditionalFormatting>
  <conditionalFormatting sqref="F176:G176 L176:M176">
    <cfRule type="expression" dxfId="27" priority="129">
      <formula>F176=""</formula>
    </cfRule>
  </conditionalFormatting>
  <conditionalFormatting sqref="H34:S37 V34:Y37">
    <cfRule type="expression" dxfId="26" priority="125">
      <formula>H34=""</formula>
    </cfRule>
  </conditionalFormatting>
  <conditionalFormatting sqref="J42">
    <cfRule type="expression" dxfId="25" priority="39">
      <formula>J42=""</formula>
    </cfRule>
  </conditionalFormatting>
  <conditionalFormatting sqref="J39:M41">
    <cfRule type="expression" dxfId="24" priority="40">
      <formula>J39=""</formula>
    </cfRule>
  </conditionalFormatting>
  <conditionalFormatting sqref="J73:Y81">
    <cfRule type="expression" dxfId="23" priority="36">
      <formula>J73=""</formula>
    </cfRule>
  </conditionalFormatting>
  <conditionalFormatting sqref="N156:O156">
    <cfRule type="expression" dxfId="22" priority="137">
      <formula>N156=""</formula>
    </cfRule>
  </conditionalFormatting>
  <conditionalFormatting sqref="P172:Q172">
    <cfRule type="expression" dxfId="21" priority="128">
      <formula>P172=""</formula>
    </cfRule>
  </conditionalFormatting>
  <conditionalFormatting sqref="T135:T144">
    <cfRule type="expression" dxfId="20" priority="101">
      <formula>T135=""</formula>
    </cfRule>
  </conditionalFormatting>
  <conditionalFormatting sqref="V135:V144">
    <cfRule type="expression" dxfId="19" priority="105">
      <formula>V135=""</formula>
    </cfRule>
  </conditionalFormatting>
  <conditionalFormatting sqref="V150:W150">
    <cfRule type="expression" dxfId="18" priority="139">
      <formula>V150=""</formula>
    </cfRule>
  </conditionalFormatting>
  <conditionalFormatting sqref="V156:W156">
    <cfRule type="expression" dxfId="17" priority="136">
      <formula>V156=""</formula>
    </cfRule>
  </conditionalFormatting>
  <conditionalFormatting sqref="V25:Y27 K26:P27 F30:M33 R30:Y33 O39:R43 V39:Y43 J43:M43 B48 F53:Y55 B57 B62 G65:H66 K65:Y66 H68 B73:G74 B75:I81 B82:Y82 B85 B112 H113:I113 O113:T113 B148:B149 H149:I149 O149:T149 B154 I156 E165:F165 J172 J174 J176 D39:H43">
    <cfRule type="expression" dxfId="16" priority="561">
      <formula>B25=""</formula>
    </cfRule>
  </conditionalFormatting>
  <conditionalFormatting sqref="X135:X144">
    <cfRule type="expression" dxfId="15" priority="35">
      <formula>X135=""</formula>
    </cfRule>
  </conditionalFormatting>
  <conditionalFormatting sqref="AB100">
    <cfRule type="expression" dxfId="14" priority="122">
      <formula>AB100=""</formula>
    </cfRule>
  </conditionalFormatting>
  <conditionalFormatting sqref="AB114">
    <cfRule type="expression" dxfId="13" priority="88">
      <formula>AB114=""</formula>
    </cfRule>
  </conditionalFormatting>
  <conditionalFormatting sqref="AB131">
    <cfRule type="expression" dxfId="12" priority="46">
      <formula>AB131=""</formula>
    </cfRule>
  </conditionalFormatting>
  <conditionalFormatting sqref="AB148">
    <cfRule type="expression" dxfId="11" priority="44">
      <formula>AB148=""</formula>
    </cfRule>
  </conditionalFormatting>
  <conditionalFormatting sqref="AB164">
    <cfRule type="expression" dxfId="10" priority="42">
      <formula>AB164=""</formula>
    </cfRule>
  </conditionalFormatting>
  <conditionalFormatting sqref="AC119:AC128">
    <cfRule type="expression" dxfId="9" priority="5">
      <formula>AC119=""</formula>
    </cfRule>
  </conditionalFormatting>
  <conditionalFormatting sqref="AC135:AC144">
    <cfRule type="expression" dxfId="8" priority="80">
      <formula>AC135=""</formula>
    </cfRule>
  </conditionalFormatting>
  <conditionalFormatting sqref="AC152:AC161">
    <cfRule type="expression" dxfId="7" priority="70">
      <formula>AC152=""</formula>
    </cfRule>
  </conditionalFormatting>
  <conditionalFormatting sqref="AC168:AC177">
    <cfRule type="expression" dxfId="6" priority="60">
      <formula>AC168=""</formula>
    </cfRule>
  </conditionalFormatting>
  <conditionalFormatting sqref="AJ119:AJ128">
    <cfRule type="expression" dxfId="5" priority="25">
      <formula>AJ119=""</formula>
    </cfRule>
  </conditionalFormatting>
  <conditionalFormatting sqref="AJ135:AJ144">
    <cfRule type="expression" dxfId="4" priority="74">
      <formula>AJ135=""</formula>
    </cfRule>
  </conditionalFormatting>
  <conditionalFormatting sqref="AJ152:AJ161">
    <cfRule type="expression" dxfId="3" priority="64">
      <formula>AJ152=""</formula>
    </cfRule>
  </conditionalFormatting>
  <conditionalFormatting sqref="AJ168:AJ177">
    <cfRule type="expression" dxfId="2" priority="54">
      <formula>AJ168=""</formula>
    </cfRule>
  </conditionalFormatting>
  <conditionalFormatting sqref="P174:Q174">
    <cfRule type="expression" dxfId="1" priority="2">
      <formula>P174=""</formula>
    </cfRule>
  </conditionalFormatting>
  <conditionalFormatting sqref="P176:Q176">
    <cfRule type="expression" dxfId="0" priority="1">
      <formula>P176=""</formula>
    </cfRule>
  </conditionalFormatting>
  <hyperlinks>
    <hyperlink ref="V35" r:id="rId1" xr:uid="{00000000-0004-0000-0000-000000000000}"/>
    <hyperlink ref="V37" r:id="rId2" xr:uid="{00000000-0004-0000-0000-000001000000}"/>
    <hyperlink ref="J40" r:id="rId3" xr:uid="{00000000-0004-0000-0000-000002000000}"/>
    <hyperlink ref="J41" r:id="rId4" xr:uid="{00000000-0004-0000-0000-000003000000}"/>
    <hyperlink ref="J42" r:id="rId5" xr:uid="{00000000-0004-0000-0000-000004000000}"/>
    <hyperlink ref="J39" r:id="rId6" xr:uid="{00000000-0004-0000-0000-000005000000}"/>
  </hyperlinks>
  <printOptions horizontalCentered="1"/>
  <pageMargins left="0.19685039370078741" right="0.19685039370078741" top="1.9685039370078741" bottom="0.74803149606299213" header="0.31496062992125984" footer="0.31496062992125984"/>
  <pageSetup paperSize="8" scale="80" orientation="portrait" r:id="rId7"/>
  <headerFooter>
    <oddHeader>&amp;LQS_2362</oddHeader>
    <oddFooter>&amp;L&amp;Z
&amp;F&amp;R&amp;A_Készítette: András Éva / 2021.03.15., Jóváhagyta: Hartai Péter: 2021.03.15.</oddFooter>
  </headerFooter>
  <colBreaks count="1" manualBreakCount="1">
    <brk id="26" max="177" man="1"/>
  </colBreaks>
  <drawing r:id="rId8"/>
  <legacyDrawing r:id="rId9"/>
  <mc:AlternateContent xmlns:mc="http://schemas.openxmlformats.org/markup-compatibility/2006">
    <mc:Choice Requires="x14">
      <controls>
        <mc:AlternateContent xmlns:mc="http://schemas.openxmlformats.org/markup-compatibility/2006">
          <mc:Choice Requires="x14">
            <control shapeId="1032" r:id="rId10" name="Drop Down 8">
              <controlPr defaultSize="0" autoLine="0" autoPict="0">
                <anchor moveWithCells="1">
                  <from>
                    <xdr:col>1</xdr:col>
                    <xdr:colOff>28575</xdr:colOff>
                    <xdr:row>103</xdr:row>
                    <xdr:rowOff>9525</xdr:rowOff>
                  </from>
                  <to>
                    <xdr:col>5</xdr:col>
                    <xdr:colOff>0</xdr:colOff>
                    <xdr:row>104</xdr:row>
                    <xdr:rowOff>66675</xdr:rowOff>
                  </to>
                </anchor>
              </controlPr>
            </control>
          </mc:Choice>
        </mc:AlternateContent>
      </controls>
    </mc:Choice>
  </mc:AlternateContent>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sheetPr codeName="Sheet1">
    <tabColor theme="0" tint="-0.249977111117893"/>
    <pageSetUpPr fitToPage="1"/>
  </sheetPr>
  <dimension ref="B1:Y60"/>
  <sheetViews>
    <sheetView showGridLines="0" view="pageBreakPreview" topLeftCell="D29" zoomScaleNormal="75" zoomScaleSheetLayoutView="100" workbookViewId="0">
      <selection activeCell="H13" sqref="H13"/>
    </sheetView>
  </sheetViews>
  <sheetFormatPr defaultColWidth="11.42578125" defaultRowHeight="12.75"/>
  <cols>
    <col min="1" max="1" width="5.7109375" style="15" customWidth="1"/>
    <col min="2" max="2" width="1.85546875" style="15" customWidth="1"/>
    <col min="3" max="3" width="49.7109375" style="15" customWidth="1"/>
    <col min="4" max="4" width="19.140625" style="15" bestFit="1" customWidth="1"/>
    <col min="5" max="5" width="7.140625" style="15" customWidth="1"/>
    <col min="6" max="6" width="13" style="15" customWidth="1"/>
    <col min="7" max="7" width="14.85546875" style="15" customWidth="1"/>
    <col min="8" max="8" width="5" style="15" customWidth="1"/>
    <col min="9" max="9" width="5.85546875" style="15" customWidth="1"/>
    <col min="10" max="10" width="14.7109375" style="15" customWidth="1"/>
    <col min="11" max="11" width="11.42578125" style="15"/>
    <col min="12" max="12" width="14.85546875" style="15" customWidth="1"/>
    <col min="13" max="14" width="11.42578125" style="15"/>
    <col min="15" max="15" width="5" style="15" customWidth="1"/>
    <col min="16" max="16384" width="11.42578125" style="15"/>
  </cols>
  <sheetData>
    <row r="1" spans="2:17" ht="67.900000000000006" customHeight="1">
      <c r="B1" s="685" t="s">
        <v>303</v>
      </c>
      <c r="C1" s="685"/>
      <c r="D1" s="685"/>
      <c r="E1" s="685"/>
      <c r="F1" s="685"/>
      <c r="G1" s="685"/>
      <c r="H1" s="685"/>
      <c r="I1" s="685"/>
      <c r="J1" s="199"/>
      <c r="K1" s="199"/>
      <c r="L1" s="199"/>
      <c r="M1" s="199"/>
      <c r="N1" s="199"/>
      <c r="Q1" s="17" t="s">
        <v>158</v>
      </c>
    </row>
    <row r="2" spans="2:17" ht="14.25" thickBot="1">
      <c r="B2" s="199"/>
      <c r="C2" s="199"/>
      <c r="D2" s="199"/>
      <c r="E2" s="199"/>
      <c r="F2" s="199"/>
      <c r="G2" s="199"/>
      <c r="H2" s="199"/>
      <c r="I2" s="199"/>
      <c r="J2" s="199"/>
      <c r="K2" s="199"/>
      <c r="L2" s="199"/>
      <c r="M2" s="199"/>
      <c r="N2" s="199"/>
      <c r="Q2" s="17" t="s">
        <v>159</v>
      </c>
    </row>
    <row r="3" spans="2:17" ht="39" thickBot="1">
      <c r="B3" s="686" t="s">
        <v>157</v>
      </c>
      <c r="C3" s="687"/>
      <c r="D3" s="687"/>
      <c r="E3" s="687"/>
      <c r="F3" s="687"/>
      <c r="G3" s="688"/>
      <c r="H3" s="199"/>
      <c r="I3" s="199"/>
      <c r="J3" s="199"/>
      <c r="K3" s="199"/>
      <c r="L3" s="199"/>
      <c r="M3" s="199"/>
      <c r="N3" s="199"/>
      <c r="Q3" s="17" t="s">
        <v>160</v>
      </c>
    </row>
    <row r="4" spans="2:17" ht="15" customHeight="1">
      <c r="B4" s="199"/>
      <c r="C4" s="200"/>
      <c r="D4" s="199"/>
      <c r="E4" s="199"/>
      <c r="F4" s="199"/>
      <c r="G4" s="199"/>
      <c r="H4" s="199"/>
      <c r="I4" s="199"/>
      <c r="J4" s="199"/>
      <c r="K4" s="199"/>
      <c r="L4" s="199"/>
      <c r="M4" s="199"/>
      <c r="N4" s="199"/>
      <c r="Q4" s="17" t="s">
        <v>161</v>
      </c>
    </row>
    <row r="5" spans="2:17" ht="20.25" customHeight="1" thickBot="1">
      <c r="B5" s="201" t="s">
        <v>156</v>
      </c>
      <c r="C5" s="199"/>
      <c r="D5" s="199"/>
      <c r="E5" s="199"/>
      <c r="F5" s="199"/>
      <c r="G5" s="199"/>
      <c r="H5" s="199"/>
      <c r="I5" s="199"/>
      <c r="J5" s="199"/>
      <c r="K5" s="199"/>
      <c r="L5" s="199"/>
      <c r="M5" s="199"/>
      <c r="N5" s="199"/>
      <c r="Q5" s="17" t="s">
        <v>162</v>
      </c>
    </row>
    <row r="6" spans="2:17" ht="20.25" customHeight="1" thickBot="1">
      <c r="B6" s="202"/>
      <c r="C6" s="203"/>
      <c r="D6" s="203"/>
      <c r="E6" s="204"/>
      <c r="F6" s="199"/>
      <c r="G6" s="199"/>
      <c r="H6" s="199"/>
      <c r="I6" s="199"/>
      <c r="J6" s="199"/>
      <c r="K6" s="199"/>
      <c r="L6" s="199"/>
      <c r="M6" s="199"/>
      <c r="N6" s="199"/>
    </row>
    <row r="7" spans="2:17" ht="18" thickBot="1">
      <c r="B7" s="205"/>
      <c r="C7" s="206" t="s">
        <v>155</v>
      </c>
      <c r="D7" s="207">
        <v>145000</v>
      </c>
      <c r="E7" s="208" t="s">
        <v>146</v>
      </c>
      <c r="F7" s="206"/>
      <c r="G7" s="199"/>
      <c r="H7" s="199"/>
      <c r="I7" s="199"/>
      <c r="J7" s="199"/>
      <c r="K7" s="199"/>
      <c r="L7" s="199"/>
      <c r="M7" s="199"/>
      <c r="N7" s="199"/>
    </row>
    <row r="8" spans="2:17" ht="18" thickBot="1">
      <c r="B8" s="205"/>
      <c r="C8" s="206"/>
      <c r="D8" s="206"/>
      <c r="E8" s="208"/>
      <c r="F8" s="206"/>
      <c r="G8" s="199"/>
      <c r="H8" s="199"/>
      <c r="I8" s="199"/>
      <c r="J8" s="199"/>
      <c r="K8" s="199"/>
      <c r="L8" s="199"/>
      <c r="M8" s="199"/>
      <c r="N8" s="199"/>
    </row>
    <row r="9" spans="2:17" ht="18" thickBot="1">
      <c r="B9" s="205"/>
      <c r="C9" s="206" t="s">
        <v>154</v>
      </c>
      <c r="D9" s="207">
        <v>1</v>
      </c>
      <c r="E9" s="208" t="s">
        <v>146</v>
      </c>
      <c r="F9" s="206"/>
      <c r="G9" s="199"/>
      <c r="H9" s="199"/>
      <c r="I9" s="199"/>
      <c r="J9" s="199"/>
      <c r="K9" s="199"/>
      <c r="L9" s="199"/>
      <c r="M9" s="199"/>
      <c r="N9" s="199"/>
    </row>
    <row r="10" spans="2:17" ht="18" thickBot="1">
      <c r="B10" s="205"/>
      <c r="C10" s="206"/>
      <c r="D10" s="206"/>
      <c r="E10" s="208"/>
      <c r="F10" s="206"/>
      <c r="G10" s="199"/>
      <c r="H10" s="199"/>
      <c r="I10" s="199"/>
      <c r="J10" s="199"/>
      <c r="K10" s="199"/>
      <c r="L10" s="199"/>
      <c r="M10" s="199"/>
      <c r="N10" s="199"/>
    </row>
    <row r="11" spans="2:17" ht="19.5" thickBot="1">
      <c r="B11" s="205"/>
      <c r="C11" s="206" t="s">
        <v>230</v>
      </c>
      <c r="D11" s="207">
        <v>80000</v>
      </c>
      <c r="E11" s="208" t="s">
        <v>146</v>
      </c>
      <c r="F11" s="206"/>
      <c r="G11" s="199"/>
      <c r="H11" s="199"/>
      <c r="I11" s="199"/>
      <c r="J11" s="199"/>
      <c r="K11" s="199"/>
      <c r="L11" s="199"/>
      <c r="M11" s="199"/>
      <c r="N11" s="199"/>
    </row>
    <row r="12" spans="2:17" ht="18" thickBot="1">
      <c r="B12" s="205"/>
      <c r="C12" s="206"/>
      <c r="D12" s="206"/>
      <c r="E12" s="208"/>
      <c r="F12" s="206"/>
      <c r="G12" s="199"/>
      <c r="H12" s="199"/>
      <c r="I12" s="199"/>
      <c r="J12" s="199"/>
      <c r="K12" s="199"/>
      <c r="L12" s="199"/>
      <c r="M12" s="199"/>
      <c r="N12" s="199"/>
    </row>
    <row r="13" spans="2:17" ht="18" thickBot="1">
      <c r="B13" s="205"/>
      <c r="C13" s="206" t="s">
        <v>153</v>
      </c>
      <c r="D13" s="209">
        <v>0.9</v>
      </c>
      <c r="E13" s="208"/>
      <c r="F13" s="206"/>
      <c r="G13" s="199"/>
      <c r="H13" s="199"/>
      <c r="I13" s="199"/>
      <c r="J13" s="199"/>
      <c r="K13" s="199"/>
      <c r="L13" s="199"/>
      <c r="M13" s="199"/>
      <c r="N13" s="199"/>
    </row>
    <row r="14" spans="2:17" ht="18" thickBot="1">
      <c r="B14" s="210"/>
      <c r="C14" s="211"/>
      <c r="D14" s="211"/>
      <c r="E14" s="212"/>
      <c r="F14" s="206"/>
      <c r="G14" s="199"/>
      <c r="H14" s="199"/>
      <c r="I14" s="199"/>
      <c r="J14" s="199"/>
      <c r="K14" s="199"/>
      <c r="L14" s="199"/>
      <c r="M14" s="199"/>
      <c r="N14" s="199"/>
    </row>
    <row r="15" spans="2:17" ht="17.25">
      <c r="B15" s="199"/>
      <c r="C15" s="206"/>
      <c r="D15" s="206"/>
      <c r="E15" s="206"/>
      <c r="F15" s="206"/>
      <c r="G15" s="199"/>
      <c r="H15" s="199"/>
      <c r="I15" s="199"/>
      <c r="J15" s="199"/>
      <c r="K15" s="199"/>
      <c r="L15" s="199"/>
      <c r="M15" s="199"/>
      <c r="N15" s="199"/>
    </row>
    <row r="16" spans="2:17" ht="27" thickBot="1">
      <c r="B16" s="213" t="s">
        <v>152</v>
      </c>
      <c r="C16" s="199"/>
      <c r="D16" s="206"/>
      <c r="E16" s="206"/>
      <c r="F16" s="206"/>
      <c r="G16" s="199"/>
      <c r="H16" s="199"/>
      <c r="I16" s="199"/>
      <c r="J16" s="199"/>
      <c r="K16" s="199"/>
      <c r="L16" s="199"/>
      <c r="M16" s="199"/>
      <c r="N16" s="199"/>
    </row>
    <row r="17" spans="2:25" ht="26.25">
      <c r="B17" s="202"/>
      <c r="C17" s="203"/>
      <c r="D17" s="214"/>
      <c r="E17" s="214"/>
      <c r="F17" s="214"/>
      <c r="G17" s="203"/>
      <c r="H17" s="203"/>
      <c r="I17" s="203"/>
      <c r="J17" s="203"/>
      <c r="K17" s="203"/>
      <c r="L17" s="203"/>
      <c r="M17" s="203"/>
      <c r="N17" s="204"/>
    </row>
    <row r="18" spans="2:25" ht="17.25">
      <c r="B18" s="205"/>
      <c r="C18" s="206" t="s">
        <v>151</v>
      </c>
      <c r="D18" s="215">
        <f>D9/D7</f>
        <v>6.8965517241379308E-6</v>
      </c>
      <c r="E18" s="206"/>
      <c r="F18" s="206"/>
      <c r="G18" s="199"/>
      <c r="H18" s="199"/>
      <c r="I18" s="199"/>
      <c r="J18" s="199"/>
      <c r="K18" s="199"/>
      <c r="L18" s="199"/>
      <c r="M18" s="199"/>
      <c r="N18" s="216"/>
    </row>
    <row r="19" spans="2:25" ht="17.25">
      <c r="B19" s="205"/>
      <c r="C19" s="206"/>
      <c r="D19" s="206"/>
      <c r="E19" s="206"/>
      <c r="F19" s="206"/>
      <c r="G19" s="199"/>
      <c r="H19" s="199"/>
      <c r="I19" s="199"/>
      <c r="J19" s="199"/>
      <c r="K19" s="199"/>
      <c r="L19" s="199"/>
      <c r="M19" s="199"/>
      <c r="N19" s="216"/>
    </row>
    <row r="20" spans="2:25" ht="17.25">
      <c r="B20" s="217"/>
      <c r="C20" s="218" t="s">
        <v>150</v>
      </c>
      <c r="D20" s="218"/>
      <c r="E20" s="218"/>
      <c r="F20" s="218"/>
      <c r="G20" s="219"/>
      <c r="H20" s="219"/>
      <c r="I20" s="219"/>
      <c r="J20" s="219"/>
      <c r="K20" s="219"/>
      <c r="L20" s="219"/>
      <c r="M20" s="219"/>
      <c r="N20" s="220"/>
    </row>
    <row r="21" spans="2:25" ht="17.25">
      <c r="B21" s="217"/>
      <c r="C21" s="218"/>
      <c r="D21" s="218"/>
      <c r="E21" s="218"/>
      <c r="F21" s="218"/>
      <c r="G21" s="219"/>
      <c r="H21" s="219"/>
      <c r="I21" s="219"/>
      <c r="J21" s="219"/>
      <c r="K21" s="219"/>
      <c r="L21" s="219"/>
      <c r="M21" s="219"/>
      <c r="N21" s="220"/>
    </row>
    <row r="22" spans="2:25" ht="18.75">
      <c r="B22" s="217"/>
      <c r="C22" s="218" t="s">
        <v>231</v>
      </c>
      <c r="D22" s="218"/>
      <c r="E22" s="218"/>
      <c r="F22" s="218"/>
      <c r="G22" s="219"/>
      <c r="H22" s="219"/>
      <c r="I22" s="219"/>
      <c r="J22" s="219"/>
      <c r="K22" s="219"/>
      <c r="L22" s="219"/>
      <c r="M22" s="219"/>
      <c r="N22" s="220"/>
    </row>
    <row r="23" spans="2:25" ht="17.25">
      <c r="B23" s="217"/>
      <c r="C23" s="218"/>
      <c r="D23" s="218"/>
      <c r="E23" s="218"/>
      <c r="F23" s="218"/>
      <c r="G23" s="219"/>
      <c r="H23" s="219"/>
      <c r="I23" s="219"/>
      <c r="J23" s="219"/>
      <c r="K23" s="219"/>
      <c r="L23" s="219"/>
      <c r="M23" s="219"/>
      <c r="N23" s="220"/>
    </row>
    <row r="24" spans="2:25" ht="18.75">
      <c r="B24" s="217"/>
      <c r="C24" s="218" t="s">
        <v>232</v>
      </c>
      <c r="D24" s="218"/>
      <c r="E24" s="218"/>
      <c r="F24" s="218"/>
      <c r="G24" s="219"/>
      <c r="H24" s="219"/>
      <c r="I24" s="219"/>
      <c r="J24" s="219"/>
      <c r="K24" s="219"/>
      <c r="L24" s="219"/>
      <c r="M24" s="219"/>
      <c r="N24" s="220"/>
      <c r="Q24" s="17" t="s">
        <v>163</v>
      </c>
      <c r="Y24" s="17" t="s">
        <v>198</v>
      </c>
    </row>
    <row r="25" spans="2:25" ht="17.25">
      <c r="B25" s="217"/>
      <c r="C25" s="218"/>
      <c r="D25" s="218"/>
      <c r="E25" s="218"/>
      <c r="F25" s="218"/>
      <c r="G25" s="219"/>
      <c r="H25" s="219"/>
      <c r="I25" s="219"/>
      <c r="J25" s="219"/>
      <c r="K25" s="219"/>
      <c r="L25" s="219"/>
      <c r="M25" s="219"/>
      <c r="N25" s="220"/>
      <c r="Q25" s="17" t="s">
        <v>164</v>
      </c>
      <c r="Y25" s="17" t="s">
        <v>199</v>
      </c>
    </row>
    <row r="26" spans="2:25" ht="18.75">
      <c r="B26" s="217"/>
      <c r="C26" s="218" t="s">
        <v>233</v>
      </c>
      <c r="D26" s="218"/>
      <c r="E26" s="218"/>
      <c r="F26" s="218"/>
      <c r="G26" s="219"/>
      <c r="H26" s="219"/>
      <c r="I26" s="219"/>
      <c r="J26" s="219"/>
      <c r="K26" s="219"/>
      <c r="L26" s="219"/>
      <c r="M26" s="219"/>
      <c r="N26" s="220"/>
      <c r="Q26" s="17" t="s">
        <v>165</v>
      </c>
      <c r="Y26" s="17" t="s">
        <v>200</v>
      </c>
    </row>
    <row r="27" spans="2:25" ht="13.5">
      <c r="B27" s="217"/>
      <c r="C27" s="219"/>
      <c r="D27" s="219"/>
      <c r="E27" s="219"/>
      <c r="F27" s="219"/>
      <c r="G27" s="219"/>
      <c r="H27" s="219"/>
      <c r="I27" s="219"/>
      <c r="J27" s="219"/>
      <c r="K27" s="219"/>
      <c r="L27" s="219"/>
      <c r="M27" s="219"/>
      <c r="N27" s="220"/>
      <c r="Q27" s="17" t="s">
        <v>166</v>
      </c>
      <c r="Y27" s="17" t="s">
        <v>201</v>
      </c>
    </row>
    <row r="28" spans="2:25" ht="18.75">
      <c r="B28" s="217"/>
      <c r="C28" s="218" t="s">
        <v>234</v>
      </c>
      <c r="D28" s="219"/>
      <c r="E28" s="219"/>
      <c r="F28" s="219"/>
      <c r="G28" s="219"/>
      <c r="H28" s="219"/>
      <c r="I28" s="219"/>
      <c r="J28" s="219"/>
      <c r="K28" s="219"/>
      <c r="L28" s="219"/>
      <c r="M28" s="219"/>
      <c r="N28" s="220"/>
      <c r="Q28" s="17" t="s">
        <v>155</v>
      </c>
      <c r="Y28" s="17" t="s">
        <v>202</v>
      </c>
    </row>
    <row r="29" spans="2:25" ht="17.25">
      <c r="B29" s="217"/>
      <c r="C29" s="218"/>
      <c r="D29" s="219"/>
      <c r="E29" s="219"/>
      <c r="F29" s="219"/>
      <c r="G29" s="219"/>
      <c r="H29" s="219"/>
      <c r="I29" s="219"/>
      <c r="J29" s="219"/>
      <c r="K29" s="219"/>
      <c r="L29" s="219"/>
      <c r="M29" s="219"/>
      <c r="N29" s="220"/>
      <c r="Q29" s="17" t="s">
        <v>167</v>
      </c>
      <c r="Y29" s="17" t="s">
        <v>203</v>
      </c>
    </row>
    <row r="30" spans="2:25" ht="18.75">
      <c r="B30" s="217"/>
      <c r="C30" s="218" t="s">
        <v>235</v>
      </c>
      <c r="D30" s="219"/>
      <c r="E30" s="219"/>
      <c r="F30" s="219"/>
      <c r="G30" s="219"/>
      <c r="H30" s="219"/>
      <c r="I30" s="219"/>
      <c r="J30" s="219"/>
      <c r="K30" s="219"/>
      <c r="L30" s="219"/>
      <c r="M30" s="219"/>
      <c r="N30" s="220"/>
      <c r="Q30" s="17" t="s">
        <v>168</v>
      </c>
      <c r="Y30" s="17" t="s">
        <v>204</v>
      </c>
    </row>
    <row r="31" spans="2:25" ht="17.25">
      <c r="B31" s="205"/>
      <c r="C31" s="206"/>
      <c r="D31" s="199"/>
      <c r="E31" s="199"/>
      <c r="F31" s="199"/>
      <c r="G31" s="199"/>
      <c r="H31" s="199"/>
      <c r="I31" s="199"/>
      <c r="J31" s="199"/>
      <c r="K31" s="199"/>
      <c r="L31" s="199"/>
      <c r="M31" s="199"/>
      <c r="N31" s="216"/>
      <c r="Q31" s="17" t="s">
        <v>169</v>
      </c>
      <c r="Y31" s="17" t="s">
        <v>205</v>
      </c>
    </row>
    <row r="32" spans="2:25" ht="17.25">
      <c r="B32" s="205"/>
      <c r="C32" s="206" t="s">
        <v>149</v>
      </c>
      <c r="D32" s="199"/>
      <c r="E32" s="199"/>
      <c r="F32" s="199"/>
      <c r="G32" s="199"/>
      <c r="H32" s="199"/>
      <c r="I32" s="199"/>
      <c r="J32" s="199"/>
      <c r="K32" s="199"/>
      <c r="L32" s="199"/>
      <c r="M32" s="199"/>
      <c r="N32" s="216"/>
      <c r="Q32" s="17" t="s">
        <v>170</v>
      </c>
      <c r="Y32" s="17" t="s">
        <v>206</v>
      </c>
    </row>
    <row r="33" spans="2:25" ht="14.25" thickBot="1">
      <c r="B33" s="205"/>
      <c r="C33" s="199"/>
      <c r="D33" s="199"/>
      <c r="E33" s="199"/>
      <c r="F33" s="199"/>
      <c r="G33" s="199"/>
      <c r="H33" s="199"/>
      <c r="I33" s="199"/>
      <c r="J33" s="199"/>
      <c r="K33" s="199"/>
      <c r="L33" s="199"/>
      <c r="M33" s="199"/>
      <c r="N33" s="216"/>
      <c r="Q33" s="17" t="s">
        <v>171</v>
      </c>
      <c r="Y33" s="17" t="s">
        <v>207</v>
      </c>
    </row>
    <row r="34" spans="2:25" ht="21" thickBot="1">
      <c r="B34" s="205"/>
      <c r="C34" s="221" t="s">
        <v>228</v>
      </c>
      <c r="D34" s="199"/>
      <c r="E34" s="199"/>
      <c r="F34" s="199"/>
      <c r="G34" s="199"/>
      <c r="H34" s="199"/>
      <c r="I34" s="199"/>
      <c r="J34" s="199"/>
      <c r="K34" s="199"/>
      <c r="L34" s="199"/>
      <c r="M34" s="199"/>
      <c r="N34" s="216"/>
      <c r="Q34" s="17" t="s">
        <v>172</v>
      </c>
      <c r="Y34" s="17" t="s">
        <v>208</v>
      </c>
    </row>
    <row r="35" spans="2:25" ht="13.5">
      <c r="B35" s="205"/>
      <c r="C35" s="199"/>
      <c r="D35" s="199"/>
      <c r="E35" s="199"/>
      <c r="F35" s="199"/>
      <c r="G35" s="199"/>
      <c r="H35" s="199"/>
      <c r="I35" s="199"/>
      <c r="J35" s="199"/>
      <c r="K35" s="199"/>
      <c r="L35" s="199"/>
      <c r="M35" s="199"/>
      <c r="N35" s="216"/>
    </row>
    <row r="36" spans="2:25" ht="18.75">
      <c r="B36" s="205"/>
      <c r="C36" s="206" t="s">
        <v>236</v>
      </c>
      <c r="D36" s="206"/>
      <c r="E36" s="206"/>
      <c r="F36" s="206"/>
      <c r="G36" s="206"/>
      <c r="H36" s="199"/>
      <c r="I36" s="199"/>
      <c r="J36" s="199"/>
      <c r="K36" s="199"/>
      <c r="L36" s="199"/>
      <c r="M36" s="199"/>
      <c r="N36" s="216"/>
      <c r="Q36" s="18" t="s">
        <v>179</v>
      </c>
    </row>
    <row r="37" spans="2:25" ht="17.25">
      <c r="B37" s="205"/>
      <c r="C37" s="206"/>
      <c r="D37" s="206"/>
      <c r="E37" s="206"/>
      <c r="F37" s="206"/>
      <c r="G37" s="206"/>
      <c r="H37" s="206"/>
      <c r="I37" s="199"/>
      <c r="J37" s="199"/>
      <c r="K37" s="199"/>
      <c r="L37" s="199"/>
      <c r="M37" s="199"/>
      <c r="N37" s="216"/>
      <c r="Q37" s="17" t="s">
        <v>173</v>
      </c>
    </row>
    <row r="38" spans="2:25" ht="18.75">
      <c r="B38" s="205"/>
      <c r="C38" s="206" t="s">
        <v>237</v>
      </c>
      <c r="D38" s="215">
        <f>IF(D9&gt;0,D9/(D9+(D7-D9+1)*H38),"")</f>
        <v>3.5374679527676343E-7</v>
      </c>
      <c r="E38" s="206"/>
      <c r="F38" s="222">
        <f>IF(D9&gt;0,D38*D92,"")</f>
        <v>0</v>
      </c>
      <c r="G38" s="206" t="s">
        <v>146</v>
      </c>
      <c r="H38" s="223">
        <f>FINV(((1-D13)/2),(2*(D7-D9+1)),(2*D9))</f>
        <v>19.495722297948049</v>
      </c>
      <c r="I38" s="199"/>
      <c r="J38" s="199"/>
      <c r="K38" s="199"/>
      <c r="L38" s="199"/>
      <c r="M38" s="199"/>
      <c r="N38" s="216"/>
      <c r="Q38" s="17" t="s">
        <v>174</v>
      </c>
    </row>
    <row r="39" spans="2:25" ht="17.25">
      <c r="B39" s="205"/>
      <c r="C39" s="206"/>
      <c r="D39" s="206"/>
      <c r="E39" s="206"/>
      <c r="F39" s="206"/>
      <c r="G39" s="206"/>
      <c r="H39" s="199"/>
      <c r="I39" s="199"/>
      <c r="J39" s="199"/>
      <c r="K39" s="199"/>
      <c r="L39" s="199"/>
      <c r="M39" s="199"/>
      <c r="N39" s="216"/>
      <c r="Q39" s="17" t="s">
        <v>175</v>
      </c>
    </row>
    <row r="40" spans="2:25" ht="18.75">
      <c r="B40" s="205"/>
      <c r="C40" s="206" t="s">
        <v>238</v>
      </c>
      <c r="D40" s="215">
        <f>IF(D9&gt;0,(D9+1)*H40/(D7-D9+(D9+1)*H40),"")</f>
        <v>3.2715884662915014E-5</v>
      </c>
      <c r="E40" s="206"/>
      <c r="F40" s="222">
        <f>IF(D9&gt;0,D40*D7,"")</f>
        <v>4.7438032761226774</v>
      </c>
      <c r="G40" s="206" t="s">
        <v>146</v>
      </c>
      <c r="H40" s="223">
        <f>FINV(((1-D13)/2),(2*(D9+1)),(2*(D7-D9)))</f>
        <v>2.371962880983046</v>
      </c>
      <c r="I40" s="199"/>
      <c r="J40" s="199"/>
      <c r="K40" s="199"/>
      <c r="L40" s="199"/>
      <c r="M40" s="199"/>
      <c r="N40" s="216"/>
      <c r="Q40" s="17" t="s">
        <v>176</v>
      </c>
    </row>
    <row r="41" spans="2:25" ht="14.25" thickBot="1">
      <c r="B41" s="205"/>
      <c r="C41" s="199"/>
      <c r="D41" s="199"/>
      <c r="E41" s="199"/>
      <c r="F41" s="199"/>
      <c r="G41" s="199"/>
      <c r="H41" s="199"/>
      <c r="I41" s="199"/>
      <c r="J41" s="199"/>
      <c r="K41" s="199"/>
      <c r="L41" s="199"/>
      <c r="M41" s="199"/>
      <c r="N41" s="216"/>
      <c r="Q41" s="17" t="s">
        <v>177</v>
      </c>
    </row>
    <row r="42" spans="2:25" ht="19.5" thickBot="1">
      <c r="B42" s="205"/>
      <c r="C42" s="206" t="s">
        <v>239</v>
      </c>
      <c r="D42" s="222">
        <f>IF(D9&gt;0,D18*(D11-D7),"")</f>
        <v>-0.44827586206896552</v>
      </c>
      <c r="E42" s="206" t="s">
        <v>146</v>
      </c>
      <c r="F42" s="199"/>
      <c r="G42" s="224">
        <f>IF(D9&gt;0,ROUNDUP(D42,0),"")</f>
        <v>-1</v>
      </c>
      <c r="H42" s="225" t="s">
        <v>148</v>
      </c>
      <c r="I42" s="225"/>
      <c r="J42" s="225"/>
      <c r="K42" s="225"/>
      <c r="L42" s="225"/>
      <c r="M42" s="225"/>
      <c r="N42" s="226"/>
      <c r="Q42" s="17" t="s">
        <v>178</v>
      </c>
    </row>
    <row r="43" spans="2:25" ht="17.25">
      <c r="B43" s="205"/>
      <c r="C43" s="206"/>
      <c r="D43" s="227"/>
      <c r="E43" s="206"/>
      <c r="F43" s="199"/>
      <c r="G43" s="199"/>
      <c r="H43" s="199"/>
      <c r="I43" s="199"/>
      <c r="J43" s="199"/>
      <c r="K43" s="199"/>
      <c r="L43" s="199"/>
      <c r="M43" s="199"/>
      <c r="N43" s="216"/>
      <c r="Q43" s="17" t="s">
        <v>180</v>
      </c>
    </row>
    <row r="44" spans="2:25" ht="19.5" thickBot="1">
      <c r="B44" s="205"/>
      <c r="C44" s="206" t="s">
        <v>240</v>
      </c>
      <c r="D44" s="222">
        <f>IF(D9&gt;0,D38*(D11-D7),"")</f>
        <v>-2.2993541692989623E-2</v>
      </c>
      <c r="E44" s="206" t="s">
        <v>146</v>
      </c>
      <c r="F44" s="199"/>
      <c r="G44" s="199"/>
      <c r="H44" s="199"/>
      <c r="I44" s="228"/>
      <c r="J44" s="228"/>
      <c r="K44" s="199"/>
      <c r="L44" s="199"/>
      <c r="M44" s="199"/>
      <c r="N44" s="216"/>
      <c r="Q44" s="17" t="s">
        <v>181</v>
      </c>
    </row>
    <row r="45" spans="2:25" ht="18" thickBot="1">
      <c r="B45" s="205"/>
      <c r="C45" s="206"/>
      <c r="D45" s="227"/>
      <c r="E45" s="206"/>
      <c r="F45" s="199"/>
      <c r="G45" s="229" t="s">
        <v>145</v>
      </c>
      <c r="H45" s="230">
        <f>IF(D9&gt;0,ROUNDUP(D44,0),"")</f>
        <v>-1</v>
      </c>
      <c r="I45" s="231" t="s">
        <v>144</v>
      </c>
      <c r="J45" s="232">
        <f>IF(D9&gt;0,ROUNDUP(D46,0),"")</f>
        <v>-3</v>
      </c>
      <c r="K45" s="225" t="s">
        <v>143</v>
      </c>
      <c r="L45" s="206"/>
      <c r="M45" s="199"/>
      <c r="N45" s="216"/>
      <c r="Q45" s="17" t="s">
        <v>182</v>
      </c>
    </row>
    <row r="46" spans="2:25" ht="18.75">
      <c r="B46" s="205"/>
      <c r="C46" s="206" t="s">
        <v>241</v>
      </c>
      <c r="D46" s="222">
        <f>IF(D9&gt;0,D40*(D11-D7),"")</f>
        <v>-2.1265325030894759</v>
      </c>
      <c r="E46" s="206" t="s">
        <v>146</v>
      </c>
      <c r="F46" s="199"/>
      <c r="G46" s="199"/>
      <c r="H46" s="233"/>
      <c r="I46" s="228"/>
      <c r="J46" s="228"/>
      <c r="K46" s="199"/>
      <c r="L46" s="199"/>
      <c r="M46" s="199"/>
      <c r="N46" s="216"/>
      <c r="Q46" s="17" t="s">
        <v>183</v>
      </c>
    </row>
    <row r="47" spans="2:25" ht="14.25" thickBot="1">
      <c r="B47" s="205"/>
      <c r="C47" s="199"/>
      <c r="D47" s="199"/>
      <c r="E47" s="199"/>
      <c r="F47" s="199"/>
      <c r="G47" s="199"/>
      <c r="H47" s="199"/>
      <c r="I47" s="199"/>
      <c r="J47" s="199"/>
      <c r="K47" s="199"/>
      <c r="L47" s="199"/>
      <c r="M47" s="199"/>
      <c r="N47" s="216"/>
      <c r="Q47" s="17" t="s">
        <v>184</v>
      </c>
    </row>
    <row r="48" spans="2:25" ht="21" thickBot="1">
      <c r="B48" s="205"/>
      <c r="C48" s="234" t="s">
        <v>229</v>
      </c>
      <c r="D48" s="235"/>
      <c r="E48" s="199"/>
      <c r="F48" s="199"/>
      <c r="G48" s="199"/>
      <c r="H48" s="199"/>
      <c r="I48" s="199"/>
      <c r="J48" s="199"/>
      <c r="K48" s="199"/>
      <c r="L48" s="199"/>
      <c r="M48" s="199"/>
      <c r="N48" s="216"/>
      <c r="Q48" s="17" t="s">
        <v>185</v>
      </c>
    </row>
    <row r="49" spans="2:17" ht="13.5">
      <c r="B49" s="205"/>
      <c r="C49" s="199"/>
      <c r="D49" s="199"/>
      <c r="E49" s="199"/>
      <c r="F49" s="199"/>
      <c r="G49" s="199"/>
      <c r="H49" s="199"/>
      <c r="I49" s="199"/>
      <c r="J49" s="199"/>
      <c r="K49" s="199"/>
      <c r="L49" s="199"/>
      <c r="M49" s="199"/>
      <c r="N49" s="216"/>
      <c r="Q49" s="17" t="s">
        <v>186</v>
      </c>
    </row>
    <row r="50" spans="2:17" ht="13.5">
      <c r="B50" s="205"/>
      <c r="C50" s="199"/>
      <c r="D50" s="199"/>
      <c r="E50" s="199"/>
      <c r="F50" s="199"/>
      <c r="G50" s="199"/>
      <c r="H50" s="199"/>
      <c r="I50" s="199"/>
      <c r="J50" s="199"/>
      <c r="K50" s="199"/>
      <c r="L50" s="199"/>
      <c r="M50" s="199"/>
      <c r="N50" s="216"/>
      <c r="Q50" s="17" t="s">
        <v>187</v>
      </c>
    </row>
    <row r="51" spans="2:17" ht="17.25">
      <c r="B51" s="205"/>
      <c r="C51" s="206" t="s">
        <v>147</v>
      </c>
      <c r="D51" s="215">
        <f>(1-D13)/2</f>
        <v>4.9999999999999989E-2</v>
      </c>
      <c r="E51" s="199"/>
      <c r="F51" s="199"/>
      <c r="G51" s="199"/>
      <c r="H51" s="199"/>
      <c r="I51" s="199"/>
      <c r="J51" s="199"/>
      <c r="K51" s="199"/>
      <c r="L51" s="199"/>
      <c r="M51" s="199"/>
      <c r="N51" s="216"/>
      <c r="Q51" s="17" t="s">
        <v>188</v>
      </c>
    </row>
    <row r="52" spans="2:17" ht="17.25">
      <c r="B52" s="205"/>
      <c r="C52" s="206"/>
      <c r="D52" s="206"/>
      <c r="E52" s="199"/>
      <c r="F52" s="199"/>
      <c r="G52" s="199"/>
      <c r="H52" s="199"/>
      <c r="I52" s="199"/>
      <c r="J52" s="199"/>
      <c r="K52" s="199"/>
      <c r="L52" s="199"/>
      <c r="M52" s="199"/>
      <c r="N52" s="216"/>
      <c r="Q52" s="17" t="s">
        <v>189</v>
      </c>
    </row>
    <row r="53" spans="2:17" ht="17.25">
      <c r="B53" s="205"/>
      <c r="C53" s="206"/>
      <c r="D53" s="206"/>
      <c r="E53" s="199"/>
      <c r="F53" s="199"/>
      <c r="G53" s="199"/>
      <c r="H53" s="199"/>
      <c r="I53" s="199"/>
      <c r="J53" s="199"/>
      <c r="K53" s="199"/>
      <c r="L53" s="199"/>
      <c r="M53" s="199"/>
      <c r="N53" s="216"/>
      <c r="Q53" s="17" t="s">
        <v>190</v>
      </c>
    </row>
    <row r="54" spans="2:17" ht="18.75">
      <c r="B54" s="205"/>
      <c r="C54" s="206" t="s">
        <v>242</v>
      </c>
      <c r="D54" s="206"/>
      <c r="E54" s="199"/>
      <c r="F54" s="199"/>
      <c r="G54" s="199"/>
      <c r="H54" s="199"/>
      <c r="I54" s="199"/>
      <c r="J54" s="199"/>
      <c r="K54" s="199"/>
      <c r="L54" s="199"/>
      <c r="M54" s="199"/>
      <c r="N54" s="216"/>
      <c r="Q54" s="17" t="s">
        <v>191</v>
      </c>
    </row>
    <row r="55" spans="2:17" ht="17.25">
      <c r="B55" s="205"/>
      <c r="C55" s="206"/>
      <c r="D55" s="206"/>
      <c r="E55" s="199"/>
      <c r="F55" s="199"/>
      <c r="G55" s="199"/>
      <c r="H55" s="199"/>
      <c r="I55" s="199"/>
      <c r="J55" s="199"/>
      <c r="K55" s="199"/>
      <c r="L55" s="199"/>
      <c r="M55" s="199"/>
      <c r="N55" s="216"/>
      <c r="Q55" s="17" t="s">
        <v>192</v>
      </c>
    </row>
    <row r="56" spans="2:17" ht="18.75">
      <c r="B56" s="205"/>
      <c r="C56" s="206" t="s">
        <v>243</v>
      </c>
      <c r="D56" s="215" t="str">
        <f>IF(D9=0,1-(D51)^(1/D7),"")</f>
        <v/>
      </c>
      <c r="E56" s="199"/>
      <c r="F56" s="222" t="str">
        <f>IF(D9=0,D56*D7,"")</f>
        <v/>
      </c>
      <c r="G56" s="206" t="s">
        <v>146</v>
      </c>
      <c r="H56" s="199"/>
      <c r="I56" s="199"/>
      <c r="J56" s="199"/>
      <c r="K56" s="199"/>
      <c r="L56" s="199"/>
      <c r="M56" s="199"/>
      <c r="N56" s="216"/>
      <c r="Q56" s="17" t="s">
        <v>193</v>
      </c>
    </row>
    <row r="57" spans="2:17" ht="14.25" thickBot="1">
      <c r="B57" s="205"/>
      <c r="C57" s="199"/>
      <c r="D57" s="199"/>
      <c r="E57" s="199"/>
      <c r="F57" s="199"/>
      <c r="G57" s="199"/>
      <c r="H57" s="199"/>
      <c r="I57" s="199"/>
      <c r="J57" s="199"/>
      <c r="K57" s="199"/>
      <c r="L57" s="199"/>
      <c r="M57" s="199"/>
      <c r="N57" s="216"/>
      <c r="Q57" s="17" t="s">
        <v>194</v>
      </c>
    </row>
    <row r="58" spans="2:17" ht="19.5" thickBot="1">
      <c r="B58" s="205"/>
      <c r="C58" s="206" t="s">
        <v>241</v>
      </c>
      <c r="D58" s="227" t="str">
        <f>IF(D9=0,D56*(D11-D7),"")</f>
        <v/>
      </c>
      <c r="E58" s="206" t="s">
        <v>146</v>
      </c>
      <c r="F58" s="199"/>
      <c r="G58" s="229" t="s">
        <v>145</v>
      </c>
      <c r="H58" s="230" t="str">
        <f>IF(D9=0,0,"")</f>
        <v/>
      </c>
      <c r="I58" s="231" t="s">
        <v>144</v>
      </c>
      <c r="J58" s="232" t="str">
        <f>IF(D9=0,ROUNDUP(D58,0),"")</f>
        <v/>
      </c>
      <c r="K58" s="225" t="s">
        <v>143</v>
      </c>
      <c r="L58" s="206"/>
      <c r="M58" s="199"/>
      <c r="N58" s="216"/>
      <c r="Q58" s="17" t="s">
        <v>195</v>
      </c>
    </row>
    <row r="59" spans="2:17" ht="14.25" thickBot="1">
      <c r="B59" s="210"/>
      <c r="C59" s="236"/>
      <c r="D59" s="236"/>
      <c r="E59" s="236"/>
      <c r="F59" s="236"/>
      <c r="G59" s="236"/>
      <c r="H59" s="236"/>
      <c r="I59" s="236"/>
      <c r="J59" s="236"/>
      <c r="K59" s="236"/>
      <c r="L59" s="236"/>
      <c r="M59" s="236"/>
      <c r="N59" s="237"/>
      <c r="Q59" s="17" t="s">
        <v>196</v>
      </c>
    </row>
    <row r="60" spans="2:17" ht="15">
      <c r="C60" s="16"/>
      <c r="Q60" s="17" t="s">
        <v>197</v>
      </c>
    </row>
  </sheetData>
  <mergeCells count="2">
    <mergeCell ref="B1:I1"/>
    <mergeCell ref="B3:G3"/>
  </mergeCells>
  <phoneticPr fontId="56" type="noConversion"/>
  <pageMargins left="0" right="3.937007874015748E-2" top="0" bottom="0.74803149606299213" header="0.11811023622047245" footer="0.11811023622047245"/>
  <pageSetup scale="24" orientation="portrait" r:id="rId1"/>
  <headerFooter alignWithMargins="0">
    <oddHeader>&amp;LQS_2362</oddHeader>
    <oddFooter>&amp;L&amp;Z
&amp;F&amp;R&amp;A_Készítette: András Éva / 2021.03.15., Jóváhagyta: Hartai Péter / 2021.03.15.</oddFooter>
  </headerFooter>
  <drawing r:id="rId2"/>
  <legacyDrawing r:id="rId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sheetPr codeName="Sheet2">
    <pageSetUpPr fitToPage="1"/>
  </sheetPr>
  <dimension ref="B2:Z73"/>
  <sheetViews>
    <sheetView view="pageBreakPreview" topLeftCell="A12" zoomScale="70" zoomScaleNormal="100" zoomScaleSheetLayoutView="70" workbookViewId="0">
      <selection activeCell="I35" sqref="I35:N37"/>
    </sheetView>
  </sheetViews>
  <sheetFormatPr defaultColWidth="8" defaultRowHeight="12.75"/>
  <cols>
    <col min="1" max="1" width="8" style="305"/>
    <col min="2" max="2" width="12.7109375" style="305" customWidth="1"/>
    <col min="3" max="3" width="11" style="305" customWidth="1"/>
    <col min="4" max="4" width="9.140625" style="305" customWidth="1"/>
    <col min="5" max="5" width="12" style="305" customWidth="1"/>
    <col min="6" max="6" width="21.7109375" style="305" customWidth="1"/>
    <col min="7" max="7" width="15.7109375" style="305" customWidth="1"/>
    <col min="8" max="8" width="5" style="305" customWidth="1"/>
    <col min="9" max="9" width="10.7109375" style="305" customWidth="1"/>
    <col min="10" max="10" width="13.7109375" style="305" customWidth="1"/>
    <col min="11" max="11" width="10.7109375" style="305" customWidth="1"/>
    <col min="12" max="12" width="13.7109375" style="305" customWidth="1"/>
    <col min="13" max="14" width="10.7109375" style="305" customWidth="1"/>
    <col min="15" max="15" width="12.7109375" style="305" customWidth="1"/>
    <col min="16" max="18" width="8" style="305"/>
    <col min="19" max="19" width="8.140625" style="305" bestFit="1" customWidth="1"/>
    <col min="20" max="16384" width="8" style="305"/>
  </cols>
  <sheetData>
    <row r="2" spans="2:26" ht="12" customHeight="1">
      <c r="Q2" s="306"/>
      <c r="R2" s="306"/>
      <c r="S2" s="306"/>
      <c r="T2" s="306"/>
      <c r="U2" s="306"/>
      <c r="V2" s="306"/>
      <c r="W2" s="306"/>
      <c r="X2" s="306"/>
      <c r="Y2" s="306"/>
      <c r="Z2" s="306"/>
    </row>
    <row r="3" spans="2:26" ht="12" customHeight="1"/>
    <row r="4" spans="2:26" ht="12" customHeight="1">
      <c r="B4" s="732" t="s">
        <v>325</v>
      </c>
      <c r="C4" s="732"/>
      <c r="D4" s="732"/>
      <c r="E4" s="732"/>
      <c r="F4" s="732"/>
      <c r="G4" s="732"/>
      <c r="H4" s="732"/>
      <c r="I4" s="732"/>
      <c r="J4" s="732"/>
      <c r="K4" s="732"/>
      <c r="L4" s="732"/>
      <c r="M4" s="732"/>
      <c r="N4" s="732"/>
      <c r="O4" s="732"/>
    </row>
    <row r="5" spans="2:26" ht="12" customHeight="1">
      <c r="B5" s="732"/>
      <c r="C5" s="732"/>
      <c r="D5" s="732"/>
      <c r="E5" s="732"/>
      <c r="F5" s="732"/>
      <c r="G5" s="732"/>
      <c r="H5" s="732"/>
      <c r="I5" s="732"/>
      <c r="J5" s="732"/>
      <c r="K5" s="732"/>
      <c r="L5" s="732"/>
      <c r="M5" s="732"/>
      <c r="N5" s="732"/>
      <c r="O5" s="732"/>
    </row>
    <row r="6" spans="2:26" s="307" customFormat="1" ht="12" customHeight="1">
      <c r="B6" s="732"/>
      <c r="C6" s="732"/>
      <c r="D6" s="732"/>
      <c r="E6" s="732"/>
      <c r="F6" s="732"/>
      <c r="G6" s="732"/>
      <c r="H6" s="732"/>
      <c r="I6" s="732"/>
      <c r="J6" s="732"/>
      <c r="K6" s="732"/>
      <c r="L6" s="732"/>
      <c r="M6" s="732"/>
      <c r="N6" s="732"/>
      <c r="O6" s="732"/>
      <c r="Q6" s="305"/>
      <c r="R6" s="305"/>
      <c r="S6" s="305"/>
      <c r="T6" s="305"/>
      <c r="U6" s="305"/>
      <c r="V6" s="305"/>
      <c r="W6" s="305"/>
      <c r="X6" s="305"/>
    </row>
    <row r="7" spans="2:26" ht="9.9499999999999993" customHeight="1">
      <c r="B7" s="308"/>
      <c r="C7" s="308"/>
      <c r="D7" s="309"/>
      <c r="E7" s="309"/>
      <c r="F7" s="309"/>
      <c r="G7" s="309"/>
      <c r="H7" s="309"/>
      <c r="I7" s="309"/>
      <c r="J7" s="309"/>
      <c r="K7" s="309"/>
      <c r="L7" s="309"/>
      <c r="M7" s="309"/>
      <c r="N7" s="310"/>
      <c r="O7" s="310"/>
    </row>
    <row r="8" spans="2:26" s="311" customFormat="1" ht="30" customHeight="1">
      <c r="B8" s="708" t="s">
        <v>245</v>
      </c>
      <c r="C8" s="709"/>
      <c r="D8" s="730"/>
      <c r="E8" s="730"/>
      <c r="F8" s="730"/>
      <c r="G8" s="730"/>
      <c r="H8" s="730"/>
      <c r="I8" s="730"/>
      <c r="J8" s="709"/>
      <c r="K8" s="312"/>
      <c r="L8" s="710" t="s">
        <v>246</v>
      </c>
      <c r="M8" s="710"/>
      <c r="N8" s="733"/>
      <c r="O8" s="710"/>
      <c r="Q8" s="313"/>
      <c r="R8" s="313"/>
      <c r="S8" s="313"/>
      <c r="T8" s="313"/>
      <c r="U8" s="313"/>
      <c r="V8" s="313"/>
      <c r="W8" s="313"/>
      <c r="X8" s="313"/>
    </row>
    <row r="9" spans="2:26" s="313" customFormat="1" ht="9.9499999999999993" customHeight="1">
      <c r="B9" s="707"/>
      <c r="C9" s="707"/>
      <c r="D9" s="707"/>
      <c r="E9" s="707"/>
      <c r="F9" s="707"/>
      <c r="G9" s="707"/>
      <c r="H9" s="707"/>
      <c r="I9" s="707"/>
      <c r="J9" s="707"/>
      <c r="K9" s="707"/>
      <c r="L9" s="707"/>
      <c r="M9" s="707"/>
      <c r="N9" s="707"/>
      <c r="O9" s="707"/>
    </row>
    <row r="10" spans="2:26" s="313" customFormat="1" ht="30" customHeight="1">
      <c r="B10" s="708" t="s">
        <v>328</v>
      </c>
      <c r="C10" s="709"/>
      <c r="D10" s="730"/>
      <c r="E10" s="730"/>
      <c r="F10" s="730"/>
      <c r="G10" s="730"/>
      <c r="H10" s="730"/>
      <c r="I10" s="730"/>
      <c r="J10" s="709"/>
      <c r="K10" s="312"/>
      <c r="L10" s="708" t="s">
        <v>247</v>
      </c>
      <c r="M10" s="709"/>
      <c r="N10" s="731"/>
      <c r="O10" s="731"/>
    </row>
    <row r="11" spans="2:26" s="313" customFormat="1" ht="9.9499999999999993" customHeight="1">
      <c r="B11" s="707"/>
      <c r="C11" s="707"/>
      <c r="D11" s="707"/>
      <c r="E11" s="707"/>
      <c r="F11" s="707"/>
      <c r="G11" s="707"/>
      <c r="H11" s="707"/>
      <c r="I11" s="707"/>
      <c r="J11" s="707"/>
      <c r="K11" s="707"/>
      <c r="L11" s="707"/>
      <c r="M11" s="707"/>
      <c r="N11" s="707"/>
      <c r="O11" s="707"/>
    </row>
    <row r="12" spans="2:26" s="313" customFormat="1" ht="30" customHeight="1">
      <c r="B12" s="707"/>
      <c r="C12" s="707"/>
      <c r="D12" s="707"/>
      <c r="E12" s="707"/>
      <c r="F12" s="707"/>
      <c r="G12" s="707"/>
      <c r="H12" s="707"/>
      <c r="I12" s="707"/>
      <c r="J12" s="707"/>
      <c r="K12" s="314"/>
      <c r="L12" s="708" t="s">
        <v>248</v>
      </c>
      <c r="M12" s="709"/>
      <c r="N12" s="710">
        <v>0</v>
      </c>
      <c r="O12" s="710"/>
    </row>
    <row r="13" spans="2:26" ht="9.9499999999999993" customHeight="1" thickBot="1">
      <c r="B13" s="306"/>
      <c r="C13" s="306"/>
      <c r="D13" s="306"/>
      <c r="E13" s="306"/>
      <c r="F13" s="306"/>
      <c r="G13" s="306"/>
      <c r="H13" s="306"/>
      <c r="I13" s="306"/>
      <c r="J13" s="306"/>
      <c r="K13" s="306"/>
      <c r="L13" s="306"/>
      <c r="M13" s="306"/>
      <c r="N13" s="306"/>
      <c r="O13" s="306"/>
    </row>
    <row r="14" spans="2:26" ht="20.100000000000001" customHeight="1">
      <c r="B14" s="315"/>
      <c r="C14" s="316"/>
      <c r="D14" s="316"/>
      <c r="E14" s="316"/>
      <c r="F14" s="316"/>
      <c r="G14" s="316"/>
      <c r="H14" s="316"/>
      <c r="I14" s="316"/>
      <c r="J14" s="316"/>
      <c r="K14" s="316"/>
      <c r="L14" s="316"/>
      <c r="M14" s="316"/>
      <c r="N14" s="316"/>
      <c r="O14" s="317"/>
    </row>
    <row r="15" spans="2:26" ht="20.100000000000001" customHeight="1" thickBot="1">
      <c r="B15" s="318"/>
      <c r="O15" s="319"/>
    </row>
    <row r="16" spans="2:26" ht="20.100000000000001" customHeight="1" thickTop="1">
      <c r="B16" s="318"/>
      <c r="C16" s="711"/>
      <c r="D16" s="712"/>
      <c r="E16" s="712"/>
      <c r="F16" s="712"/>
      <c r="G16" s="713"/>
      <c r="H16" s="720"/>
      <c r="I16" s="721"/>
      <c r="J16" s="722"/>
      <c r="K16" s="722"/>
      <c r="L16" s="722"/>
      <c r="M16" s="722"/>
      <c r="N16" s="723"/>
      <c r="O16" s="319"/>
    </row>
    <row r="17" spans="2:20" ht="20.100000000000001" customHeight="1">
      <c r="B17" s="318"/>
      <c r="C17" s="714"/>
      <c r="D17" s="715"/>
      <c r="E17" s="715"/>
      <c r="F17" s="715"/>
      <c r="G17" s="716"/>
      <c r="H17" s="720"/>
      <c r="I17" s="724"/>
      <c r="J17" s="725"/>
      <c r="K17" s="725"/>
      <c r="L17" s="725"/>
      <c r="M17" s="725"/>
      <c r="N17" s="726"/>
      <c r="O17" s="319"/>
    </row>
    <row r="18" spans="2:20" ht="20.100000000000001" customHeight="1">
      <c r="B18" s="318"/>
      <c r="C18" s="714"/>
      <c r="D18" s="715"/>
      <c r="E18" s="715"/>
      <c r="F18" s="715"/>
      <c r="G18" s="716"/>
      <c r="H18" s="720"/>
      <c r="I18" s="724"/>
      <c r="J18" s="725"/>
      <c r="K18" s="725"/>
      <c r="L18" s="725"/>
      <c r="M18" s="725"/>
      <c r="N18" s="726"/>
      <c r="O18" s="319"/>
    </row>
    <row r="19" spans="2:20" ht="20.100000000000001" customHeight="1">
      <c r="B19" s="318"/>
      <c r="C19" s="714"/>
      <c r="D19" s="715"/>
      <c r="E19" s="715"/>
      <c r="F19" s="715"/>
      <c r="G19" s="716"/>
      <c r="H19" s="720"/>
      <c r="I19" s="724"/>
      <c r="J19" s="725"/>
      <c r="K19" s="725"/>
      <c r="L19" s="725"/>
      <c r="M19" s="725"/>
      <c r="N19" s="726"/>
      <c r="O19" s="319"/>
    </row>
    <row r="20" spans="2:20" ht="20.100000000000001" customHeight="1">
      <c r="B20" s="318"/>
      <c r="C20" s="714"/>
      <c r="D20" s="715"/>
      <c r="E20" s="715"/>
      <c r="F20" s="715"/>
      <c r="G20" s="716"/>
      <c r="H20" s="720"/>
      <c r="I20" s="724"/>
      <c r="J20" s="725"/>
      <c r="K20" s="725"/>
      <c r="L20" s="725"/>
      <c r="M20" s="725"/>
      <c r="N20" s="726"/>
      <c r="O20" s="319"/>
    </row>
    <row r="21" spans="2:20" ht="20.100000000000001" customHeight="1">
      <c r="B21" s="318"/>
      <c r="C21" s="714"/>
      <c r="D21" s="715"/>
      <c r="E21" s="715"/>
      <c r="F21" s="715"/>
      <c r="G21" s="716"/>
      <c r="H21" s="720"/>
      <c r="I21" s="724"/>
      <c r="J21" s="725"/>
      <c r="K21" s="725"/>
      <c r="L21" s="725"/>
      <c r="M21" s="725"/>
      <c r="N21" s="726"/>
      <c r="O21" s="319"/>
    </row>
    <row r="22" spans="2:20" ht="20.100000000000001" customHeight="1">
      <c r="B22" s="318"/>
      <c r="C22" s="714"/>
      <c r="D22" s="715"/>
      <c r="E22" s="715"/>
      <c r="F22" s="715"/>
      <c r="G22" s="716"/>
      <c r="H22" s="720"/>
      <c r="I22" s="724"/>
      <c r="J22" s="725"/>
      <c r="K22" s="725"/>
      <c r="L22" s="725"/>
      <c r="M22" s="725"/>
      <c r="N22" s="726"/>
      <c r="O22" s="319"/>
    </row>
    <row r="23" spans="2:20" ht="20.100000000000001" customHeight="1">
      <c r="B23" s="318"/>
      <c r="C23" s="714"/>
      <c r="D23" s="715"/>
      <c r="E23" s="715"/>
      <c r="F23" s="715"/>
      <c r="G23" s="716"/>
      <c r="H23" s="720"/>
      <c r="I23" s="724"/>
      <c r="J23" s="725"/>
      <c r="K23" s="725"/>
      <c r="L23" s="725"/>
      <c r="M23" s="725"/>
      <c r="N23" s="726"/>
      <c r="O23" s="319"/>
    </row>
    <row r="24" spans="2:20" ht="20.100000000000001" customHeight="1">
      <c r="B24" s="318"/>
      <c r="C24" s="714"/>
      <c r="D24" s="715"/>
      <c r="E24" s="715"/>
      <c r="F24" s="715"/>
      <c r="G24" s="716"/>
      <c r="H24" s="720"/>
      <c r="I24" s="724"/>
      <c r="J24" s="725"/>
      <c r="K24" s="725"/>
      <c r="L24" s="725"/>
      <c r="M24" s="725"/>
      <c r="N24" s="726"/>
      <c r="O24" s="319"/>
    </row>
    <row r="25" spans="2:20" ht="20.100000000000001" customHeight="1">
      <c r="B25" s="318"/>
      <c r="C25" s="714"/>
      <c r="D25" s="715"/>
      <c r="E25" s="715"/>
      <c r="F25" s="715"/>
      <c r="G25" s="716"/>
      <c r="H25" s="720"/>
      <c r="I25" s="724"/>
      <c r="J25" s="725"/>
      <c r="K25" s="725"/>
      <c r="L25" s="725"/>
      <c r="M25" s="725"/>
      <c r="N25" s="726"/>
      <c r="O25" s="319"/>
    </row>
    <row r="26" spans="2:20" ht="20.100000000000001" customHeight="1">
      <c r="B26" s="318"/>
      <c r="C26" s="714"/>
      <c r="D26" s="715"/>
      <c r="E26" s="715"/>
      <c r="F26" s="715"/>
      <c r="G26" s="716"/>
      <c r="H26" s="720"/>
      <c r="I26" s="724"/>
      <c r="J26" s="725"/>
      <c r="K26" s="725"/>
      <c r="L26" s="725"/>
      <c r="M26" s="725"/>
      <c r="N26" s="726"/>
      <c r="O26" s="319"/>
    </row>
    <row r="27" spans="2:20" ht="20.100000000000001" customHeight="1">
      <c r="B27" s="318"/>
      <c r="C27" s="714"/>
      <c r="D27" s="715"/>
      <c r="E27" s="715"/>
      <c r="F27" s="715"/>
      <c r="G27" s="716"/>
      <c r="H27" s="720"/>
      <c r="I27" s="724"/>
      <c r="J27" s="725"/>
      <c r="K27" s="725"/>
      <c r="L27" s="725"/>
      <c r="M27" s="725"/>
      <c r="N27" s="726"/>
      <c r="O27" s="319"/>
    </row>
    <row r="28" spans="2:20" ht="20.100000000000001" customHeight="1">
      <c r="B28" s="318"/>
      <c r="C28" s="714"/>
      <c r="D28" s="715"/>
      <c r="E28" s="715"/>
      <c r="F28" s="715"/>
      <c r="G28" s="716"/>
      <c r="H28" s="720"/>
      <c r="I28" s="724"/>
      <c r="J28" s="725"/>
      <c r="K28" s="725"/>
      <c r="L28" s="725"/>
      <c r="M28" s="725"/>
      <c r="N28" s="726"/>
      <c r="O28" s="319"/>
      <c r="T28" s="323"/>
    </row>
    <row r="29" spans="2:20" ht="20.100000000000001" customHeight="1">
      <c r="B29" s="318"/>
      <c r="C29" s="714"/>
      <c r="D29" s="715"/>
      <c r="E29" s="715"/>
      <c r="F29" s="715"/>
      <c r="G29" s="716"/>
      <c r="H29" s="720"/>
      <c r="I29" s="724"/>
      <c r="J29" s="725"/>
      <c r="K29" s="725"/>
      <c r="L29" s="725"/>
      <c r="M29" s="725"/>
      <c r="N29" s="726"/>
      <c r="O29" s="319"/>
    </row>
    <row r="30" spans="2:20" ht="20.100000000000001" customHeight="1">
      <c r="B30" s="318"/>
      <c r="C30" s="714"/>
      <c r="D30" s="715"/>
      <c r="E30" s="715"/>
      <c r="F30" s="715"/>
      <c r="G30" s="716"/>
      <c r="H30" s="720"/>
      <c r="I30" s="724"/>
      <c r="J30" s="725"/>
      <c r="K30" s="725"/>
      <c r="L30" s="725"/>
      <c r="M30" s="725"/>
      <c r="N30" s="726"/>
      <c r="O30" s="319"/>
    </row>
    <row r="31" spans="2:20" ht="20.100000000000001" customHeight="1">
      <c r="B31" s="318"/>
      <c r="C31" s="714"/>
      <c r="D31" s="715"/>
      <c r="E31" s="715"/>
      <c r="F31" s="715"/>
      <c r="G31" s="716"/>
      <c r="H31" s="720"/>
      <c r="I31" s="724"/>
      <c r="J31" s="725"/>
      <c r="K31" s="725"/>
      <c r="L31" s="725"/>
      <c r="M31" s="725"/>
      <c r="N31" s="726"/>
      <c r="O31" s="319"/>
    </row>
    <row r="32" spans="2:20" ht="20.100000000000001" customHeight="1" thickBot="1">
      <c r="B32" s="318"/>
      <c r="C32" s="717"/>
      <c r="D32" s="718"/>
      <c r="E32" s="718"/>
      <c r="F32" s="718"/>
      <c r="G32" s="719"/>
      <c r="H32" s="720"/>
      <c r="I32" s="727"/>
      <c r="J32" s="728"/>
      <c r="K32" s="728"/>
      <c r="L32" s="728"/>
      <c r="M32" s="728"/>
      <c r="N32" s="729"/>
      <c r="O32" s="319"/>
    </row>
    <row r="33" spans="2:15" ht="20.100000000000001" customHeight="1" thickTop="1">
      <c r="B33" s="318"/>
      <c r="C33" s="321"/>
      <c r="D33" s="321"/>
      <c r="E33" s="321"/>
      <c r="F33" s="321"/>
      <c r="G33" s="321"/>
      <c r="H33" s="320"/>
      <c r="I33" s="322"/>
      <c r="J33" s="322"/>
      <c r="K33" s="322"/>
      <c r="L33" s="322"/>
      <c r="M33" s="322"/>
      <c r="N33" s="322"/>
      <c r="O33" s="319"/>
    </row>
    <row r="34" spans="2:15" ht="20.100000000000001" customHeight="1">
      <c r="B34" s="318"/>
      <c r="C34" s="689" t="s">
        <v>326</v>
      </c>
      <c r="D34" s="690"/>
      <c r="E34" s="690"/>
      <c r="F34" s="690"/>
      <c r="G34" s="691"/>
      <c r="H34" s="692"/>
      <c r="I34" s="689" t="s">
        <v>327</v>
      </c>
      <c r="J34" s="690"/>
      <c r="K34" s="690"/>
      <c r="L34" s="690"/>
      <c r="M34" s="690"/>
      <c r="N34" s="691"/>
      <c r="O34" s="319"/>
    </row>
    <row r="35" spans="2:15" ht="20.100000000000001" customHeight="1">
      <c r="B35" s="318"/>
      <c r="C35" s="693"/>
      <c r="D35" s="694"/>
      <c r="E35" s="694"/>
      <c r="F35" s="694"/>
      <c r="G35" s="695"/>
      <c r="H35" s="692"/>
      <c r="I35" s="700"/>
      <c r="J35" s="701"/>
      <c r="K35" s="701"/>
      <c r="L35" s="701"/>
      <c r="M35" s="701"/>
      <c r="N35" s="702"/>
      <c r="O35" s="319"/>
    </row>
    <row r="36" spans="2:15" ht="20.100000000000001" customHeight="1">
      <c r="B36" s="318"/>
      <c r="C36" s="696"/>
      <c r="D36" s="694"/>
      <c r="E36" s="694"/>
      <c r="F36" s="694"/>
      <c r="G36" s="695"/>
      <c r="H36" s="692"/>
      <c r="I36" s="703"/>
      <c r="J36" s="701"/>
      <c r="K36" s="701"/>
      <c r="L36" s="701"/>
      <c r="M36" s="701"/>
      <c r="N36" s="702"/>
      <c r="O36" s="319"/>
    </row>
    <row r="37" spans="2:15" ht="20.100000000000001" customHeight="1">
      <c r="B37" s="318"/>
      <c r="C37" s="697"/>
      <c r="D37" s="698"/>
      <c r="E37" s="698"/>
      <c r="F37" s="698"/>
      <c r="G37" s="699"/>
      <c r="H37" s="692"/>
      <c r="I37" s="704"/>
      <c r="J37" s="705"/>
      <c r="K37" s="705"/>
      <c r="L37" s="705"/>
      <c r="M37" s="705"/>
      <c r="N37" s="706"/>
      <c r="O37" s="319"/>
    </row>
    <row r="38" spans="2:15" ht="20.100000000000001" customHeight="1" thickBot="1">
      <c r="B38" s="324"/>
      <c r="C38" s="325"/>
      <c r="D38" s="325"/>
      <c r="E38" s="325"/>
      <c r="F38" s="325"/>
      <c r="G38" s="325"/>
      <c r="H38" s="325"/>
      <c r="I38" s="325"/>
      <c r="J38" s="325"/>
      <c r="K38" s="325"/>
      <c r="L38" s="325"/>
      <c r="M38" s="325"/>
      <c r="N38" s="325"/>
      <c r="O38" s="326"/>
    </row>
    <row r="39" spans="2:15" ht="20.100000000000001" customHeight="1"/>
    <row r="40" spans="2:15" ht="20.100000000000001" customHeight="1"/>
    <row r="41" spans="2:15" ht="20.100000000000001" customHeight="1"/>
    <row r="42" spans="2:15" ht="20.100000000000001" customHeight="1"/>
    <row r="43" spans="2:15" ht="20.100000000000001" customHeight="1"/>
    <row r="44" spans="2:15" ht="20.100000000000001" customHeight="1"/>
    <row r="45" spans="2:15" ht="20.100000000000001" customHeight="1"/>
    <row r="46" spans="2:15" ht="20.100000000000001" customHeight="1"/>
    <row r="47" spans="2:15" ht="20.100000000000001" customHeight="1"/>
    <row r="48" spans="2:15" ht="20.100000000000001" customHeight="1"/>
    <row r="49" ht="20.100000000000001" customHeight="1"/>
    <row r="50" ht="20.100000000000001" customHeight="1"/>
    <row r="51" ht="20.100000000000001" customHeight="1"/>
    <row r="52" ht="20.100000000000001" customHeight="1"/>
    <row r="53" ht="20.100000000000001" customHeight="1"/>
    <row r="54" ht="20.100000000000001" customHeight="1"/>
    <row r="55" ht="20.100000000000001" customHeight="1"/>
    <row r="56" ht="20.100000000000001" customHeight="1"/>
    <row r="57" ht="20.100000000000001" customHeight="1"/>
    <row r="58" ht="20.100000000000001" customHeight="1"/>
    <row r="59" ht="20.100000000000001" customHeight="1"/>
    <row r="60" ht="20.100000000000001" customHeight="1"/>
    <row r="61" ht="20.100000000000001" customHeight="1"/>
    <row r="62" ht="20.100000000000001" customHeight="1"/>
    <row r="63" ht="20.100000000000001" customHeight="1"/>
    <row r="64" ht="20.100000000000001" customHeight="1"/>
    <row r="65" ht="20.100000000000001" customHeight="1"/>
    <row r="66" ht="20.100000000000001" customHeight="1"/>
    <row r="67" ht="20.100000000000001" customHeight="1"/>
    <row r="68" ht="20.100000000000001" customHeight="1"/>
    <row r="69" ht="20.100000000000001" customHeight="1"/>
    <row r="70" ht="20.100000000000001" customHeight="1"/>
    <row r="71" ht="20.100000000000001" customHeight="1"/>
    <row r="72" ht="30" customHeight="1"/>
    <row r="73" ht="30" customHeight="1"/>
  </sheetData>
  <mergeCells count="27">
    <mergeCell ref="B9:D9"/>
    <mergeCell ref="E9:K9"/>
    <mergeCell ref="L9:O9"/>
    <mergeCell ref="B4:O6"/>
    <mergeCell ref="B8:C8"/>
    <mergeCell ref="D8:J8"/>
    <mergeCell ref="L8:M8"/>
    <mergeCell ref="N8:O8"/>
    <mergeCell ref="B10:C10"/>
    <mergeCell ref="D10:J10"/>
    <mergeCell ref="L10:M10"/>
    <mergeCell ref="N10:O10"/>
    <mergeCell ref="B11:D11"/>
    <mergeCell ref="E11:K11"/>
    <mergeCell ref="L11:O11"/>
    <mergeCell ref="B12:C12"/>
    <mergeCell ref="D12:J12"/>
    <mergeCell ref="L12:M12"/>
    <mergeCell ref="N12:O12"/>
    <mergeCell ref="C16:G32"/>
    <mergeCell ref="H16:H32"/>
    <mergeCell ref="I16:N32"/>
    <mergeCell ref="C34:G34"/>
    <mergeCell ref="H34:H37"/>
    <mergeCell ref="I34:N34"/>
    <mergeCell ref="C35:G37"/>
    <mergeCell ref="I35:N37"/>
  </mergeCells>
  <phoneticPr fontId="56" type="noConversion"/>
  <printOptions horizontalCentered="1" verticalCentered="1"/>
  <pageMargins left="0.70866141732283472" right="0.70866141732283472" top="0.74803149606299213" bottom="0.74803149606299213" header="0.31496062992125984" footer="0.31496062992125984"/>
  <pageSetup paperSize="9" scale="50" orientation="landscape" r:id="rId1"/>
  <drawing r:id="rId2"/>
</worksheet>
</file>

<file path=xl/worksheets/sheet4.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sheetPr codeName="Sheet3">
    <pageSetUpPr fitToPage="1"/>
  </sheetPr>
  <dimension ref="A2:AA64"/>
  <sheetViews>
    <sheetView showGridLines="0" view="pageBreakPreview" topLeftCell="E35" zoomScale="80" zoomScaleNormal="100" zoomScaleSheetLayoutView="80" workbookViewId="0">
      <selection activeCell="G8" sqref="G8"/>
    </sheetView>
  </sheetViews>
  <sheetFormatPr defaultColWidth="9.140625" defaultRowHeight="12.75"/>
  <cols>
    <col min="1" max="1" width="2.7109375" style="238" customWidth="1"/>
    <col min="2" max="4" width="5" style="240" customWidth="1"/>
    <col min="5" max="5" width="16.140625" style="241" customWidth="1"/>
    <col min="6" max="6" width="77.5703125" style="238" customWidth="1"/>
    <col min="7" max="7" width="176.28515625" style="238" customWidth="1"/>
    <col min="8" max="8" width="4.85546875" style="240" hidden="1" customWidth="1"/>
    <col min="9" max="11" width="3.28515625" style="240" hidden="1" customWidth="1"/>
    <col min="12" max="12" width="6.140625" style="240" hidden="1" customWidth="1"/>
    <col min="13" max="13" width="5.5703125" style="240" hidden="1" customWidth="1"/>
    <col min="14" max="14" width="0.5703125" style="238" hidden="1" customWidth="1"/>
    <col min="15" max="15" width="2.5703125" style="238" customWidth="1"/>
    <col min="16" max="22" width="9.140625" style="238" hidden="1" customWidth="1"/>
    <col min="23" max="23" width="6.140625" style="238" customWidth="1"/>
    <col min="24" max="27" width="9.140625" style="238" hidden="1" customWidth="1"/>
    <col min="28" max="16384" width="9.140625" style="238"/>
  </cols>
  <sheetData>
    <row r="2" spans="1:22" ht="18">
      <c r="B2" s="239" t="s">
        <v>244</v>
      </c>
    </row>
    <row r="3" spans="1:22" s="245" customFormat="1" ht="11.25" customHeight="1">
      <c r="A3" s="242"/>
      <c r="B3" s="242"/>
      <c r="C3" s="242"/>
      <c r="D3" s="242"/>
      <c r="E3" s="242"/>
      <c r="F3" s="243"/>
      <c r="G3" s="242"/>
      <c r="H3" s="242"/>
      <c r="I3" s="242"/>
      <c r="J3" s="242"/>
      <c r="K3" s="242"/>
      <c r="L3" s="242"/>
      <c r="M3" s="242"/>
      <c r="N3" s="242"/>
      <c r="O3" s="242"/>
      <c r="P3" s="242"/>
      <c r="Q3" s="242"/>
      <c r="R3" s="242"/>
      <c r="S3" s="244"/>
      <c r="T3" s="244"/>
      <c r="U3" s="242"/>
      <c r="V3" s="242"/>
    </row>
    <row r="4" spans="1:22" s="245" customFormat="1" ht="33.75">
      <c r="B4" s="296" t="s">
        <v>304</v>
      </c>
      <c r="C4" s="261"/>
      <c r="D4" s="262"/>
      <c r="E4" s="263"/>
      <c r="F4" s="264"/>
      <c r="G4" s="263"/>
      <c r="H4" s="247"/>
      <c r="I4" s="247"/>
      <c r="J4" s="247"/>
      <c r="K4" s="247"/>
      <c r="L4" s="246"/>
      <c r="M4" s="247"/>
      <c r="N4" s="248"/>
      <c r="O4" s="248"/>
      <c r="P4" s="249"/>
      <c r="Q4" s="250"/>
      <c r="R4" s="244"/>
      <c r="S4" s="244"/>
    </row>
    <row r="5" spans="1:22" s="245" customFormat="1" ht="20.25">
      <c r="B5" s="264"/>
      <c r="C5" s="261"/>
      <c r="D5" s="262"/>
      <c r="E5" s="263"/>
      <c r="F5" s="263"/>
      <c r="G5" s="263"/>
      <c r="H5" s="251"/>
      <c r="I5" s="251"/>
      <c r="J5" s="251"/>
      <c r="K5" s="734"/>
      <c r="L5" s="734"/>
      <c r="M5" s="734"/>
      <c r="N5" s="251"/>
      <c r="O5" s="251"/>
      <c r="P5" s="247"/>
      <c r="R5" s="244"/>
      <c r="S5" s="244"/>
    </row>
    <row r="6" spans="1:22" s="245" customFormat="1" ht="30.75" customHeight="1">
      <c r="A6" s="252"/>
      <c r="B6" s="735" t="s">
        <v>245</v>
      </c>
      <c r="C6" s="736"/>
      <c r="D6" s="737"/>
      <c r="E6" s="735" t="str">
        <f>'8D Form_v1'!F30</f>
        <v>Shrot brush length</v>
      </c>
      <c r="F6" s="737"/>
      <c r="G6" s="265"/>
      <c r="H6" s="251"/>
      <c r="I6" s="251"/>
      <c r="J6" s="251"/>
      <c r="K6" s="734"/>
      <c r="L6" s="734"/>
      <c r="M6" s="734"/>
      <c r="N6" s="248"/>
      <c r="O6" s="248"/>
      <c r="P6" s="249"/>
      <c r="Q6" s="252"/>
      <c r="R6" s="253"/>
      <c r="S6" s="253"/>
      <c r="T6" s="252"/>
      <c r="U6" s="252"/>
    </row>
    <row r="7" spans="1:22" s="245" customFormat="1" ht="20.25">
      <c r="A7" s="252"/>
      <c r="B7" s="264"/>
      <c r="C7" s="266"/>
      <c r="D7" s="262"/>
      <c r="E7" s="267"/>
      <c r="F7" s="267"/>
      <c r="G7" s="268"/>
      <c r="H7" s="254"/>
      <c r="I7" s="254"/>
      <c r="J7" s="254"/>
      <c r="K7" s="734"/>
      <c r="L7" s="734"/>
      <c r="M7" s="734"/>
      <c r="N7" s="734"/>
      <c r="O7" s="251"/>
      <c r="P7" s="255"/>
      <c r="Q7" s="252"/>
      <c r="R7" s="252"/>
      <c r="S7" s="252"/>
      <c r="T7" s="252"/>
      <c r="U7" s="252"/>
    </row>
    <row r="8" spans="1:22" s="245" customFormat="1" ht="30.75" customHeight="1">
      <c r="A8" s="252"/>
      <c r="B8" s="735" t="s">
        <v>246</v>
      </c>
      <c r="C8" s="736"/>
      <c r="D8" s="737"/>
      <c r="E8" s="735">
        <f>'8D Form_v1'!K26</f>
        <v>0</v>
      </c>
      <c r="F8" s="737"/>
      <c r="G8" s="265"/>
      <c r="H8" s="251"/>
      <c r="I8" s="251"/>
      <c r="J8" s="251"/>
      <c r="K8" s="256"/>
      <c r="L8" s="256"/>
      <c r="M8" s="256"/>
      <c r="N8" s="248"/>
      <c r="O8" s="248"/>
      <c r="P8" s="249"/>
      <c r="Q8" s="252"/>
      <c r="R8" s="253"/>
      <c r="S8" s="253"/>
      <c r="T8" s="252"/>
      <c r="U8" s="252"/>
    </row>
    <row r="9" spans="1:22" s="245" customFormat="1" ht="20.25">
      <c r="A9" s="252"/>
      <c r="B9" s="264"/>
      <c r="C9" s="266"/>
      <c r="D9" s="262"/>
      <c r="E9" s="265"/>
      <c r="F9" s="265"/>
      <c r="G9" s="268"/>
      <c r="H9" s="254"/>
      <c r="I9" s="254"/>
      <c r="J9" s="254"/>
      <c r="K9" s="734"/>
      <c r="L9" s="734"/>
      <c r="M9" s="734"/>
      <c r="N9" s="734"/>
      <c r="O9" s="251"/>
      <c r="P9" s="255"/>
      <c r="Q9" s="252"/>
      <c r="R9" s="252"/>
      <c r="S9" s="252"/>
      <c r="T9" s="252"/>
      <c r="U9" s="252"/>
    </row>
    <row r="10" spans="1:22" s="245" customFormat="1" ht="30.75" customHeight="1">
      <c r="A10" s="252"/>
      <c r="B10" s="735" t="s">
        <v>301</v>
      </c>
      <c r="C10" s="736"/>
      <c r="D10" s="737"/>
      <c r="E10" s="735">
        <f>'8D Form_v1'!R30</f>
        <v>3134320709</v>
      </c>
      <c r="F10" s="737"/>
      <c r="G10" s="265"/>
      <c r="H10" s="251"/>
      <c r="I10" s="251"/>
      <c r="J10" s="251"/>
      <c r="K10" s="734"/>
      <c r="L10" s="734"/>
      <c r="M10" s="734"/>
      <c r="N10" s="734"/>
      <c r="O10" s="248"/>
      <c r="P10" s="257"/>
      <c r="Q10" s="252"/>
      <c r="R10" s="253"/>
      <c r="S10" s="253"/>
      <c r="T10" s="252"/>
      <c r="U10" s="252"/>
    </row>
    <row r="11" spans="1:22" s="245" customFormat="1" ht="20.25">
      <c r="A11" s="252"/>
      <c r="B11" s="264"/>
      <c r="C11" s="266"/>
      <c r="D11" s="262"/>
      <c r="E11" s="265"/>
      <c r="F11" s="265"/>
      <c r="G11" s="268"/>
      <c r="H11" s="254"/>
      <c r="I11" s="254"/>
      <c r="J11" s="254"/>
      <c r="K11" s="734"/>
      <c r="L11" s="734"/>
      <c r="M11" s="734"/>
      <c r="N11" s="734"/>
      <c r="O11" s="251"/>
      <c r="P11" s="255"/>
      <c r="Q11" s="252"/>
      <c r="R11" s="252"/>
      <c r="S11" s="252"/>
      <c r="T11" s="252"/>
      <c r="U11" s="252"/>
    </row>
    <row r="12" spans="1:22" s="245" customFormat="1" ht="30.75" customHeight="1">
      <c r="A12" s="252"/>
      <c r="B12" s="735" t="s">
        <v>247</v>
      </c>
      <c r="C12" s="736"/>
      <c r="D12" s="737"/>
      <c r="E12" s="735" t="s">
        <v>394</v>
      </c>
      <c r="F12" s="737"/>
      <c r="G12" s="265"/>
      <c r="H12" s="251"/>
      <c r="I12" s="251"/>
      <c r="J12" s="251"/>
      <c r="K12" s="734"/>
      <c r="L12" s="734"/>
      <c r="M12" s="734"/>
      <c r="N12" s="734"/>
      <c r="O12" s="248"/>
      <c r="P12" s="257"/>
      <c r="Q12" s="252"/>
      <c r="R12" s="253"/>
      <c r="S12" s="253"/>
      <c r="T12" s="252"/>
      <c r="U12" s="252"/>
    </row>
    <row r="13" spans="1:22" s="245" customFormat="1" ht="20.25">
      <c r="A13" s="252"/>
      <c r="B13" s="264"/>
      <c r="C13" s="266"/>
      <c r="D13" s="262"/>
      <c r="E13" s="265"/>
      <c r="F13" s="265"/>
      <c r="G13" s="268"/>
      <c r="H13" s="254"/>
      <c r="I13" s="254"/>
      <c r="J13" s="254"/>
      <c r="K13" s="734"/>
      <c r="L13" s="734"/>
      <c r="M13" s="734"/>
      <c r="N13" s="734"/>
      <c r="O13" s="251"/>
      <c r="P13" s="255"/>
      <c r="Q13" s="252"/>
      <c r="R13" s="252"/>
      <c r="S13" s="252"/>
      <c r="T13" s="252"/>
      <c r="U13" s="252"/>
    </row>
    <row r="14" spans="1:22" s="245" customFormat="1" ht="30.75" customHeight="1">
      <c r="A14" s="252"/>
      <c r="B14" s="735" t="s">
        <v>248</v>
      </c>
      <c r="C14" s="736"/>
      <c r="D14" s="737"/>
      <c r="E14" s="735"/>
      <c r="F14" s="737"/>
      <c r="G14" s="265"/>
      <c r="H14" s="251"/>
      <c r="I14" s="251"/>
      <c r="J14" s="251"/>
      <c r="K14" s="734"/>
      <c r="L14" s="734"/>
      <c r="M14" s="734"/>
      <c r="N14" s="734"/>
      <c r="O14" s="248"/>
      <c r="P14" s="257"/>
      <c r="Q14" s="252"/>
      <c r="R14" s="253"/>
      <c r="S14" s="253"/>
      <c r="T14" s="252"/>
      <c r="U14" s="252"/>
    </row>
    <row r="15" spans="1:22" s="245" customFormat="1" ht="20.25">
      <c r="A15" s="252"/>
      <c r="B15" s="264"/>
      <c r="C15" s="266"/>
      <c r="D15" s="262"/>
      <c r="E15" s="265"/>
      <c r="F15" s="265"/>
      <c r="G15" s="268"/>
      <c r="H15" s="254"/>
      <c r="I15" s="254"/>
      <c r="J15" s="254"/>
      <c r="K15" s="734"/>
      <c r="L15" s="734"/>
      <c r="M15" s="734"/>
      <c r="N15" s="734"/>
      <c r="O15" s="251"/>
      <c r="P15" s="255"/>
      <c r="Q15" s="252"/>
      <c r="R15" s="252"/>
      <c r="S15" s="252"/>
      <c r="T15" s="252"/>
      <c r="U15" s="252"/>
    </row>
    <row r="16" spans="1:22" s="245" customFormat="1" ht="30.75" customHeight="1">
      <c r="A16" s="252"/>
      <c r="B16" s="735" t="s">
        <v>249</v>
      </c>
      <c r="C16" s="736"/>
      <c r="D16" s="737"/>
      <c r="E16" s="735" t="s">
        <v>310</v>
      </c>
      <c r="F16" s="737"/>
      <c r="G16" s="265"/>
      <c r="H16" s="251"/>
      <c r="I16" s="251"/>
      <c r="J16" s="251"/>
      <c r="K16" s="734"/>
      <c r="L16" s="734"/>
      <c r="M16" s="734"/>
      <c r="N16" s="734"/>
      <c r="O16" s="248"/>
      <c r="P16" s="257"/>
      <c r="Q16" s="252"/>
      <c r="R16" s="253"/>
      <c r="S16" s="253"/>
      <c r="T16" s="252"/>
      <c r="U16" s="252"/>
    </row>
    <row r="17" spans="1:17" s="245" customFormat="1" ht="16.5">
      <c r="A17" s="252"/>
      <c r="B17" s="264"/>
      <c r="C17" s="261"/>
      <c r="D17" s="261"/>
      <c r="E17" s="261"/>
      <c r="F17" s="261"/>
      <c r="G17" s="261"/>
      <c r="H17" s="243"/>
      <c r="I17" s="243"/>
      <c r="J17" s="243"/>
      <c r="K17" s="243"/>
      <c r="L17" s="243"/>
      <c r="N17" s="243"/>
      <c r="O17" s="243"/>
      <c r="P17" s="243"/>
      <c r="Q17" s="243"/>
    </row>
    <row r="18" spans="1:17" ht="16.5">
      <c r="A18" s="245"/>
      <c r="B18" s="269"/>
      <c r="C18" s="269"/>
      <c r="D18" s="269"/>
      <c r="E18" s="270"/>
      <c r="F18" s="271"/>
      <c r="G18" s="271"/>
    </row>
    <row r="19" spans="1:17" s="258" customFormat="1" ht="16.5" customHeight="1">
      <c r="A19" s="238"/>
      <c r="B19" s="741" t="s">
        <v>250</v>
      </c>
      <c r="C19" s="741"/>
      <c r="D19" s="741"/>
      <c r="E19" s="272"/>
      <c r="F19" s="273" t="s">
        <v>251</v>
      </c>
      <c r="G19" s="273" t="s">
        <v>252</v>
      </c>
      <c r="H19" s="742" t="s">
        <v>253</v>
      </c>
      <c r="I19" s="742"/>
      <c r="J19" s="742"/>
      <c r="K19" s="742"/>
    </row>
    <row r="20" spans="1:17" s="258" customFormat="1" ht="16.5">
      <c r="B20" s="743" t="s">
        <v>254</v>
      </c>
      <c r="C20" s="743"/>
      <c r="D20" s="743"/>
      <c r="E20" s="272"/>
      <c r="F20" s="273"/>
      <c r="G20" s="273"/>
    </row>
    <row r="21" spans="1:17" ht="16.5">
      <c r="A21" s="258"/>
      <c r="B21" s="274" t="s">
        <v>216</v>
      </c>
      <c r="C21" s="274" t="s">
        <v>255</v>
      </c>
      <c r="D21" s="274" t="s">
        <v>256</v>
      </c>
      <c r="E21" s="270"/>
      <c r="F21" s="271"/>
      <c r="G21" s="275"/>
      <c r="H21" s="240" t="s">
        <v>257</v>
      </c>
      <c r="I21" s="240" t="s">
        <v>258</v>
      </c>
      <c r="J21" s="240" t="s">
        <v>259</v>
      </c>
      <c r="K21" s="240" t="s">
        <v>260</v>
      </c>
      <c r="L21" s="240" t="s">
        <v>261</v>
      </c>
      <c r="M21" s="240" t="s">
        <v>262</v>
      </c>
    </row>
    <row r="22" spans="1:17" ht="16.5">
      <c r="B22" s="345" t="s">
        <v>342</v>
      </c>
      <c r="C22" s="281"/>
      <c r="D22" s="280"/>
      <c r="E22" s="738" t="s">
        <v>263</v>
      </c>
      <c r="F22" s="279" t="s">
        <v>265</v>
      </c>
      <c r="G22" s="276" t="str">
        <f>'8D Form_v1'!F30</f>
        <v>Shrot brush length</v>
      </c>
    </row>
    <row r="23" spans="1:17" ht="16.5">
      <c r="B23" s="343" t="s">
        <v>342</v>
      </c>
      <c r="C23" s="281"/>
      <c r="D23" s="280"/>
      <c r="E23" s="738"/>
      <c r="F23" s="282" t="s">
        <v>71</v>
      </c>
      <c r="G23" s="276" t="str">
        <f>'8D Form_v1'!F51</f>
        <v>Eckerle Automotive Kft</v>
      </c>
    </row>
    <row r="24" spans="1:17" ht="16.5">
      <c r="B24" s="343" t="s">
        <v>342</v>
      </c>
      <c r="C24" s="281"/>
      <c r="D24" s="278"/>
      <c r="E24" s="738"/>
      <c r="F24" s="282" t="s">
        <v>266</v>
      </c>
      <c r="G24" s="276" t="str">
        <f>'8D Form_v1'!F50</f>
        <v>2025.06.06</v>
      </c>
    </row>
    <row r="25" spans="1:17" ht="16.5">
      <c r="B25" s="343" t="s">
        <v>342</v>
      </c>
      <c r="C25" s="281"/>
      <c r="D25" s="278"/>
      <c r="E25" s="738"/>
      <c r="F25" s="282" t="s">
        <v>267</v>
      </c>
      <c r="G25" s="344" t="str">
        <f>'8D Form_v1'!F52</f>
        <v>1 pcs</v>
      </c>
    </row>
    <row r="26" spans="1:17" ht="16.5">
      <c r="B26" s="343" t="s">
        <v>342</v>
      </c>
      <c r="C26" s="281"/>
      <c r="D26" s="278"/>
      <c r="E26" s="738"/>
      <c r="F26" s="277" t="s">
        <v>268</v>
      </c>
      <c r="G26" s="276" t="s">
        <v>343</v>
      </c>
    </row>
    <row r="27" spans="1:17" s="260" customFormat="1" ht="16.5">
      <c r="A27" s="238"/>
      <c r="B27" s="284"/>
      <c r="C27" s="284"/>
      <c r="D27" s="284"/>
      <c r="E27" s="285"/>
      <c r="F27" s="286"/>
      <c r="G27" s="287"/>
      <c r="H27" s="259"/>
      <c r="I27" s="259"/>
      <c r="J27" s="259"/>
      <c r="K27" s="259"/>
      <c r="L27" s="259"/>
      <c r="M27" s="259"/>
    </row>
    <row r="28" spans="1:17" ht="16.5">
      <c r="A28" s="260"/>
      <c r="B28" s="345" t="s">
        <v>342</v>
      </c>
      <c r="C28" s="281"/>
      <c r="D28" s="280"/>
      <c r="E28" s="738" t="s">
        <v>269</v>
      </c>
      <c r="F28" s="739" t="s">
        <v>270</v>
      </c>
      <c r="G28" s="276"/>
      <c r="H28" s="240">
        <v>7</v>
      </c>
      <c r="I28" s="240">
        <f>COUNTA(B29:B35)</f>
        <v>7</v>
      </c>
      <c r="J28" s="240">
        <f>COUNTA(C29:C35)</f>
        <v>0</v>
      </c>
      <c r="K28" s="240">
        <f>COUNTA(D29:D35)</f>
        <v>0</v>
      </c>
      <c r="L28" s="240">
        <v>1</v>
      </c>
      <c r="M28" s="240">
        <f>L28*H30</f>
        <v>1</v>
      </c>
    </row>
    <row r="29" spans="1:17" ht="16.5" hidden="1">
      <c r="B29" s="343" t="s">
        <v>342</v>
      </c>
      <c r="C29" s="281"/>
      <c r="D29" s="278"/>
      <c r="E29" s="738"/>
      <c r="F29" s="740"/>
      <c r="G29" s="276"/>
    </row>
    <row r="30" spans="1:17" ht="16.5">
      <c r="B30" s="343" t="s">
        <v>342</v>
      </c>
      <c r="C30" s="281"/>
      <c r="D30" s="278"/>
      <c r="E30" s="738"/>
      <c r="F30" s="277" t="s">
        <v>271</v>
      </c>
      <c r="G30" s="276"/>
      <c r="H30" s="240">
        <f>IF(I28+J28=H28,IF(K28=0,1,0),0)</f>
        <v>1</v>
      </c>
    </row>
    <row r="31" spans="1:17" ht="16.5">
      <c r="B31" s="343" t="s">
        <v>342</v>
      </c>
      <c r="C31" s="281"/>
      <c r="D31" s="278"/>
      <c r="E31" s="738"/>
      <c r="F31" s="283" t="s">
        <v>272</v>
      </c>
      <c r="G31" s="276"/>
    </row>
    <row r="32" spans="1:17" ht="16.5">
      <c r="B32" s="343" t="s">
        <v>342</v>
      </c>
      <c r="C32" s="281"/>
      <c r="D32" s="278"/>
      <c r="E32" s="738"/>
      <c r="F32" s="277" t="s">
        <v>273</v>
      </c>
      <c r="G32" s="276"/>
    </row>
    <row r="33" spans="1:13" ht="16.5">
      <c r="B33" s="343" t="s">
        <v>342</v>
      </c>
      <c r="C33" s="281"/>
      <c r="D33" s="278"/>
      <c r="E33" s="738"/>
      <c r="F33" s="277" t="s">
        <v>274</v>
      </c>
      <c r="G33" s="276"/>
    </row>
    <row r="34" spans="1:13" ht="16.5">
      <c r="B34" s="343" t="s">
        <v>342</v>
      </c>
      <c r="C34" s="281"/>
      <c r="D34" s="278"/>
      <c r="E34" s="738"/>
      <c r="F34" s="277" t="s">
        <v>275</v>
      </c>
      <c r="G34" s="276"/>
    </row>
    <row r="35" spans="1:13" ht="16.5">
      <c r="B35" s="343" t="s">
        <v>342</v>
      </c>
      <c r="C35" s="281"/>
      <c r="D35" s="278"/>
      <c r="E35" s="738"/>
      <c r="F35" s="277" t="s">
        <v>276</v>
      </c>
      <c r="G35" s="276"/>
    </row>
    <row r="36" spans="1:13" s="260" customFormat="1" ht="16.5">
      <c r="A36" s="238"/>
      <c r="B36" s="284"/>
      <c r="C36" s="284"/>
      <c r="D36" s="284"/>
      <c r="E36" s="285"/>
      <c r="F36" s="286"/>
      <c r="G36" s="287"/>
      <c r="H36" s="259"/>
      <c r="I36" s="259"/>
      <c r="J36" s="259"/>
      <c r="K36" s="259"/>
      <c r="L36" s="259"/>
      <c r="M36" s="259"/>
    </row>
    <row r="37" spans="1:13" ht="25.9" customHeight="1">
      <c r="B37" s="346" t="s">
        <v>342</v>
      </c>
      <c r="C37" s="281"/>
      <c r="D37" s="280"/>
      <c r="E37" s="738" t="s">
        <v>277</v>
      </c>
      <c r="F37" s="277" t="s">
        <v>299</v>
      </c>
      <c r="G37" s="276"/>
      <c r="H37" s="240" t="e">
        <f>IF(#REF!+#REF!=#REF!,IF(#REF!=0,1,0),0)</f>
        <v>#REF!</v>
      </c>
    </row>
    <row r="38" spans="1:13" ht="25.9" customHeight="1">
      <c r="B38" s="347" t="s">
        <v>342</v>
      </c>
      <c r="C38" s="281"/>
      <c r="D38" s="280"/>
      <c r="E38" s="738"/>
      <c r="F38" s="283" t="s">
        <v>278</v>
      </c>
      <c r="G38" s="276"/>
    </row>
    <row r="39" spans="1:13" s="260" customFormat="1" ht="16.5">
      <c r="A39" s="238"/>
      <c r="B39" s="284"/>
      <c r="C39" s="284"/>
      <c r="D39" s="284"/>
      <c r="E39" s="285"/>
      <c r="F39" s="286"/>
      <c r="G39" s="287"/>
      <c r="H39" s="259"/>
      <c r="I39" s="259"/>
      <c r="J39" s="259"/>
      <c r="K39" s="259"/>
      <c r="L39" s="259"/>
      <c r="M39" s="259"/>
    </row>
    <row r="40" spans="1:13" ht="31.15" customHeight="1">
      <c r="B40" s="346" t="s">
        <v>342</v>
      </c>
      <c r="C40" s="281"/>
      <c r="D40" s="280"/>
      <c r="E40" s="738" t="s">
        <v>279</v>
      </c>
      <c r="F40" s="277" t="s">
        <v>300</v>
      </c>
      <c r="G40" s="288"/>
      <c r="H40" s="240" t="e">
        <f>IF(#REF!+#REF!=#REF!,IF(#REF!=0,1,0),0)</f>
        <v>#REF!</v>
      </c>
    </row>
    <row r="41" spans="1:13" ht="31.15" customHeight="1">
      <c r="B41" s="346" t="s">
        <v>342</v>
      </c>
      <c r="C41" s="281"/>
      <c r="D41" s="280"/>
      <c r="E41" s="738"/>
      <c r="F41" s="277" t="s">
        <v>280</v>
      </c>
      <c r="G41" s="276"/>
      <c r="H41" s="240" t="e">
        <f>IF(#REF!=#REF!,IF(#REF!=0,1,0),0)</f>
        <v>#REF!</v>
      </c>
    </row>
    <row r="42" spans="1:13" s="260" customFormat="1" ht="16.5">
      <c r="A42" s="238"/>
      <c r="B42" s="284"/>
      <c r="C42" s="284"/>
      <c r="D42" s="284"/>
      <c r="E42" s="285"/>
      <c r="F42" s="286"/>
      <c r="G42" s="287"/>
      <c r="H42" s="259"/>
      <c r="I42" s="259"/>
      <c r="J42" s="259"/>
      <c r="K42" s="259"/>
      <c r="L42" s="259"/>
      <c r="M42" s="259"/>
    </row>
    <row r="43" spans="1:13" ht="16.5">
      <c r="B43" s="346" t="s">
        <v>342</v>
      </c>
      <c r="C43" s="281"/>
      <c r="D43" s="280"/>
      <c r="E43" s="738" t="s">
        <v>281</v>
      </c>
      <c r="F43" s="289" t="s">
        <v>282</v>
      </c>
      <c r="G43" s="276"/>
      <c r="H43" s="240" t="e">
        <f>IF(#REF!+#REF!=#REF!,IF(#REF!=0,1,0),0)</f>
        <v>#REF!</v>
      </c>
    </row>
    <row r="44" spans="1:13" ht="16.5">
      <c r="B44" s="346" t="s">
        <v>342</v>
      </c>
      <c r="C44" s="281"/>
      <c r="D44" s="278"/>
      <c r="E44" s="738"/>
      <c r="F44" s="289" t="s">
        <v>283</v>
      </c>
      <c r="G44" s="276"/>
    </row>
    <row r="45" spans="1:13" ht="16.5">
      <c r="B45" s="346" t="s">
        <v>342</v>
      </c>
      <c r="C45" s="281"/>
      <c r="D45" s="278"/>
      <c r="E45" s="738"/>
      <c r="F45" s="289" t="s">
        <v>284</v>
      </c>
      <c r="G45" s="276"/>
    </row>
    <row r="46" spans="1:13" ht="16.5">
      <c r="B46" s="346" t="s">
        <v>342</v>
      </c>
      <c r="C46" s="281"/>
      <c r="D46" s="278"/>
      <c r="E46" s="738"/>
      <c r="F46" s="289" t="s">
        <v>285</v>
      </c>
      <c r="G46" s="276"/>
    </row>
    <row r="47" spans="1:13" ht="33">
      <c r="B47" s="346" t="s">
        <v>342</v>
      </c>
      <c r="C47" s="281"/>
      <c r="D47" s="278"/>
      <c r="E47" s="738"/>
      <c r="F47" s="290" t="s">
        <v>286</v>
      </c>
      <c r="G47" s="276"/>
      <c r="H47" s="240" t="e">
        <f>IF(#REF!=#REF!,IF(#REF!=0,1,0),0)</f>
        <v>#REF!</v>
      </c>
    </row>
    <row r="48" spans="1:13" ht="33">
      <c r="B48" s="346" t="s">
        <v>342</v>
      </c>
      <c r="C48" s="281"/>
      <c r="D48" s="278"/>
      <c r="E48" s="738"/>
      <c r="F48" s="289" t="s">
        <v>287</v>
      </c>
      <c r="G48" s="276"/>
    </row>
    <row r="49" spans="2:13" ht="16.5">
      <c r="B49" s="291"/>
      <c r="C49" s="291"/>
      <c r="D49" s="291"/>
      <c r="E49" s="270"/>
      <c r="F49" s="292"/>
      <c r="G49" s="293"/>
    </row>
    <row r="50" spans="2:13" ht="16.5">
      <c r="B50" s="346" t="s">
        <v>342</v>
      </c>
      <c r="C50" s="281"/>
      <c r="D50" s="281"/>
      <c r="E50" s="738" t="s">
        <v>298</v>
      </c>
      <c r="F50" s="289" t="s">
        <v>282</v>
      </c>
      <c r="G50" s="276"/>
      <c r="H50" s="240" t="e">
        <f>IF(#REF!+#REF!=#REF!,IF(#REF!=0,1,0),0)</f>
        <v>#REF!</v>
      </c>
    </row>
    <row r="51" spans="2:13" ht="16.5">
      <c r="B51" s="346" t="s">
        <v>342</v>
      </c>
      <c r="C51" s="281"/>
      <c r="D51" s="281"/>
      <c r="E51" s="738"/>
      <c r="F51" s="289" t="s">
        <v>283</v>
      </c>
      <c r="G51" s="276"/>
    </row>
    <row r="52" spans="2:13" ht="16.5">
      <c r="B52" s="346" t="s">
        <v>342</v>
      </c>
      <c r="C52" s="281"/>
      <c r="D52" s="281"/>
      <c r="E52" s="738"/>
      <c r="F52" s="289" t="s">
        <v>284</v>
      </c>
      <c r="G52" s="276"/>
    </row>
    <row r="53" spans="2:13" ht="33">
      <c r="B53" s="346" t="s">
        <v>342</v>
      </c>
      <c r="C53" s="281"/>
      <c r="D53" s="281"/>
      <c r="E53" s="738"/>
      <c r="F53" s="289" t="s">
        <v>288</v>
      </c>
      <c r="G53" s="276"/>
      <c r="H53" s="240" t="e">
        <f>IF(#REF!=#REF!,IF(#REF!=0,1,0),0)</f>
        <v>#REF!</v>
      </c>
    </row>
    <row r="54" spans="2:13" ht="16.5">
      <c r="B54" s="291"/>
      <c r="C54" s="291"/>
      <c r="D54" s="291"/>
      <c r="E54" s="270"/>
      <c r="F54" s="292"/>
      <c r="G54" s="293"/>
    </row>
    <row r="55" spans="2:13" ht="16.5">
      <c r="B55" s="346" t="s">
        <v>342</v>
      </c>
      <c r="C55" s="294"/>
      <c r="D55" s="294"/>
      <c r="E55" s="738" t="s">
        <v>289</v>
      </c>
      <c r="F55" s="290" t="s">
        <v>290</v>
      </c>
      <c r="G55" s="276"/>
      <c r="H55" s="240" t="e">
        <f>IF(#REF!+#REF!=#REF!,IF(#REF!=0,1,0),0)</f>
        <v>#REF!</v>
      </c>
    </row>
    <row r="56" spans="2:13" ht="16.5">
      <c r="B56" s="346" t="s">
        <v>342</v>
      </c>
      <c r="C56" s="294"/>
      <c r="D56" s="294"/>
      <c r="E56" s="738"/>
      <c r="F56" s="289" t="s">
        <v>291</v>
      </c>
      <c r="G56" s="276"/>
    </row>
    <row r="57" spans="2:13" ht="16.5">
      <c r="B57" s="346" t="s">
        <v>342</v>
      </c>
      <c r="C57" s="294"/>
      <c r="D57" s="294"/>
      <c r="E57" s="738"/>
      <c r="F57" s="289" t="s">
        <v>292</v>
      </c>
      <c r="G57" s="276"/>
      <c r="H57" s="240" t="e">
        <f>IF(#REF!=#REF!,IF(#REF!=0,1,0),0)</f>
        <v>#REF!</v>
      </c>
    </row>
    <row r="58" spans="2:13" ht="16.5">
      <c r="B58" s="291"/>
      <c r="C58" s="291"/>
      <c r="D58" s="291"/>
      <c r="E58" s="270"/>
      <c r="F58" s="292"/>
      <c r="G58" s="293"/>
    </row>
    <row r="59" spans="2:13" ht="16.5">
      <c r="B59" s="346" t="s">
        <v>342</v>
      </c>
      <c r="C59" s="281"/>
      <c r="D59" s="281"/>
      <c r="E59" s="738" t="s">
        <v>293</v>
      </c>
      <c r="F59" s="289" t="s">
        <v>294</v>
      </c>
      <c r="G59" s="276"/>
      <c r="H59" s="240" t="e">
        <f>IF(#REF!+#REF!=#REF!,IF(#REF!=0,1,0),0)</f>
        <v>#REF!</v>
      </c>
    </row>
    <row r="60" spans="2:13" ht="16.5">
      <c r="B60" s="346" t="s">
        <v>342</v>
      </c>
      <c r="C60" s="281"/>
      <c r="D60" s="281"/>
      <c r="E60" s="738"/>
      <c r="F60" s="289" t="s">
        <v>295</v>
      </c>
      <c r="G60" s="276"/>
      <c r="H60" s="240" t="e">
        <f>IF(#REF!=#REF!,IF(#REF!=0,1,0),0)</f>
        <v>#REF!</v>
      </c>
    </row>
    <row r="61" spans="2:13" ht="16.5">
      <c r="B61" s="346" t="s">
        <v>342</v>
      </c>
      <c r="C61" s="281"/>
      <c r="D61" s="281"/>
      <c r="E61" s="738"/>
      <c r="F61" s="289" t="s">
        <v>296</v>
      </c>
      <c r="G61" s="276" t="s">
        <v>264</v>
      </c>
    </row>
    <row r="62" spans="2:13" ht="16.5">
      <c r="B62" s="346" t="s">
        <v>342</v>
      </c>
      <c r="C62" s="281"/>
      <c r="D62" s="281"/>
      <c r="E62" s="738"/>
      <c r="F62" s="289" t="s">
        <v>297</v>
      </c>
      <c r="G62" s="276"/>
    </row>
    <row r="63" spans="2:13" ht="16.5">
      <c r="B63" s="269"/>
      <c r="C63" s="269"/>
      <c r="D63" s="269"/>
      <c r="E63" s="269"/>
      <c r="F63" s="271"/>
      <c r="G63" s="271"/>
    </row>
    <row r="64" spans="2:13" ht="16.5">
      <c r="B64" s="269"/>
      <c r="C64" s="269"/>
      <c r="D64" s="269"/>
      <c r="E64" s="295"/>
      <c r="F64" s="271"/>
      <c r="G64" s="271"/>
      <c r="M64" s="240">
        <f>SUM(M22:M63)</f>
        <v>1</v>
      </c>
    </row>
  </sheetData>
  <sheetProtection formatColumns="0" formatRows="0"/>
  <mergeCells count="30">
    <mergeCell ref="E40:E41"/>
    <mergeCell ref="E43:E48"/>
    <mergeCell ref="E50:E53"/>
    <mergeCell ref="E55:E57"/>
    <mergeCell ref="E59:E62"/>
    <mergeCell ref="E37:E38"/>
    <mergeCell ref="K13:N14"/>
    <mergeCell ref="B14:D14"/>
    <mergeCell ref="E14:F14"/>
    <mergeCell ref="K15:N16"/>
    <mergeCell ref="B16:D16"/>
    <mergeCell ref="E16:F16"/>
    <mergeCell ref="F28:F29"/>
    <mergeCell ref="B19:D19"/>
    <mergeCell ref="H19:K19"/>
    <mergeCell ref="B20:D20"/>
    <mergeCell ref="E22:E26"/>
    <mergeCell ref="E28:E35"/>
    <mergeCell ref="K9:N9"/>
    <mergeCell ref="B10:D10"/>
    <mergeCell ref="E10:F10"/>
    <mergeCell ref="K10:N12"/>
    <mergeCell ref="B12:D12"/>
    <mergeCell ref="E12:F12"/>
    <mergeCell ref="K5:M6"/>
    <mergeCell ref="B6:D6"/>
    <mergeCell ref="E6:F6"/>
    <mergeCell ref="K7:N7"/>
    <mergeCell ref="B8:D8"/>
    <mergeCell ref="E8:F8"/>
  </mergeCells>
  <phoneticPr fontId="56" type="noConversion"/>
  <pageMargins left="0.43307086614173229" right="0.39370078740157483" top="0.51181102362204722" bottom="0.51181102362204722" header="0.31496062992125984" footer="0.31496062992125984"/>
  <pageSetup scale="45" orientation="landscape" r:id="rId1"/>
  <headerFooter>
    <oddHeader>&amp;LQS_2362</oddHeader>
    <oddFooter>&amp;L&amp;Z
&amp;F&amp;R&amp;A_Készítette: András Éva/2021.03.15, Jóváhagyta: Hartai Péter/2021.03.15.</oddFooter>
  </headerFooter>
  <drawing r:id="rId2"/>
  <legacyDrawing r:id="rId3"/>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sheetPr codeName="Sheet4"/>
  <dimension ref="B2:Q41"/>
  <sheetViews>
    <sheetView showGridLines="0" view="pageBreakPreview" zoomScale="85" zoomScaleNormal="100" zoomScaleSheetLayoutView="85" workbookViewId="0">
      <selection activeCell="U14" sqref="U14"/>
    </sheetView>
  </sheetViews>
  <sheetFormatPr defaultRowHeight="12.75"/>
  <cols>
    <col min="1" max="1" width="3.7109375" style="328" customWidth="1"/>
    <col min="2" max="5" width="3.85546875" style="328" customWidth="1"/>
    <col min="6" max="17" width="9.140625" style="328"/>
    <col min="18" max="18" width="3.5703125" style="328" customWidth="1"/>
    <col min="19" max="257" width="9.140625" style="328"/>
    <col min="258" max="261" width="3.85546875" style="328" customWidth="1"/>
    <col min="262" max="513" width="9.140625" style="328"/>
    <col min="514" max="517" width="3.85546875" style="328" customWidth="1"/>
    <col min="518" max="769" width="9.140625" style="328"/>
    <col min="770" max="773" width="3.85546875" style="328" customWidth="1"/>
    <col min="774" max="1025" width="9.140625" style="328"/>
    <col min="1026" max="1029" width="3.85546875" style="328" customWidth="1"/>
    <col min="1030" max="1281" width="9.140625" style="328"/>
    <col min="1282" max="1285" width="3.85546875" style="328" customWidth="1"/>
    <col min="1286" max="1537" width="9.140625" style="328"/>
    <col min="1538" max="1541" width="3.85546875" style="328" customWidth="1"/>
    <col min="1542" max="1793" width="9.140625" style="328"/>
    <col min="1794" max="1797" width="3.85546875" style="328" customWidth="1"/>
    <col min="1798" max="2049" width="9.140625" style="328"/>
    <col min="2050" max="2053" width="3.85546875" style="328" customWidth="1"/>
    <col min="2054" max="2305" width="9.140625" style="328"/>
    <col min="2306" max="2309" width="3.85546875" style="328" customWidth="1"/>
    <col min="2310" max="2561" width="9.140625" style="328"/>
    <col min="2562" max="2565" width="3.85546875" style="328" customWidth="1"/>
    <col min="2566" max="2817" width="9.140625" style="328"/>
    <col min="2818" max="2821" width="3.85546875" style="328" customWidth="1"/>
    <col min="2822" max="3073" width="9.140625" style="328"/>
    <col min="3074" max="3077" width="3.85546875" style="328" customWidth="1"/>
    <col min="3078" max="3329" width="9.140625" style="328"/>
    <col min="3330" max="3333" width="3.85546875" style="328" customWidth="1"/>
    <col min="3334" max="3585" width="9.140625" style="328"/>
    <col min="3586" max="3589" width="3.85546875" style="328" customWidth="1"/>
    <col min="3590" max="3841" width="9.140625" style="328"/>
    <col min="3842" max="3845" width="3.85546875" style="328" customWidth="1"/>
    <col min="3846" max="4097" width="9.140625" style="328"/>
    <col min="4098" max="4101" width="3.85546875" style="328" customWidth="1"/>
    <col min="4102" max="4353" width="9.140625" style="328"/>
    <col min="4354" max="4357" width="3.85546875" style="328" customWidth="1"/>
    <col min="4358" max="4609" width="9.140625" style="328"/>
    <col min="4610" max="4613" width="3.85546875" style="328" customWidth="1"/>
    <col min="4614" max="4865" width="9.140625" style="328"/>
    <col min="4866" max="4869" width="3.85546875" style="328" customWidth="1"/>
    <col min="4870" max="5121" width="9.140625" style="328"/>
    <col min="5122" max="5125" width="3.85546875" style="328" customWidth="1"/>
    <col min="5126" max="5377" width="9.140625" style="328"/>
    <col min="5378" max="5381" width="3.85546875" style="328" customWidth="1"/>
    <col min="5382" max="5633" width="9.140625" style="328"/>
    <col min="5634" max="5637" width="3.85546875" style="328" customWidth="1"/>
    <col min="5638" max="5889" width="9.140625" style="328"/>
    <col min="5890" max="5893" width="3.85546875" style="328" customWidth="1"/>
    <col min="5894" max="6145" width="9.140625" style="328"/>
    <col min="6146" max="6149" width="3.85546875" style="328" customWidth="1"/>
    <col min="6150" max="6401" width="9.140625" style="328"/>
    <col min="6402" max="6405" width="3.85546875" style="328" customWidth="1"/>
    <col min="6406" max="6657" width="9.140625" style="328"/>
    <col min="6658" max="6661" width="3.85546875" style="328" customWidth="1"/>
    <col min="6662" max="6913" width="9.140625" style="328"/>
    <col min="6914" max="6917" width="3.85546875" style="328" customWidth="1"/>
    <col min="6918" max="7169" width="9.140625" style="328"/>
    <col min="7170" max="7173" width="3.85546875" style="328" customWidth="1"/>
    <col min="7174" max="7425" width="9.140625" style="328"/>
    <col min="7426" max="7429" width="3.85546875" style="328" customWidth="1"/>
    <col min="7430" max="7681" width="9.140625" style="328"/>
    <col min="7682" max="7685" width="3.85546875" style="328" customWidth="1"/>
    <col min="7686" max="7937" width="9.140625" style="328"/>
    <col min="7938" max="7941" width="3.85546875" style="328" customWidth="1"/>
    <col min="7942" max="8193" width="9.140625" style="328"/>
    <col min="8194" max="8197" width="3.85546875" style="328" customWidth="1"/>
    <col min="8198" max="8449" width="9.140625" style="328"/>
    <col min="8450" max="8453" width="3.85546875" style="328" customWidth="1"/>
    <col min="8454" max="8705" width="9.140625" style="328"/>
    <col min="8706" max="8709" width="3.85546875" style="328" customWidth="1"/>
    <col min="8710" max="8961" width="9.140625" style="328"/>
    <col min="8962" max="8965" width="3.85546875" style="328" customWidth="1"/>
    <col min="8966" max="9217" width="9.140625" style="328"/>
    <col min="9218" max="9221" width="3.85546875" style="328" customWidth="1"/>
    <col min="9222" max="9473" width="9.140625" style="328"/>
    <col min="9474" max="9477" width="3.85546875" style="328" customWidth="1"/>
    <col min="9478" max="9729" width="9.140625" style="328"/>
    <col min="9730" max="9733" width="3.85546875" style="328" customWidth="1"/>
    <col min="9734" max="9985" width="9.140625" style="328"/>
    <col min="9986" max="9989" width="3.85546875" style="328" customWidth="1"/>
    <col min="9990" max="10241" width="9.140625" style="328"/>
    <col min="10242" max="10245" width="3.85546875" style="328" customWidth="1"/>
    <col min="10246" max="10497" width="9.140625" style="328"/>
    <col min="10498" max="10501" width="3.85546875" style="328" customWidth="1"/>
    <col min="10502" max="10753" width="9.140625" style="328"/>
    <col min="10754" max="10757" width="3.85546875" style="328" customWidth="1"/>
    <col min="10758" max="11009" width="9.140625" style="328"/>
    <col min="11010" max="11013" width="3.85546875" style="328" customWidth="1"/>
    <col min="11014" max="11265" width="9.140625" style="328"/>
    <col min="11266" max="11269" width="3.85546875" style="328" customWidth="1"/>
    <col min="11270" max="11521" width="9.140625" style="328"/>
    <col min="11522" max="11525" width="3.85546875" style="328" customWidth="1"/>
    <col min="11526" max="11777" width="9.140625" style="328"/>
    <col min="11778" max="11781" width="3.85546875" style="328" customWidth="1"/>
    <col min="11782" max="12033" width="9.140625" style="328"/>
    <col min="12034" max="12037" width="3.85546875" style="328" customWidth="1"/>
    <col min="12038" max="12289" width="9.140625" style="328"/>
    <col min="12290" max="12293" width="3.85546875" style="328" customWidth="1"/>
    <col min="12294" max="12545" width="9.140625" style="328"/>
    <col min="12546" max="12549" width="3.85546875" style="328" customWidth="1"/>
    <col min="12550" max="12801" width="9.140625" style="328"/>
    <col min="12802" max="12805" width="3.85546875" style="328" customWidth="1"/>
    <col min="12806" max="13057" width="9.140625" style="328"/>
    <col min="13058" max="13061" width="3.85546875" style="328" customWidth="1"/>
    <col min="13062" max="13313" width="9.140625" style="328"/>
    <col min="13314" max="13317" width="3.85546875" style="328" customWidth="1"/>
    <col min="13318" max="13569" width="9.140625" style="328"/>
    <col min="13570" max="13573" width="3.85546875" style="328" customWidth="1"/>
    <col min="13574" max="13825" width="9.140625" style="328"/>
    <col min="13826" max="13829" width="3.85546875" style="328" customWidth="1"/>
    <col min="13830" max="14081" width="9.140625" style="328"/>
    <col min="14082" max="14085" width="3.85546875" style="328" customWidth="1"/>
    <col min="14086" max="14337" width="9.140625" style="328"/>
    <col min="14338" max="14341" width="3.85546875" style="328" customWidth="1"/>
    <col min="14342" max="14593" width="9.140625" style="328"/>
    <col min="14594" max="14597" width="3.85546875" style="328" customWidth="1"/>
    <col min="14598" max="14849" width="9.140625" style="328"/>
    <col min="14850" max="14853" width="3.85546875" style="328" customWidth="1"/>
    <col min="14854" max="15105" width="9.140625" style="328"/>
    <col min="15106" max="15109" width="3.85546875" style="328" customWidth="1"/>
    <col min="15110" max="15361" width="9.140625" style="328"/>
    <col min="15362" max="15365" width="3.85546875" style="328" customWidth="1"/>
    <col min="15366" max="15617" width="9.140625" style="328"/>
    <col min="15618" max="15621" width="3.85546875" style="328" customWidth="1"/>
    <col min="15622" max="15873" width="9.140625" style="328"/>
    <col min="15874" max="15877" width="3.85546875" style="328" customWidth="1"/>
    <col min="15878" max="16129" width="9.140625" style="328"/>
    <col min="16130" max="16133" width="3.85546875" style="328" customWidth="1"/>
    <col min="16134" max="16384" width="9.140625" style="328"/>
  </cols>
  <sheetData>
    <row r="2" spans="2:17" ht="13.5">
      <c r="B2" s="327"/>
      <c r="C2" s="327"/>
      <c r="D2" s="327"/>
      <c r="E2" s="744" t="s">
        <v>334</v>
      </c>
      <c r="F2" s="744"/>
      <c r="G2" s="744"/>
      <c r="H2" s="744"/>
      <c r="I2" s="744"/>
      <c r="J2" s="744"/>
      <c r="K2" s="744"/>
      <c r="L2" s="744"/>
      <c r="M2" s="744"/>
      <c r="N2" s="744"/>
      <c r="O2" s="327"/>
      <c r="P2" s="327"/>
      <c r="Q2" s="327"/>
    </row>
    <row r="3" spans="2:17" ht="13.5">
      <c r="B3" s="327"/>
      <c r="C3" s="327"/>
      <c r="D3" s="327"/>
      <c r="E3" s="744"/>
      <c r="F3" s="744"/>
      <c r="G3" s="744"/>
      <c r="H3" s="744"/>
      <c r="I3" s="744"/>
      <c r="J3" s="744"/>
      <c r="K3" s="744"/>
      <c r="L3" s="744"/>
      <c r="M3" s="744"/>
      <c r="N3" s="744"/>
      <c r="O3" s="327"/>
      <c r="P3" s="327"/>
      <c r="Q3" s="327"/>
    </row>
    <row r="4" spans="2:17" ht="13.5">
      <c r="B4" s="327"/>
      <c r="C4" s="327"/>
      <c r="D4" s="327"/>
      <c r="E4" s="744"/>
      <c r="F4" s="744"/>
      <c r="G4" s="744"/>
      <c r="H4" s="744"/>
      <c r="I4" s="744"/>
      <c r="J4" s="744"/>
      <c r="K4" s="744"/>
      <c r="L4" s="744"/>
      <c r="M4" s="744"/>
      <c r="N4" s="744"/>
      <c r="O4" s="327"/>
      <c r="P4" s="327"/>
      <c r="Q4" s="329"/>
    </row>
    <row r="5" spans="2:17" ht="14.25" thickBot="1">
      <c r="B5" s="327"/>
      <c r="C5" s="327"/>
      <c r="D5" s="327"/>
      <c r="E5" s="327"/>
      <c r="F5" s="327"/>
      <c r="G5" s="327"/>
      <c r="H5" s="327"/>
      <c r="I5" s="327"/>
      <c r="J5" s="327"/>
      <c r="K5" s="327"/>
      <c r="L5" s="327"/>
      <c r="M5" s="327"/>
      <c r="N5" s="327"/>
      <c r="O5" s="327"/>
      <c r="P5" s="327"/>
      <c r="Q5" s="327"/>
    </row>
    <row r="6" spans="2:17" ht="33" customHeight="1">
      <c r="B6" s="745" t="s">
        <v>335</v>
      </c>
      <c r="C6" s="746"/>
      <c r="D6" s="747"/>
      <c r="E6" s="747"/>
      <c r="F6" s="748" t="s">
        <v>403</v>
      </c>
      <c r="G6" s="749"/>
      <c r="H6" s="749"/>
      <c r="I6" s="749"/>
      <c r="J6" s="749"/>
      <c r="K6" s="749"/>
      <c r="L6" s="749"/>
      <c r="M6" s="749"/>
      <c r="N6" s="749"/>
      <c r="O6" s="749"/>
      <c r="P6" s="749"/>
      <c r="Q6" s="750"/>
    </row>
    <row r="7" spans="2:17" ht="33" customHeight="1">
      <c r="B7" s="751" t="s">
        <v>336</v>
      </c>
      <c r="C7" s="752"/>
      <c r="D7" s="753"/>
      <c r="E7" s="753"/>
      <c r="F7" s="754" t="s">
        <v>344</v>
      </c>
      <c r="G7" s="755"/>
      <c r="H7" s="755"/>
      <c r="I7" s="755"/>
      <c r="J7" s="755"/>
      <c r="K7" s="756"/>
      <c r="L7" s="757" t="s">
        <v>337</v>
      </c>
      <c r="M7" s="753"/>
      <c r="N7" s="753"/>
      <c r="O7" s="758" t="s">
        <v>396</v>
      </c>
      <c r="P7" s="759"/>
      <c r="Q7" s="760"/>
    </row>
    <row r="8" spans="2:17" ht="20.25" customHeight="1">
      <c r="B8" s="761" t="s">
        <v>338</v>
      </c>
      <c r="C8" s="762"/>
      <c r="D8" s="762"/>
      <c r="E8" s="763"/>
      <c r="F8" s="770" t="s">
        <v>339</v>
      </c>
      <c r="G8" s="770"/>
      <c r="H8" s="770"/>
      <c r="I8" s="770"/>
      <c r="J8" s="770"/>
      <c r="K8" s="770"/>
      <c r="L8" s="770" t="s">
        <v>340</v>
      </c>
      <c r="M8" s="770"/>
      <c r="N8" s="770"/>
      <c r="O8" s="770"/>
      <c r="P8" s="770"/>
      <c r="Q8" s="771"/>
    </row>
    <row r="9" spans="2:17" ht="28.5" customHeight="1">
      <c r="B9" s="764"/>
      <c r="C9" s="765"/>
      <c r="D9" s="765"/>
      <c r="E9" s="766"/>
      <c r="F9" s="330"/>
      <c r="G9" s="331"/>
      <c r="H9" s="331"/>
      <c r="I9" s="331"/>
      <c r="J9" s="331"/>
      <c r="K9" s="332"/>
      <c r="L9" s="330"/>
      <c r="M9" s="331"/>
      <c r="N9" s="331"/>
      <c r="O9" s="331"/>
      <c r="P9" s="331"/>
      <c r="Q9" s="333"/>
    </row>
    <row r="10" spans="2:17" ht="28.5" customHeight="1">
      <c r="B10" s="764"/>
      <c r="C10" s="765"/>
      <c r="D10" s="765"/>
      <c r="E10" s="766"/>
      <c r="F10" s="334"/>
      <c r="G10" s="335"/>
      <c r="H10" s="335"/>
      <c r="I10" s="335"/>
      <c r="J10" s="335"/>
      <c r="K10" s="336"/>
      <c r="L10" s="334"/>
      <c r="M10" s="335"/>
      <c r="N10" s="335"/>
      <c r="O10" s="335"/>
      <c r="P10" s="335"/>
      <c r="Q10" s="337"/>
    </row>
    <row r="11" spans="2:17" ht="28.5" customHeight="1">
      <c r="B11" s="764"/>
      <c r="C11" s="765"/>
      <c r="D11" s="765"/>
      <c r="E11" s="766"/>
      <c r="F11" s="334"/>
      <c r="G11" s="335"/>
      <c r="H11" s="335"/>
      <c r="I11" s="335"/>
      <c r="J11" s="335"/>
      <c r="K11" s="336"/>
      <c r="L11" s="334"/>
      <c r="M11" s="335"/>
      <c r="N11" s="335"/>
      <c r="O11" s="335"/>
      <c r="P11" s="335"/>
      <c r="Q11" s="337"/>
    </row>
    <row r="12" spans="2:17" ht="28.5" customHeight="1">
      <c r="B12" s="764"/>
      <c r="C12" s="765"/>
      <c r="D12" s="765"/>
      <c r="E12" s="766"/>
      <c r="F12" s="334"/>
      <c r="G12" s="335"/>
      <c r="H12" s="335"/>
      <c r="I12" s="335"/>
      <c r="J12" s="335"/>
      <c r="K12" s="336"/>
      <c r="L12" s="334"/>
      <c r="M12" s="335"/>
      <c r="N12" s="335"/>
      <c r="O12" s="335"/>
      <c r="P12" s="335"/>
      <c r="Q12" s="337"/>
    </row>
    <row r="13" spans="2:17" ht="28.5" customHeight="1">
      <c r="B13" s="764"/>
      <c r="C13" s="765"/>
      <c r="D13" s="765"/>
      <c r="E13" s="766"/>
      <c r="F13" s="334"/>
      <c r="G13" s="335"/>
      <c r="H13" s="335"/>
      <c r="I13" s="335"/>
      <c r="J13" s="335"/>
      <c r="K13" s="336"/>
      <c r="L13" s="334"/>
      <c r="M13" s="335"/>
      <c r="N13" s="335"/>
      <c r="O13" s="335"/>
      <c r="P13" s="335"/>
      <c r="Q13" s="337"/>
    </row>
    <row r="14" spans="2:17" ht="28.5" customHeight="1">
      <c r="B14" s="764"/>
      <c r="C14" s="765"/>
      <c r="D14" s="765"/>
      <c r="E14" s="766"/>
      <c r="F14" s="338"/>
      <c r="G14" s="339"/>
      <c r="H14" s="340"/>
      <c r="I14" s="340"/>
      <c r="J14" s="339"/>
      <c r="K14" s="341"/>
      <c r="L14" s="338"/>
      <c r="M14" s="339"/>
      <c r="N14" s="340"/>
      <c r="O14" s="340"/>
      <c r="P14" s="339"/>
      <c r="Q14" s="342"/>
    </row>
    <row r="15" spans="2:17" ht="28.5" customHeight="1">
      <c r="B15" s="764"/>
      <c r="C15" s="765"/>
      <c r="D15" s="765"/>
      <c r="E15" s="766"/>
      <c r="F15" s="338"/>
      <c r="G15" s="339"/>
      <c r="H15" s="340"/>
      <c r="I15" s="340"/>
      <c r="J15" s="339"/>
      <c r="K15" s="341"/>
      <c r="L15" s="338"/>
      <c r="M15" s="339"/>
      <c r="N15" s="340"/>
      <c r="O15" s="340"/>
      <c r="P15" s="339"/>
      <c r="Q15" s="342"/>
    </row>
    <row r="16" spans="2:17" ht="28.5" customHeight="1">
      <c r="B16" s="764"/>
      <c r="C16" s="765"/>
      <c r="D16" s="765"/>
      <c r="E16" s="766"/>
      <c r="F16" s="338"/>
      <c r="G16" s="339"/>
      <c r="H16" s="340"/>
      <c r="I16" s="340"/>
      <c r="J16" s="339"/>
      <c r="K16" s="341"/>
      <c r="L16" s="338"/>
      <c r="M16" s="339"/>
      <c r="N16" s="340"/>
      <c r="O16" s="340"/>
      <c r="P16" s="339"/>
      <c r="Q16" s="342"/>
    </row>
    <row r="17" spans="2:17" ht="28.5" customHeight="1">
      <c r="B17" s="767"/>
      <c r="C17" s="768"/>
      <c r="D17" s="768"/>
      <c r="E17" s="769"/>
      <c r="F17" s="338"/>
      <c r="G17" s="339"/>
      <c r="H17" s="340"/>
      <c r="I17" s="340"/>
      <c r="J17" s="339"/>
      <c r="K17" s="341"/>
      <c r="L17" s="338"/>
      <c r="M17" s="339"/>
      <c r="N17" s="340"/>
      <c r="O17" s="340"/>
      <c r="P17" s="339"/>
      <c r="Q17" s="342"/>
    </row>
    <row r="18" spans="2:17" ht="28.5" customHeight="1">
      <c r="B18" s="761" t="s">
        <v>341</v>
      </c>
      <c r="C18" s="772"/>
      <c r="D18" s="772"/>
      <c r="E18" s="773"/>
      <c r="F18" s="780" t="s">
        <v>409</v>
      </c>
      <c r="G18" s="781"/>
      <c r="H18" s="781"/>
      <c r="I18" s="781"/>
      <c r="J18" s="781"/>
      <c r="K18" s="781"/>
      <c r="L18" s="781"/>
      <c r="M18" s="781"/>
      <c r="N18" s="781"/>
      <c r="O18" s="781"/>
      <c r="P18" s="781"/>
      <c r="Q18" s="782"/>
    </row>
    <row r="19" spans="2:17" ht="28.5" customHeight="1">
      <c r="B19" s="774"/>
      <c r="C19" s="775"/>
      <c r="D19" s="775"/>
      <c r="E19" s="776"/>
      <c r="F19" s="783"/>
      <c r="G19" s="784"/>
      <c r="H19" s="784"/>
      <c r="I19" s="784"/>
      <c r="J19" s="784"/>
      <c r="K19" s="784"/>
      <c r="L19" s="784"/>
      <c r="M19" s="784"/>
      <c r="N19" s="784"/>
      <c r="O19" s="784"/>
      <c r="P19" s="784"/>
      <c r="Q19" s="785"/>
    </row>
    <row r="20" spans="2:17" ht="28.5" customHeight="1" thickBot="1">
      <c r="B20" s="777"/>
      <c r="C20" s="778"/>
      <c r="D20" s="778"/>
      <c r="E20" s="779"/>
      <c r="F20" s="786"/>
      <c r="G20" s="787"/>
      <c r="H20" s="787"/>
      <c r="I20" s="787"/>
      <c r="J20" s="787"/>
      <c r="K20" s="787"/>
      <c r="L20" s="787"/>
      <c r="M20" s="787"/>
      <c r="N20" s="787"/>
      <c r="O20" s="787"/>
      <c r="P20" s="787"/>
      <c r="Q20" s="788"/>
    </row>
    <row r="23" spans="2:17" ht="13.5">
      <c r="B23" s="327"/>
      <c r="C23" s="327"/>
      <c r="D23" s="327"/>
      <c r="E23" s="744" t="s">
        <v>334</v>
      </c>
      <c r="F23" s="744"/>
      <c r="G23" s="744"/>
      <c r="H23" s="744"/>
      <c r="I23" s="744"/>
      <c r="J23" s="744"/>
      <c r="K23" s="744"/>
      <c r="L23" s="744"/>
      <c r="M23" s="744"/>
      <c r="N23" s="744"/>
      <c r="O23" s="327"/>
      <c r="P23" s="327"/>
      <c r="Q23" s="327"/>
    </row>
    <row r="24" spans="2:17" ht="13.5">
      <c r="B24" s="327"/>
      <c r="C24" s="327"/>
      <c r="D24" s="327"/>
      <c r="E24" s="744"/>
      <c r="F24" s="744"/>
      <c r="G24" s="744"/>
      <c r="H24" s="744"/>
      <c r="I24" s="744"/>
      <c r="J24" s="744"/>
      <c r="K24" s="744"/>
      <c r="L24" s="744"/>
      <c r="M24" s="744"/>
      <c r="N24" s="744"/>
      <c r="O24" s="327"/>
      <c r="P24" s="327"/>
      <c r="Q24" s="327"/>
    </row>
    <row r="25" spans="2:17" ht="13.5">
      <c r="B25" s="327"/>
      <c r="C25" s="327"/>
      <c r="D25" s="327"/>
      <c r="E25" s="744"/>
      <c r="F25" s="744"/>
      <c r="G25" s="744"/>
      <c r="H25" s="744"/>
      <c r="I25" s="744"/>
      <c r="J25" s="744"/>
      <c r="K25" s="744"/>
      <c r="L25" s="744"/>
      <c r="M25" s="744"/>
      <c r="N25" s="744"/>
      <c r="O25" s="327"/>
      <c r="P25" s="327"/>
      <c r="Q25" s="329"/>
    </row>
    <row r="26" spans="2:17" ht="14.25" thickBot="1">
      <c r="B26" s="327"/>
      <c r="C26" s="327"/>
      <c r="D26" s="327"/>
      <c r="E26" s="327"/>
      <c r="F26" s="327"/>
      <c r="G26" s="327"/>
      <c r="H26" s="327"/>
      <c r="I26" s="327"/>
      <c r="J26" s="327"/>
      <c r="K26" s="327"/>
      <c r="L26" s="327"/>
      <c r="M26" s="327"/>
      <c r="N26" s="327"/>
      <c r="O26" s="327"/>
      <c r="P26" s="327"/>
      <c r="Q26" s="327"/>
    </row>
    <row r="27" spans="2:17" ht="33" customHeight="1">
      <c r="B27" s="745" t="s">
        <v>335</v>
      </c>
      <c r="C27" s="746"/>
      <c r="D27" s="747"/>
      <c r="E27" s="747"/>
      <c r="F27" s="748" t="s">
        <v>403</v>
      </c>
      <c r="G27" s="749"/>
      <c r="H27" s="749"/>
      <c r="I27" s="749"/>
      <c r="J27" s="749"/>
      <c r="K27" s="749"/>
      <c r="L27" s="749"/>
      <c r="M27" s="749"/>
      <c r="N27" s="749"/>
      <c r="O27" s="749"/>
      <c r="P27" s="749"/>
      <c r="Q27" s="750"/>
    </row>
    <row r="28" spans="2:17" ht="33" customHeight="1">
      <c r="B28" s="751" t="s">
        <v>336</v>
      </c>
      <c r="C28" s="752"/>
      <c r="D28" s="753"/>
      <c r="E28" s="753"/>
      <c r="F28" s="754" t="s">
        <v>344</v>
      </c>
      <c r="G28" s="755"/>
      <c r="H28" s="755"/>
      <c r="I28" s="755"/>
      <c r="J28" s="755"/>
      <c r="K28" s="756"/>
      <c r="L28" s="757" t="s">
        <v>337</v>
      </c>
      <c r="M28" s="753"/>
      <c r="N28" s="753"/>
      <c r="O28" s="758" t="s">
        <v>396</v>
      </c>
      <c r="P28" s="759"/>
      <c r="Q28" s="760"/>
    </row>
    <row r="29" spans="2:17" ht="20.25" customHeight="1">
      <c r="B29" s="761" t="s">
        <v>338</v>
      </c>
      <c r="C29" s="762"/>
      <c r="D29" s="762"/>
      <c r="E29" s="763"/>
      <c r="F29" s="770" t="s">
        <v>339</v>
      </c>
      <c r="G29" s="770"/>
      <c r="H29" s="770"/>
      <c r="I29" s="770"/>
      <c r="J29" s="770"/>
      <c r="K29" s="770"/>
      <c r="L29" s="770" t="s">
        <v>340</v>
      </c>
      <c r="M29" s="770"/>
      <c r="N29" s="770"/>
      <c r="O29" s="770"/>
      <c r="P29" s="770"/>
      <c r="Q29" s="771"/>
    </row>
    <row r="30" spans="2:17" ht="28.5" customHeight="1">
      <c r="B30" s="764"/>
      <c r="C30" s="765"/>
      <c r="D30" s="765"/>
      <c r="E30" s="766"/>
      <c r="F30" s="330"/>
      <c r="G30" s="331"/>
      <c r="H30" s="331"/>
      <c r="I30" s="331"/>
      <c r="J30" s="331"/>
      <c r="K30" s="332"/>
      <c r="L30" s="330"/>
      <c r="M30" s="331"/>
      <c r="N30" s="331"/>
      <c r="O30" s="331"/>
      <c r="P30" s="331"/>
      <c r="Q30" s="333"/>
    </row>
    <row r="31" spans="2:17" ht="28.5" customHeight="1">
      <c r="B31" s="764"/>
      <c r="C31" s="765"/>
      <c r="D31" s="765"/>
      <c r="E31" s="766"/>
      <c r="F31" s="334"/>
      <c r="G31" s="335"/>
      <c r="H31" s="335"/>
      <c r="I31" s="335"/>
      <c r="J31" s="335"/>
      <c r="K31" s="336"/>
      <c r="L31" s="334"/>
      <c r="M31" s="335"/>
      <c r="N31" s="335"/>
      <c r="O31" s="335"/>
      <c r="P31" s="335"/>
      <c r="Q31" s="337"/>
    </row>
    <row r="32" spans="2:17" ht="28.5" customHeight="1">
      <c r="B32" s="764"/>
      <c r="C32" s="765"/>
      <c r="D32" s="765"/>
      <c r="E32" s="766"/>
      <c r="F32" s="334"/>
      <c r="G32" s="335"/>
      <c r="H32" s="335"/>
      <c r="I32" s="335"/>
      <c r="J32" s="335"/>
      <c r="K32" s="336"/>
      <c r="L32" s="334"/>
      <c r="M32" s="335"/>
      <c r="N32" s="335"/>
      <c r="O32" s="335"/>
      <c r="P32" s="335"/>
      <c r="Q32" s="337"/>
    </row>
    <row r="33" spans="2:17" ht="28.5" customHeight="1">
      <c r="B33" s="764"/>
      <c r="C33" s="765"/>
      <c r="D33" s="765"/>
      <c r="E33" s="766"/>
      <c r="F33" s="334"/>
      <c r="G33" s="335"/>
      <c r="H33" s="335"/>
      <c r="I33" s="335"/>
      <c r="J33" s="335"/>
      <c r="K33" s="336"/>
      <c r="L33" s="334"/>
      <c r="M33" s="335"/>
      <c r="N33" s="335"/>
      <c r="O33" s="335"/>
      <c r="P33" s="335"/>
      <c r="Q33" s="337"/>
    </row>
    <row r="34" spans="2:17" ht="28.5" customHeight="1">
      <c r="B34" s="764"/>
      <c r="C34" s="765"/>
      <c r="D34" s="765"/>
      <c r="E34" s="766"/>
      <c r="F34" s="334"/>
      <c r="G34" s="335"/>
      <c r="H34" s="335"/>
      <c r="I34" s="335"/>
      <c r="J34" s="335"/>
      <c r="K34" s="336"/>
      <c r="L34" s="334"/>
      <c r="M34" s="335"/>
      <c r="N34" s="335"/>
      <c r="O34" s="335"/>
      <c r="P34" s="335"/>
      <c r="Q34" s="337"/>
    </row>
    <row r="35" spans="2:17" ht="28.5" customHeight="1">
      <c r="B35" s="764"/>
      <c r="C35" s="765"/>
      <c r="D35" s="765"/>
      <c r="E35" s="766"/>
      <c r="F35" s="338"/>
      <c r="G35" s="339"/>
      <c r="H35" s="340"/>
      <c r="I35" s="340"/>
      <c r="J35" s="339"/>
      <c r="K35" s="341"/>
      <c r="L35" s="338"/>
      <c r="M35" s="339"/>
      <c r="N35" s="340"/>
      <c r="O35" s="340"/>
      <c r="P35" s="339"/>
      <c r="Q35" s="342"/>
    </row>
    <row r="36" spans="2:17" ht="28.5" customHeight="1">
      <c r="B36" s="764"/>
      <c r="C36" s="765"/>
      <c r="D36" s="765"/>
      <c r="E36" s="766"/>
      <c r="F36" s="338"/>
      <c r="G36" s="339"/>
      <c r="H36" s="340"/>
      <c r="I36" s="340"/>
      <c r="J36" s="339"/>
      <c r="K36" s="341"/>
      <c r="L36" s="338"/>
      <c r="M36" s="339"/>
      <c r="N36" s="340"/>
      <c r="O36" s="340"/>
      <c r="P36" s="339"/>
      <c r="Q36" s="342"/>
    </row>
    <row r="37" spans="2:17" ht="28.5" customHeight="1">
      <c r="B37" s="764"/>
      <c r="C37" s="765"/>
      <c r="D37" s="765"/>
      <c r="E37" s="766"/>
      <c r="F37" s="338"/>
      <c r="G37" s="339"/>
      <c r="H37" s="340"/>
      <c r="I37" s="340"/>
      <c r="J37" s="339"/>
      <c r="K37" s="341"/>
      <c r="L37" s="338"/>
      <c r="M37" s="339"/>
      <c r="N37" s="340"/>
      <c r="O37" s="340"/>
      <c r="P37" s="339"/>
      <c r="Q37" s="342"/>
    </row>
    <row r="38" spans="2:17" ht="28.5" customHeight="1">
      <c r="B38" s="767"/>
      <c r="C38" s="768"/>
      <c r="D38" s="768"/>
      <c r="E38" s="769"/>
      <c r="F38" s="338"/>
      <c r="G38" s="339"/>
      <c r="H38" s="340"/>
      <c r="I38" s="340"/>
      <c r="J38" s="339"/>
      <c r="K38" s="341"/>
      <c r="L38" s="338"/>
      <c r="M38" s="339"/>
      <c r="N38" s="340"/>
      <c r="O38" s="340"/>
      <c r="P38" s="339"/>
      <c r="Q38" s="342"/>
    </row>
    <row r="39" spans="2:17" ht="28.5" customHeight="1">
      <c r="B39" s="761" t="s">
        <v>341</v>
      </c>
      <c r="C39" s="772"/>
      <c r="D39" s="772"/>
      <c r="E39" s="773"/>
      <c r="F39" s="780" t="s">
        <v>408</v>
      </c>
      <c r="G39" s="781"/>
      <c r="H39" s="781"/>
      <c r="I39" s="781"/>
      <c r="J39" s="781"/>
      <c r="K39" s="781"/>
      <c r="L39" s="781"/>
      <c r="M39" s="781"/>
      <c r="N39" s="781"/>
      <c r="O39" s="781"/>
      <c r="P39" s="781"/>
      <c r="Q39" s="782"/>
    </row>
    <row r="40" spans="2:17" ht="28.5" customHeight="1">
      <c r="B40" s="774"/>
      <c r="C40" s="775"/>
      <c r="D40" s="775"/>
      <c r="E40" s="776"/>
      <c r="F40" s="783"/>
      <c r="G40" s="784"/>
      <c r="H40" s="784"/>
      <c r="I40" s="784"/>
      <c r="J40" s="784"/>
      <c r="K40" s="784"/>
      <c r="L40" s="784"/>
      <c r="M40" s="784"/>
      <c r="N40" s="784"/>
      <c r="O40" s="784"/>
      <c r="P40" s="784"/>
      <c r="Q40" s="785"/>
    </row>
    <row r="41" spans="2:17" ht="28.5" customHeight="1" thickBot="1">
      <c r="B41" s="777"/>
      <c r="C41" s="778"/>
      <c r="D41" s="778"/>
      <c r="E41" s="779"/>
      <c r="F41" s="786"/>
      <c r="G41" s="787"/>
      <c r="H41" s="787"/>
      <c r="I41" s="787"/>
      <c r="J41" s="787"/>
      <c r="K41" s="787"/>
      <c r="L41" s="787"/>
      <c r="M41" s="787"/>
      <c r="N41" s="787"/>
      <c r="O41" s="787"/>
      <c r="P41" s="787"/>
      <c r="Q41" s="788"/>
    </row>
  </sheetData>
  <mergeCells count="24">
    <mergeCell ref="B27:E27"/>
    <mergeCell ref="F27:Q27"/>
    <mergeCell ref="B28:E28"/>
    <mergeCell ref="F28:K28"/>
    <mergeCell ref="L28:N28"/>
    <mergeCell ref="O28:Q28"/>
    <mergeCell ref="B29:E38"/>
    <mergeCell ref="F29:K29"/>
    <mergeCell ref="L29:Q29"/>
    <mergeCell ref="B39:E41"/>
    <mergeCell ref="F39:Q41"/>
    <mergeCell ref="E23:N25"/>
    <mergeCell ref="E2:N4"/>
    <mergeCell ref="B6:E6"/>
    <mergeCell ref="F6:Q6"/>
    <mergeCell ref="B7:E7"/>
    <mergeCell ref="F7:K7"/>
    <mergeCell ref="L7:N7"/>
    <mergeCell ref="O7:Q7"/>
    <mergeCell ref="B8:E17"/>
    <mergeCell ref="F8:K8"/>
    <mergeCell ref="L8:Q8"/>
    <mergeCell ref="B18:E20"/>
    <mergeCell ref="F18:Q20"/>
  </mergeCells>
  <phoneticPr fontId="56" type="noConversion"/>
  <printOptions horizontalCentered="1" verticalCentered="1"/>
  <pageMargins left="0.70866141732283472" right="0.70866141732283472" top="0.74803149606299213" bottom="0.74803149606299213" header="0.31496062992125984" footer="0.31496062992125984"/>
  <pageSetup paperSize="9" scale="97" orientation="landscape" r:id="rId1"/>
  <drawing r:id="rId2"/>
</worksheet>
</file>

<file path=docProps/app.xml><?xml version="1.0" encoding="utf-8"?>
<Properties xmlns="http://schemas.openxmlformats.org/officeDocument/2006/extended-properties" xmlns:vt="http://schemas.openxmlformats.org/officeDocument/2006/docPropsVTypes">
  <TotalTime>0</TotalTime>
  <Application>Microsoft Excel</Application>
  <DocSecurity>0</DocSecurity>
  <ScaleCrop>false</ScaleCrop>
  <HeadingPairs>
    <vt:vector size="4" baseType="variant">
      <vt:variant>
        <vt:lpstr>워크시트</vt:lpstr>
      </vt:variant>
      <vt:variant>
        <vt:i4>5</vt:i4>
      </vt:variant>
      <vt:variant>
        <vt:lpstr>이름 지정된 범위</vt:lpstr>
      </vt:variant>
      <vt:variant>
        <vt:i4>2</vt:i4>
      </vt:variant>
    </vt:vector>
  </HeadingPairs>
  <TitlesOfParts>
    <vt:vector size="7" baseType="lpstr">
      <vt:lpstr>8D Form_v1</vt:lpstr>
      <vt:lpstr>Risk Evaluation_v1</vt:lpstr>
      <vt:lpstr>D2 - Failure Visualization</vt:lpstr>
      <vt:lpstr>8D Self-assessment_v1</vt:lpstr>
      <vt:lpstr>D6-1_CA_Occ</vt:lpstr>
      <vt:lpstr>'8D Form_v1'!Print_Area</vt:lpstr>
      <vt:lpstr>'D6-1_CA_Occ'!Print_Area</vt:lpstr>
    </vt:vector>
  </TitlesOfParts>
  <Company>Bosch Group</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Nagy Zsolt</dc:creator>
  <cp:lastModifiedBy>Jaeseok LEE</cp:lastModifiedBy>
  <cp:lastPrinted>2025-06-21T03:02:07Z</cp:lastPrinted>
  <dcterms:created xsi:type="dcterms:W3CDTF">2013-07-05T09:23:36Z</dcterms:created>
  <dcterms:modified xsi:type="dcterms:W3CDTF">2025-06-21T06:56:15Z</dcterms:modified>
</cp:coreProperties>
</file>