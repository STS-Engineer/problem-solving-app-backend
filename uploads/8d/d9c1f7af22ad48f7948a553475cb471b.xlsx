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Qad8\AppData\Local\Microsoft\Windows\INetCache\Content.Outlook\LIZ7QF08\"/>
    </mc:Choice>
  </mc:AlternateContent>
  <bookViews>
    <workbookView xWindow="0" yWindow="0" windowWidth="19200" windowHeight="6765" tabRatio="450"/>
  </bookViews>
  <sheets>
    <sheet name="8D Form" sheetId="8" r:id="rId1"/>
    <sheet name="Risk Evaluation" sheetId="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e1">#REF!</definedName>
    <definedName name="_e10">#REF!</definedName>
    <definedName name="_e2">#REF!</definedName>
    <definedName name="_e3">#REF!</definedName>
    <definedName name="_e4">#REF!</definedName>
    <definedName name="_e5">#REF!</definedName>
    <definedName name="_e6">#REF!</definedName>
    <definedName name="_e7">#REF!</definedName>
    <definedName name="_e8">#REF!</definedName>
    <definedName name="_e9">#REF!</definedName>
    <definedName name="_Ep1">#REF!</definedName>
    <definedName name="_Ep2">#REF!</definedName>
    <definedName name="_Ep3">#REF!</definedName>
    <definedName name="_Ep4">#REF!</definedName>
    <definedName name="_Ep5">#REF!</definedName>
    <definedName name="_Ep6">#REF!</definedName>
    <definedName name="_epg1">#REF!</definedName>
    <definedName name="_epg2">#REF!</definedName>
    <definedName name="_epg3">#REF!</definedName>
    <definedName name="_epg4">#REF!</definedName>
    <definedName name="_epg5">#REF!</definedName>
    <definedName name="_epg6">#REF!</definedName>
    <definedName name="_es1">#REF!</definedName>
    <definedName name="_es2">#REF!</definedName>
    <definedName name="_es3">#REF!</definedName>
    <definedName name="_es4">#REF!</definedName>
    <definedName name="_Li2">[1]Voreinstellungen!#REF!</definedName>
    <definedName name="Abschlussbericht">#REF!</definedName>
    <definedName name="AbtBez">[1]Voreinstellungen!#REF!</definedName>
    <definedName name="AktuelleSprache">#REF!</definedName>
    <definedName name="AuditArt">#REF!</definedName>
    <definedName name="AuditDatum">[2]Eingabe!$B$4</definedName>
    <definedName name="Auftrag_Nr.">[2]Eingabe!$B$3</definedName>
    <definedName name="Ausdruck">#REF!</definedName>
    <definedName name="Beanstandungstitel">#REF!</definedName>
    <definedName name="bent_pin__CRC">#REF!</definedName>
    <definedName name="Blatt1">#REF!</definedName>
    <definedName name="Blatt11">#REF!</definedName>
    <definedName name="Blatt12">#REF!</definedName>
    <definedName name="Blatt13">#REF!</definedName>
    <definedName name="Blatt3">#REF!</definedName>
    <definedName name="Bosch_Material">'8D Form'!$R$31</definedName>
    <definedName name="Bosch_plant">'8D Form'!$R$32</definedName>
    <definedName name="Bosch_product">'8D Form'!$R$30</definedName>
    <definedName name="complaint_name">'8D Form'!$F$31</definedName>
    <definedName name="D2_AZ">#REF!</definedName>
    <definedName name="D2_BL1">#REF!</definedName>
    <definedName name="D2_BL2">#REF!</definedName>
    <definedName name="D2_C1">#REF!</definedName>
    <definedName name="D2_C2">#REF!</definedName>
    <definedName name="D2_C3">#REF!</definedName>
    <definedName name="D2_EL">#REF!</definedName>
    <definedName name="D2_NG">#REF!</definedName>
    <definedName name="D2_NS">#REF!</definedName>
    <definedName name="D2_RM">#REF!</definedName>
    <definedName name="D2_ZN">#REF!</definedName>
    <definedName name="D3_AZ">#REF!</definedName>
    <definedName name="D3_BL">#REF!</definedName>
    <definedName name="D3_C1">#REF!</definedName>
    <definedName name="D3_C2">#REF!</definedName>
    <definedName name="D3_C3">#REF!</definedName>
    <definedName name="D3_EL">#REF!</definedName>
    <definedName name="D3_NG">#REF!</definedName>
    <definedName name="D3_NS">#REF!</definedName>
    <definedName name="D3_RM">#REF!</definedName>
    <definedName name="D3_ZN">#REF!</definedName>
    <definedName name="D4D_BL1">#REF!</definedName>
    <definedName name="D4D_BL2">#REF!</definedName>
    <definedName name="D4D_C1">#REF!</definedName>
    <definedName name="D4D_C2">#REF!</definedName>
    <definedName name="D4D_C3">#REF!</definedName>
    <definedName name="D4D_EL">#REF!</definedName>
    <definedName name="D4D_NS">#REF!</definedName>
    <definedName name="D4Dtrcsrc_AZ">#REF!</definedName>
    <definedName name="D4Dtrcsrc_NG">#REF!</definedName>
    <definedName name="D4Dtrcsrc_RM">#REF!</definedName>
    <definedName name="D4Dtrcsrc_ZN">#REF!</definedName>
    <definedName name="D4O_BL1">#REF!</definedName>
    <definedName name="D4O_BL2">#REF!</definedName>
    <definedName name="D4O_C1">#REF!</definedName>
    <definedName name="D4O_C2">#REF!</definedName>
    <definedName name="D4O_C3">#REF!</definedName>
    <definedName name="D4O_EL">#REF!</definedName>
    <definedName name="D4O_NS">#REF!</definedName>
    <definedName name="D4Osrc_AZ">#REF!</definedName>
    <definedName name="D4Osrc_NG">#REF!</definedName>
    <definedName name="D4Osrc_RM">#REF!</definedName>
    <definedName name="D4Osrc_ZN">#REF!</definedName>
    <definedName name="D4Otrc_AZ">#REF!</definedName>
    <definedName name="D4Otrc_NG">#REF!</definedName>
    <definedName name="D4Otrc_RM">#REF!</definedName>
    <definedName name="D4Otrc_ZN">#REF!</definedName>
    <definedName name="D4RA_AZ">#REF!</definedName>
    <definedName name="D4RA_NG">#REF!</definedName>
    <definedName name="D4RA_RM">#REF!</definedName>
    <definedName name="D4RA_ZN">#REF!</definedName>
    <definedName name="D5_AZ">#REF!</definedName>
    <definedName name="D5_NG">#REF!</definedName>
    <definedName name="D5_RM">#REF!</definedName>
    <definedName name="D5_ZN">#REF!</definedName>
    <definedName name="D5D6D_BL1">#REF!</definedName>
    <definedName name="D5D6D_BL2">#REF!</definedName>
    <definedName name="D5D6D_C1">#REF!</definedName>
    <definedName name="D5D6D_C2">#REF!</definedName>
    <definedName name="D5D6D_C3">#REF!</definedName>
    <definedName name="D5D6D_EL">#REF!</definedName>
    <definedName name="D5D6D_NS">#REF!</definedName>
    <definedName name="D5D6O_BL1">#REF!</definedName>
    <definedName name="D5D6O_BL2">#REF!</definedName>
    <definedName name="D5D6O_C1">#REF!</definedName>
    <definedName name="D5D6O_C2">#REF!</definedName>
    <definedName name="D5D6O_C3">#REF!</definedName>
    <definedName name="D5D6O_EL">#REF!</definedName>
    <definedName name="D5D6O_NS">#REF!</definedName>
    <definedName name="D6_AZ">#REF!</definedName>
    <definedName name="D6_NG">#REF!</definedName>
    <definedName name="D6_RM">#REF!</definedName>
    <definedName name="D6_ZN">#REF!</definedName>
    <definedName name="D7_AZ">#REF!</definedName>
    <definedName name="D7_BL">#REF!</definedName>
    <definedName name="D7_C1">#REF!</definedName>
    <definedName name="D7_C2">#REF!</definedName>
    <definedName name="D7_C3">#REF!</definedName>
    <definedName name="D7_EL">#REF!</definedName>
    <definedName name="D7_NG">#REF!</definedName>
    <definedName name="D7_NS">#REF!</definedName>
    <definedName name="D7_RM">#REF!</definedName>
    <definedName name="D7_ZN">#REF!</definedName>
    <definedName name="D8_BL">#REF!</definedName>
    <definedName name="D8_C1">#REF!</definedName>
    <definedName name="D8_C2">#REF!</definedName>
    <definedName name="D8_C3">#REF!</definedName>
    <definedName name="D8_EL">#REF!</definedName>
    <definedName name="D8_NS">#REF!</definedName>
    <definedName name="D8Sign_AZ">#REF!</definedName>
    <definedName name="D8Sign_NG">#REF!</definedName>
    <definedName name="D8Sign_RM">#REF!</definedName>
    <definedName name="D8Sign_ZN">#REF!</definedName>
    <definedName name="Date_complaint">'8D Form'!$F$30</definedName>
    <definedName name="DUNS_Nr">[3]EingabeMaske!$C$19</definedName>
    <definedName name="ED_2">#REF!</definedName>
    <definedName name="ED_3">#REF!</definedName>
    <definedName name="ED_4">#REF!</definedName>
    <definedName name="ED_5">#REF!</definedName>
    <definedName name="ED_6">#REF!</definedName>
    <definedName name="ede">#REF!</definedName>
    <definedName name="ek">#REF!</definedName>
    <definedName name="elm">[4]Bewertungsmatrix!$AM$25</definedName>
    <definedName name="Ep_2">#REF!</definedName>
    <definedName name="Ep_3">#REF!</definedName>
    <definedName name="Ep_4">#REF!</definedName>
    <definedName name="Ep_5">#REF!</definedName>
    <definedName name="Ep_6">#REF!</definedName>
    <definedName name="epdp">[4]Bewertungsmatrix!$P$14</definedName>
    <definedName name="epdr">[4]Bewertungsmatrix!$P$21</definedName>
    <definedName name="epe">#REF!</definedName>
    <definedName name="epg">[4]Bewertungsmatrix!$AM$55</definedName>
    <definedName name="epm">[4]Bewertungsmatrix!$AM$8</definedName>
    <definedName name="epp">[4]Bewertungsmatrix!$AM$14</definedName>
    <definedName name="epr">[4]Bewertungsmatrix!$AM$21</definedName>
    <definedName name="epzp">[4]Bewertungsmatrix!$AF$14</definedName>
    <definedName name="epzr">[4]Bewertungsmatrix!$AF$21</definedName>
    <definedName name="ergebnis1">#REF!</definedName>
    <definedName name="ez">#REF!</definedName>
    <definedName name="F_D2_BL">#REF!</definedName>
    <definedName name="F_D2_C1">#REF!</definedName>
    <definedName name="F_D2_C2">#REF!</definedName>
    <definedName name="F_D2_C3">#REF!</definedName>
    <definedName name="F_D2_EL">#REF!</definedName>
    <definedName name="F_D2_NS">#REF!</definedName>
    <definedName name="F_D3_BL">#REF!</definedName>
    <definedName name="F_D3_C1">#REF!</definedName>
    <definedName name="F_D3_C2">#REF!</definedName>
    <definedName name="F_D3_C3">#REF!</definedName>
    <definedName name="F_D3_EL">#REF!</definedName>
    <definedName name="F_D3_NS">#REF!</definedName>
    <definedName name="F_D4D_BL1">#REF!</definedName>
    <definedName name="F_D4D_BL2">#REF!</definedName>
    <definedName name="F_D4D_C1">#REF!</definedName>
    <definedName name="F_D4D_C2">#REF!</definedName>
    <definedName name="F_D4D_C3">#REF!</definedName>
    <definedName name="F_D4D_EL">#REF!</definedName>
    <definedName name="F_D4D_NS">#REF!</definedName>
    <definedName name="F_D4O_BL1">#REF!</definedName>
    <definedName name="F_D4O_BL2">#REF!</definedName>
    <definedName name="F_D4O_C1">#REF!</definedName>
    <definedName name="F_D4O_C2">#REF!</definedName>
    <definedName name="F_D4O_C3">#REF!</definedName>
    <definedName name="F_D4O_EL">#REF!</definedName>
    <definedName name="F_D4O_NS">#REF!</definedName>
    <definedName name="F_D5D6D_BL1">#REF!</definedName>
    <definedName name="F_D5D6D_BL2">#REF!</definedName>
    <definedName name="F_D5D6D_C1">#REF!</definedName>
    <definedName name="F_D5D6D_C2">#REF!</definedName>
    <definedName name="F_D5D6D_C3">#REF!</definedName>
    <definedName name="F_D5D6D_EL">#REF!</definedName>
    <definedName name="F_D5D6D_NS">#REF!</definedName>
    <definedName name="F_D5D6O_BL1">#REF!</definedName>
    <definedName name="F_D5D6O_BL2">#REF!</definedName>
    <definedName name="F_D5D6O_C1">#REF!</definedName>
    <definedName name="F_D5D6O_C2">#REF!</definedName>
    <definedName name="F_D5D6O_C3">#REF!</definedName>
    <definedName name="F_D5D6O_EL">#REF!</definedName>
    <definedName name="F_D5D6O_NS">#REF!</definedName>
    <definedName name="F_D7_BL">#REF!</definedName>
    <definedName name="F_D7_C1">#REF!</definedName>
    <definedName name="F_D7_C2">#REF!</definedName>
    <definedName name="F_D7_C3">#REF!</definedName>
    <definedName name="F_D7_EL">#REF!</definedName>
    <definedName name="F_D7_NS">#REF!</definedName>
    <definedName name="F_D8_BL">#REF!</definedName>
    <definedName name="F_D8_C1">#REF!</definedName>
    <definedName name="F_D8_C2">#REF!</definedName>
    <definedName name="F_D8_C3">#REF!</definedName>
    <definedName name="F_D8_EL">#REF!</definedName>
    <definedName name="F_D8_NS">#REF!</definedName>
    <definedName name="Final_report">'8D Form'!$V$27</definedName>
    <definedName name="Folgeseiten">#REF!</definedName>
    <definedName name="FQF">[1]Voreinstellungen!#REF!</definedName>
    <definedName name="Funk8">[1]Eingabe!#REF!</definedName>
    <definedName name="Issuer">'8D Form'!$R$33</definedName>
    <definedName name="Lfd._Nr.">[5]Sprache_GUI!#REF!</definedName>
    <definedName name="Lief_Ort">[4]EingabeMaske!$C$21</definedName>
    <definedName name="Lief_PLZ">[4]EingabeMaske!$C$23</definedName>
    <definedName name="Lief_Str">[4]EingabeMaske!$C$20</definedName>
    <definedName name="Lief_Unterschr">[4]EingabeMaske!$C$22</definedName>
    <definedName name="Lieferant">[3]EingabeMaske!$C$20</definedName>
    <definedName name="LieferantNr">[3]EingabeMaske!$C$18</definedName>
    <definedName name="Liste">#REF!</definedName>
    <definedName name="ListeFQF">#REF!</definedName>
    <definedName name="M_P1">#REF!</definedName>
    <definedName name="M_P2">#REF!</definedName>
    <definedName name="M_P3">#REF!</definedName>
    <definedName name="M_P4">#REF!</definedName>
    <definedName name="M_P5">#REF!</definedName>
    <definedName name="M_P6">#REF!</definedName>
    <definedName name="mATERIAL">'8D Form'!$R$31</definedName>
    <definedName name="OptionHead">"OptionHead"</definedName>
    <definedName name="P_P1">#REF!</definedName>
    <definedName name="P_P2">#REF!</definedName>
    <definedName name="P_P3">#REF!</definedName>
    <definedName name="P_P4">#REF!</definedName>
    <definedName name="P_P5">#REF!</definedName>
    <definedName name="P_P6">#REF!</definedName>
    <definedName name="_xlnm.Print_Area" localSheetId="0">'8D Form'!$B$18:$AQ$180</definedName>
    <definedName name="_xlnm.Print_Area" localSheetId="1">'Risk Evaluation'!$A$1:$O$60</definedName>
    <definedName name="ProdGr_ProzSchrA">[1]Eingabe!#REF!</definedName>
    <definedName name="ProdGrA">[1]Eingabe!#REF!</definedName>
    <definedName name="ProdGrNrA">[1]Eingabe!#REF!</definedName>
    <definedName name="Product">'8D Form'!$R$30</definedName>
    <definedName name="Produkt">[2]Eingabe!$B$2</definedName>
    <definedName name="Prozesschritt1">#REF!</definedName>
    <definedName name="Prozesschritt2">#REF!</definedName>
    <definedName name="Prozesschritt3">#REF!</definedName>
    <definedName name="Prozesschritt4">#REF!</definedName>
    <definedName name="Prozesschritt5">#REF!</definedName>
    <definedName name="Prozesschritt6">#REF!</definedName>
    <definedName name="ProzessKette2">#REF!</definedName>
    <definedName name="ProzessKette3" hidden="1">#REF!</definedName>
    <definedName name="PrSchr1">[4]EingabeMaske!$C$53</definedName>
    <definedName name="PrSchr10">[4]EingabeMaske!$C$62</definedName>
    <definedName name="PrSchr2">[4]EingabeMaske!$C$54</definedName>
    <definedName name="PrSchr3">[4]EingabeMaske!$C$55</definedName>
    <definedName name="PrSchr4">[4]EingabeMaske!$C$56</definedName>
    <definedName name="PrSchr5">[4]EingabeMaske!$C$57</definedName>
    <definedName name="PrSchr6">[4]EingabeMaske!$C$58</definedName>
    <definedName name="PrSchr7">[4]EingabeMaske!$C$59</definedName>
    <definedName name="PrSchr8">[4]EingabeMaske!$C$60</definedName>
    <definedName name="PrSchr9">[4]EingabeMaske!$C$61</definedName>
    <definedName name="Q8NR">#REF!</definedName>
    <definedName name="QCNR">#REF!</definedName>
    <definedName name="Reference_No.">'8D Form'!$K$26</definedName>
    <definedName name="Repetitive">#REF!</definedName>
    <definedName name="Report">'8D Form'!$V$27</definedName>
    <definedName name="Schwerpunkte">[6]Schwerpunkte!$A$1:$A$65536</definedName>
    <definedName name="Score_CM1">#REF!</definedName>
    <definedName name="Score_CM2">#REF!</definedName>
    <definedName name="Score_CMC">#REF!</definedName>
    <definedName name="Score_Others">#REF!</definedName>
    <definedName name="Score_RC1">#REF!</definedName>
    <definedName name="Score_RC2">#REF!</definedName>
    <definedName name="Score_RiskA">#REF!</definedName>
    <definedName name="Score_SignOff">#REF!</definedName>
    <definedName name="Score_Update_QM">#REF!</definedName>
    <definedName name="ScoreD2">#REF!</definedName>
    <definedName name="ScoreD3">#REF!</definedName>
    <definedName name="ScoreD5">#REF!</definedName>
    <definedName name="ScoreD6">#REF!</definedName>
    <definedName name="ScoreD7">#REF!</definedName>
    <definedName name="ScoreDtrcsrc">#REF!</definedName>
    <definedName name="ScoreOsrc">#REF!</definedName>
    <definedName name="ScoreOtrc">#REF!</definedName>
    <definedName name="ScoreSign">#REF!</definedName>
    <definedName name="Sprache_Deutsch">#REF!</definedName>
    <definedName name="Sprache_Englisch">#REF!</definedName>
    <definedName name="Sprache_French">#REF!</definedName>
    <definedName name="Sprache_Italiano">#REF!</definedName>
    <definedName name="Sprache_Portugisisch">#REF!</definedName>
    <definedName name="Sprache_Spanisch">#REF!</definedName>
    <definedName name="sss">#REF!</definedName>
    <definedName name="SumA2">#REF!</definedName>
    <definedName name="SumB2">#REF!</definedName>
    <definedName name="SumC2">#REF!</definedName>
    <definedName name="Supplier">'8D Form'!$F$33</definedName>
    <definedName name="syd">#REF!</definedName>
    <definedName name="Teil5">[1]Eingabe!#REF!</definedName>
    <definedName name="U_Bez_Re">[2]Voreinstellungen!$C$5</definedName>
    <definedName name="U_Name_Li">[2]Voreinstellungen!$B$4</definedName>
    <definedName name="U_Name_Re">[2]Voreinstellungen!$B$5</definedName>
    <definedName name="Wert2">[7]Fragen!$D$13</definedName>
    <definedName name="Werte">[8]Tabelle1!$D$1:$D$7</definedName>
    <definedName name="WerteListe">#REF!</definedName>
    <definedName name="WhyWhy">'[9]3 - 5Why'!#REF!</definedName>
    <definedName name="x">[10]questionary!$AC$14:$AC$19</definedName>
    <definedName name="Zwischenberich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8" i="9" l="1"/>
  <c r="D18" i="9"/>
  <c r="H38" i="9" l="1"/>
  <c r="D38" i="9" s="1"/>
  <c r="H40" i="9"/>
  <c r="D40" i="9" s="1"/>
  <c r="D42" i="9"/>
  <c r="G42" i="9" s="1"/>
  <c r="D51" i="9"/>
  <c r="D56" i="9"/>
  <c r="D58" i="9" s="1"/>
  <c r="J58" i="9" s="1"/>
  <c r="D44" i="9" l="1"/>
  <c r="H45" i="9" s="1"/>
  <c r="F38" i="9"/>
  <c r="D46" i="9"/>
  <c r="J45" i="9" s="1"/>
  <c r="F40" i="9"/>
  <c r="F56" i="9"/>
</calcChain>
</file>

<file path=xl/comments1.xml><?xml version="1.0" encoding="utf-8"?>
<comments xmlns="http://schemas.openxmlformats.org/spreadsheetml/2006/main">
  <authors>
    <author>jba5mc</author>
  </authors>
  <commentList>
    <comment ref="C13" authorId="0" shapeId="0">
      <text>
        <r>
          <rPr>
            <sz val="12"/>
            <color indexed="81"/>
            <rFont val="Arial"/>
            <family val="2"/>
            <charset val="238"/>
          </rPr>
          <t>0&lt;α&lt;1
general: α=0,1 or 0,05</t>
        </r>
      </text>
    </comment>
  </commentList>
</comments>
</file>

<file path=xl/sharedStrings.xml><?xml version="1.0" encoding="utf-8"?>
<sst xmlns="http://schemas.openxmlformats.org/spreadsheetml/2006/main" count="530" uniqueCount="374">
  <si>
    <t>No.</t>
  </si>
  <si>
    <t>1st Why?</t>
  </si>
  <si>
    <t>2nd Why?</t>
  </si>
  <si>
    <t>3rd Why?</t>
  </si>
  <si>
    <t>4th Why?</t>
  </si>
  <si>
    <t>5th Why?</t>
  </si>
  <si>
    <t>Specific requirement:</t>
  </si>
  <si>
    <t>Actual value (nonconformity):</t>
  </si>
  <si>
    <t>Header data</t>
  </si>
  <si>
    <t>Problem Description</t>
  </si>
  <si>
    <t xml:space="preserve">D1 </t>
  </si>
  <si>
    <t>Problem Solving Team</t>
  </si>
  <si>
    <t xml:space="preserve">D2 </t>
  </si>
  <si>
    <t xml:space="preserve">D3 </t>
  </si>
  <si>
    <t xml:space="preserve">D4 </t>
  </si>
  <si>
    <t>Root Cause Analysis</t>
  </si>
  <si>
    <t xml:space="preserve">D5 </t>
  </si>
  <si>
    <t xml:space="preserve">D6 </t>
  </si>
  <si>
    <t xml:space="preserve">D7 </t>
  </si>
  <si>
    <t xml:space="preserve">D8 </t>
  </si>
  <si>
    <t>Final Meeting</t>
  </si>
  <si>
    <t>Sponsor:</t>
  </si>
  <si>
    <t>Supplier description:</t>
  </si>
  <si>
    <t>Prevention of recurrence of the non-conformity</t>
  </si>
  <si>
    <t>Attachment No.</t>
  </si>
  <si>
    <t>Intermediate report:</t>
  </si>
  <si>
    <t>Concession No.:</t>
  </si>
  <si>
    <t>Final report:</t>
  </si>
  <si>
    <t>8D-Title:</t>
  </si>
  <si>
    <t>Supplier No.:</t>
  </si>
  <si>
    <t>Supplier name:</t>
  </si>
  <si>
    <t>Telephone:</t>
  </si>
  <si>
    <t>Business Address:</t>
  </si>
  <si>
    <t>Email:</t>
  </si>
  <si>
    <t>Contact Person at Supplier:</t>
  </si>
  <si>
    <t>Responsible:</t>
  </si>
  <si>
    <t>Date:</t>
  </si>
  <si>
    <t>completed on:</t>
  </si>
  <si>
    <t>Expected effects/Risk assessment (Probability):</t>
  </si>
  <si>
    <t>Introduction of corrective actions and tracking of effectiveness</t>
  </si>
  <si>
    <t>due date:</t>
  </si>
  <si>
    <t>Participants:</t>
  </si>
  <si>
    <t>Name:</t>
  </si>
  <si>
    <t>Signature:</t>
  </si>
  <si>
    <t>Action</t>
  </si>
  <si>
    <t>Responsible</t>
  </si>
  <si>
    <t>Quantity checked TOTAL</t>
  </si>
  <si>
    <t>Quantity 
NOK parts</t>
  </si>
  <si>
    <t>Reproduction of the defect possible?</t>
  </si>
  <si>
    <t>Team Leader:</t>
  </si>
  <si>
    <t>1.</t>
  </si>
  <si>
    <t>2.</t>
  </si>
  <si>
    <t>3.</t>
  </si>
  <si>
    <t>4.</t>
  </si>
  <si>
    <t>5.</t>
  </si>
  <si>
    <t>6.</t>
  </si>
  <si>
    <t>7.</t>
  </si>
  <si>
    <t>8.</t>
  </si>
  <si>
    <t>9.</t>
  </si>
  <si>
    <t>10.</t>
  </si>
  <si>
    <t>Part number</t>
  </si>
  <si>
    <t>Sponsor</t>
  </si>
  <si>
    <t>Email</t>
  </si>
  <si>
    <t>Phone</t>
  </si>
  <si>
    <t>Team Leader</t>
  </si>
  <si>
    <t>Team Member</t>
  </si>
  <si>
    <t>Quantity Complained</t>
  </si>
  <si>
    <t>Quantity Returned</t>
  </si>
  <si>
    <t xml:space="preserve">Location of Detection </t>
  </si>
  <si>
    <t>Problem description:</t>
  </si>
  <si>
    <t>8D report</t>
  </si>
  <si>
    <t>Control Method</t>
  </si>
  <si>
    <t>Where</t>
  </si>
  <si>
    <t>…</t>
  </si>
  <si>
    <t>Lessons Learned transfer to other Processes, Products, Plants</t>
  </si>
  <si>
    <t>8D started on:</t>
  </si>
  <si>
    <t>Accomplished on:</t>
  </si>
  <si>
    <t>Corrective actions and proof of effectiveness:</t>
  </si>
  <si>
    <t>Signatures</t>
  </si>
  <si>
    <t>Containment actions</t>
  </si>
  <si>
    <t>Introduced on</t>
  </si>
  <si>
    <t>Removal of containment actions:</t>
  </si>
  <si>
    <t>Quantity blocked TOTAL</t>
  </si>
  <si>
    <t>Date of Detection</t>
  </si>
  <si>
    <t>Plant manager:</t>
  </si>
  <si>
    <t>Complaint No.(Q2):</t>
  </si>
  <si>
    <t>Effective-
ness [%]</t>
  </si>
  <si>
    <t>Quantity Delivered</t>
  </si>
  <si>
    <t>Picture 
NOK part</t>
  </si>
  <si>
    <t>Picture 
OK part</t>
  </si>
  <si>
    <t>Man</t>
  </si>
  <si>
    <t>Machine</t>
  </si>
  <si>
    <t>Measurement</t>
  </si>
  <si>
    <t>Environment</t>
  </si>
  <si>
    <t>Material</t>
  </si>
  <si>
    <t>Method</t>
  </si>
  <si>
    <t xml:space="preserve">Preliminary Risk Assessment
</t>
  </si>
  <si>
    <t>SG Material No.:</t>
  </si>
  <si>
    <t xml:space="preserve">Part name: </t>
  </si>
  <si>
    <t>SG Production plant:</t>
  </si>
  <si>
    <t>Supplier delivery No. / 
Shipment date :</t>
  </si>
  <si>
    <t>SG description:</t>
  </si>
  <si>
    <t>Failure effect / SG , OEM, FIELD / :</t>
  </si>
  <si>
    <t>Problem description / what, where, when, how much, how often, who, …. etc. /</t>
  </si>
  <si>
    <t>Please specify.</t>
  </si>
  <si>
    <t>Description of Quality Alert and Firewall (until verification of actions in D6).</t>
  </si>
  <si>
    <t>Identification of Controlled Parts</t>
  </si>
  <si>
    <t>D4 - Ishikawa</t>
  </si>
  <si>
    <t>Attachment</t>
  </si>
  <si>
    <t>D2 - Failure Visualization</t>
  </si>
  <si>
    <t>Use following colors to categories the root causes in the Ishikawa:</t>
  </si>
  <si>
    <t>Reason of exclusion:</t>
  </si>
  <si>
    <t>OCCURENCE</t>
  </si>
  <si>
    <t>Possible cause</t>
  </si>
  <si>
    <t>Most probable cause</t>
  </si>
  <si>
    <t>Date of verification</t>
  </si>
  <si>
    <t>3. Instructions</t>
  </si>
  <si>
    <t>4. Process parameters</t>
  </si>
  <si>
    <t>5. Test Equipment</t>
  </si>
  <si>
    <t>6. Check the checker</t>
  </si>
  <si>
    <t>7. TPM</t>
  </si>
  <si>
    <t>8. Tools</t>
  </si>
  <si>
    <t>9. Restart</t>
  </si>
  <si>
    <t>10. Labeling</t>
  </si>
  <si>
    <t>11. Rework, scrap</t>
  </si>
  <si>
    <t>12. Dropped parts</t>
  </si>
  <si>
    <t>13. Correct product</t>
  </si>
  <si>
    <t>Estimated effectiveness %</t>
  </si>
  <si>
    <t>Effective from</t>
  </si>
  <si>
    <t>Effectiveness %</t>
  </si>
  <si>
    <t>Introduction on:</t>
  </si>
  <si>
    <t>(FMEA, directives, PQP, drawing, … etc.):</t>
  </si>
  <si>
    <t>Could the root cause affect other processes, products or sites? ...Which?</t>
  </si>
  <si>
    <t>Comments:</t>
  </si>
  <si>
    <t>D4 - 5 Why?</t>
  </si>
  <si>
    <t>Q:</t>
  </si>
  <si>
    <t>A:</t>
  </si>
  <si>
    <t>The problem with which the 5Why question chain is started:</t>
  </si>
  <si>
    <t>Technical root cause</t>
  </si>
  <si>
    <t>Managerial root cause</t>
  </si>
  <si>
    <t>Complete all fields. Use n/a if not applicable.
Add lines, information and fields as necessary to completely present your problem solving activities.</t>
  </si>
  <si>
    <t>Excluded cause</t>
  </si>
  <si>
    <t>Categorization of failure:</t>
  </si>
  <si>
    <t>Occurrence</t>
  </si>
  <si>
    <t>2. Machine</t>
  </si>
  <si>
    <t>3. Measurement</t>
  </si>
  <si>
    <t>4. Environment</t>
  </si>
  <si>
    <t>5. Material</t>
  </si>
  <si>
    <t>6. Method</t>
  </si>
  <si>
    <r>
      <t xml:space="preserve">Risk analysis: </t>
    </r>
    <r>
      <rPr>
        <i/>
        <sz val="10"/>
        <rFont val="Bosch Office Sans"/>
        <family val="2"/>
        <charset val="238"/>
      </rPr>
      <t>/A first risk estimation regarding further affected parts has to be performed, based on the available data; probability of occurrence, probability of detection /</t>
    </r>
  </si>
  <si>
    <t xml:space="preserve">Other SG Parts potentially affected?            
</t>
  </si>
  <si>
    <t xml:space="preserve">Other SG Plants potentially affected?            
</t>
  </si>
  <si>
    <t>Contact Person at SG:</t>
  </si>
  <si>
    <t>Date of Part Return (leaving SG)</t>
  </si>
  <si>
    <t>Version: 2
Issued by: SG / PQA 
Date: 30.03.2017</t>
  </si>
  <si>
    <t>2-14-60 Rule (calendar days)</t>
  </si>
  <si>
    <t>additional failures are expected</t>
  </si>
  <si>
    <t>and</t>
  </si>
  <si>
    <t>Between</t>
  </si>
  <si>
    <t>Parts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</si>
  <si>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p'</t>
    </r>
    <r>
      <rPr>
        <vertAlign val="subscript"/>
        <sz val="12"/>
        <color indexed="8"/>
        <rFont val="Arial"/>
        <family val="2"/>
      </rPr>
      <t>upp</t>
    </r>
    <r>
      <rPr>
        <sz val="12"/>
        <color indexed="8"/>
        <rFont val="Arial"/>
        <family val="2"/>
      </rPr>
      <t>⋅(V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</si>
  <si>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1-(α/2)</t>
    </r>
    <r>
      <rPr>
        <vertAlign val="superscript"/>
        <sz val="12"/>
        <color indexed="8"/>
        <rFont val="Arial"/>
        <family val="2"/>
      </rPr>
      <t>1/n</t>
    </r>
  </si>
  <si>
    <r>
      <t>0 ≤p'≤ p'</t>
    </r>
    <r>
      <rPr>
        <vertAlign val="subscript"/>
        <sz val="12"/>
        <color indexed="8"/>
        <rFont val="Arial"/>
        <family val="2"/>
      </rPr>
      <t>upp</t>
    </r>
  </si>
  <si>
    <t>Significance level (α/2)</t>
  </si>
  <si>
    <r>
      <t>For i</t>
    </r>
    <r>
      <rPr>
        <b/>
        <sz val="14"/>
        <color indexed="8"/>
        <rFont val="Arial"/>
        <family val="2"/>
      </rPr>
      <t xml:space="preserve"> = 0 (No defective part in the sample)</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</si>
  <si>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p'</t>
    </r>
    <r>
      <rPr>
        <vertAlign val="subscript"/>
        <sz val="12"/>
        <color indexed="8"/>
        <rFont val="Arial"/>
        <family val="2"/>
      </rPr>
      <t>low</t>
    </r>
    <r>
      <rPr>
        <sz val="12"/>
        <color indexed="8"/>
        <rFont val="Arial"/>
        <family val="2"/>
      </rPr>
      <t>⋅(V</t>
    </r>
    <r>
      <rPr>
        <vertAlign val="subscript"/>
        <sz val="12"/>
        <color indexed="8"/>
        <rFont val="Arial"/>
        <family val="2"/>
      </rPr>
      <t>P</t>
    </r>
    <r>
      <rPr>
        <sz val="12"/>
        <color indexed="8"/>
        <rFont val="Arial"/>
        <family val="2"/>
      </rPr>
      <t>-n)</t>
    </r>
  </si>
  <si>
    <t xml:space="preserve"> estimated defective products over the population</t>
  </si>
  <si>
    <r>
      <t>n</t>
    </r>
    <r>
      <rPr>
        <vertAlign val="subscript"/>
        <sz val="12"/>
        <color indexed="8"/>
        <rFont val="Arial"/>
        <family val="2"/>
      </rPr>
      <t xml:space="preserve">C </t>
    </r>
    <r>
      <rPr>
        <sz val="12"/>
        <color indexed="8"/>
        <rFont val="Arial"/>
        <family val="2"/>
      </rPr>
      <t>= p⋅(V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</si>
  <si>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((i+1).F</t>
    </r>
    <r>
      <rPr>
        <vertAlign val="subscript"/>
        <sz val="12"/>
        <color indexed="8"/>
        <rFont val="Arial"/>
        <family val="2"/>
      </rPr>
      <t>f1,f2;1-α/2</t>
    </r>
    <r>
      <rPr>
        <sz val="12"/>
        <color indexed="8"/>
        <rFont val="Arial"/>
        <family val="2"/>
      </rPr>
      <t>)/(n-i+(i+1).F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</si>
  <si>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 i/(i+(n-i+1).F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</si>
  <si>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≤p'≤ p'</t>
    </r>
    <r>
      <rPr>
        <vertAlign val="subscript"/>
        <sz val="12"/>
        <color indexed="8"/>
        <rFont val="Arial"/>
        <family val="2"/>
      </rPr>
      <t>upp</t>
    </r>
  </si>
  <si>
    <r>
      <t>For i</t>
    </r>
    <r>
      <rPr>
        <b/>
        <sz val="14"/>
        <color indexed="8"/>
        <rFont val="Arial"/>
        <family val="2"/>
      </rPr>
      <t xml:space="preserve"> &gt; 0</t>
    </r>
  </si>
  <si>
    <t>Under the prerequisite of a binomial distribution, following calculation basis applies: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</si>
  <si>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Upper limit of number of delivered/manufactured defective products</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</si>
  <si>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Lower limit of number of delivered/manufactured defective products</t>
    </r>
  </si>
  <si>
    <r>
      <t>n</t>
    </r>
    <r>
      <rPr>
        <vertAlign val="subscript"/>
        <sz val="12"/>
        <color indexed="8"/>
        <rFont val="Arial"/>
        <family val="2"/>
      </rPr>
      <t>C</t>
    </r>
    <r>
      <rPr>
        <sz val="12"/>
        <color indexed="8"/>
        <rFont val="Arial"/>
        <family val="2"/>
      </rPr>
      <t>: Estimated number of delivered/manufactured defective products</t>
    </r>
  </si>
  <si>
    <r>
      <t>p'</t>
    </r>
    <r>
      <rPr>
        <vertAlign val="subscript"/>
        <sz val="12"/>
        <color indexed="8"/>
        <rFont val="Arial"/>
        <family val="2"/>
      </rPr>
      <t>upp</t>
    </r>
    <r>
      <rPr>
        <sz val="12"/>
        <color indexed="8"/>
        <rFont val="Arial"/>
        <family val="2"/>
      </rPr>
      <t>: Upper limit of confidence interval of p'</t>
    </r>
  </si>
  <si>
    <r>
      <t>p'</t>
    </r>
    <r>
      <rPr>
        <vertAlign val="subscript"/>
        <sz val="12"/>
        <color indexed="8"/>
        <rFont val="Arial"/>
        <family val="2"/>
      </rPr>
      <t>low</t>
    </r>
    <r>
      <rPr>
        <sz val="12"/>
        <color indexed="8"/>
        <rFont val="Arial"/>
        <family val="2"/>
      </rPr>
      <t>: Lower limit of confidence interval of p'</t>
    </r>
  </si>
  <si>
    <t>p': Failure rate of the population Vp</t>
  </si>
  <si>
    <t>p=i/n: Failure rate of n</t>
  </si>
  <si>
    <t>OUTPUT</t>
  </si>
  <si>
    <t>Confidence level (1-α) in %, per default 90%</t>
  </si>
  <si>
    <r>
      <t>V</t>
    </r>
    <r>
      <rPr>
        <vertAlign val="subscript"/>
        <sz val="12"/>
        <color indexed="8"/>
        <rFont val="Arial"/>
        <family val="2"/>
      </rPr>
      <t>P</t>
    </r>
    <r>
      <rPr>
        <sz val="12"/>
        <color indexed="8"/>
        <rFont val="Arial"/>
        <family val="2"/>
      </rPr>
      <t>: Production lot between C2 and C1</t>
    </r>
  </si>
  <si>
    <t>i: Number of defective products in n</t>
  </si>
  <si>
    <t>n: Representative sample</t>
  </si>
  <si>
    <t>INPUT</t>
  </si>
  <si>
    <t>Calculation Sheet for Risk Evaluation</t>
  </si>
  <si>
    <t xml:space="preserve">
SEVERE Complaint: Risk assessment calculation is mandatory.</t>
  </si>
  <si>
    <t>Estimation regarding the additional failures from the manufactured products batch. A quantified statement of the number of failures is required. Additionally, it is recommended to determine the failure rate in ppm</t>
  </si>
  <si>
    <t>(e.g. 3 parts 0-km, 11 parts Field)</t>
  </si>
  <si>
    <t>- The severity of the failure effect (e.g.: Part not mountable, noisy operation)</t>
  </si>
  <si>
    <t>- The detection probability at customer side (e.g.: Detection at customer via 100% functional test or sampling inspection)</t>
  </si>
  <si>
    <t>Ideally is a rating for S, O, and D like in the FMEA have to be defined. A clear qualitative statement could also be adequate. (For S e.g: Non-operating air conditioner).</t>
  </si>
  <si>
    <t>C1 : MFD as of when defective products were manufactured</t>
  </si>
  <si>
    <t>C2 : Implementation date of the corrective actions</t>
  </si>
  <si>
    <t>Cc: MFD of complained products</t>
  </si>
  <si>
    <t>i : Number of defective products from the representative sample (Determined via sorting/testing)</t>
  </si>
  <si>
    <t>nC : Estimated number of delivered/manufactured defective products</t>
  </si>
  <si>
    <t>p=i/n: Failure rate in the representative sample</t>
  </si>
  <si>
    <t>VC : Complained lot</t>
  </si>
  <si>
    <t>VP: Production lot between C1 and C2</t>
  </si>
  <si>
    <t>Risk evaluation:</t>
  </si>
  <si>
    <t>nC = p×(VP -n)</t>
  </si>
  <si>
    <t>A supplier has performed parameter modification in the welding process for the wiper system base plate on the 27.07.2010. In the worst case, the joint tube/plate cannot endure the specified mechanical stress.</t>
  </si>
  <si>
    <t>Affected are base plates with MFD from 27.07.2010 to 01.09.2010.</t>
  </si>
  <si>
    <t>The parts from 01.08.2010 to 01.11.2010 were mounted into of 20.000 WSA, further classification is not possible.</t>
  </si>
  <si>
    <t>The customer has complained three WSA with MFD 09.08.2010, 17.10.2010 and 23.10.2010. The failure occurred in the customer plant during a sampling inspection of the vehicle. For the WSA still to be mounted until C2, the customer will 100 % perform this inspection.</t>
  </si>
  <si>
    <t>It must be assumed that the critical parts, which were not detected in the customer plant, will become conspicuous as early failure in field. Since no field failures are known, no Weibull analysis is possible.</t>
  </si>
  <si>
    <t>From the 20.000 WSA, 19.000 are already mounted, 1000 are still to be mounted by the customer before implementing corrective actions.</t>
  </si>
  <si>
    <t>Fictional example of a Risk Analysis</t>
  </si>
  <si>
    <t>The analysis of a representative sample, taken from the still to be mounted parts resulted in the following:</t>
  </si>
  <si>
    <t>- 450 were checked</t>
  </si>
  <si>
    <t>- 2 n.O.K</t>
  </si>
  <si>
    <t>Evaluation of the Risk for WSA:</t>
  </si>
  <si>
    <t>Date C1 : 01.08.2010 Date C2 : 01.11.2010</t>
  </si>
  <si>
    <t>VC : 3 VP: 20000</t>
  </si>
  <si>
    <t>n: 450 i : 2</t>
  </si>
  <si>
    <t>VP-0km: Production lot between C1 and C2 relevant for 0-km Risk</t>
  </si>
  <si>
    <t>VP-Field: Production lot between C1 and C2 relevant for Field Risk</t>
  </si>
  <si>
    <t>VP-0km =1000-450</t>
  </si>
  <si>
    <t>VP-Field =19000-3</t>
  </si>
  <si>
    <t>p=i/n=2/450</t>
  </si>
  <si>
    <t>nc-0-km= 2/450×(1.000-450)= 2,4 Parts</t>
  </si>
  <si>
    <t> Between 1 and 8 additional 0km failures are to be expected. (Determination with Appendix 1 for a confidence level of 90%)</t>
  </si>
  <si>
    <t>nc-Field= 2/450×(19.000-3)= 84,4 Parts</t>
  </si>
  <si>
    <t> Between 16 and 265 field failures are to be expected. (Determination with Appendix 1 for a confidence level of 90%)</t>
  </si>
  <si>
    <t>nc-Field ppm= p*1.000.000= 4.440ppm</t>
  </si>
  <si>
    <t> Between 791 and 13900ppm are to be expected. (Determination with Appendix 1 for a confidence level of 90%)</t>
  </si>
  <si>
    <t>Remarks:</t>
  </si>
  <si>
    <t>- In order to determine the number of defective products Internal/0-km/Field in each case separately, if necessary further limitation of VP is to be made.</t>
  </si>
  <si>
    <t>- Additionally, to the expected number of failures, the failure rate should be specified in ppm nCppm=p×1.000.000</t>
  </si>
  <si>
    <t>- If relevant the complained lot VC is to be subtracted from nC, in order to determine the additional number of failures.</t>
  </si>
  <si>
    <t>- For the determination regarding the variation of estimated nC, the confidence interval could be identified according to Appendix 1. See for this also Booklet 2 Page 55-58.</t>
  </si>
  <si>
    <t>- If i = 0 is, the confidence interval should be identified in each case, in order to represent the Worst Case.</t>
  </si>
  <si>
    <t>- Risk estimation for field cases:</t>
  </si>
  <si>
    <t>o In case the fundamentals for a Weibull analysis are present (Number of defective products &gt;10 preferably with varying service life and/or mileage), this is to be performed</t>
  </si>
  <si>
    <t>o If necessary, the determination of a representative sample can alternatively be performed as follows:</t>
  </si>
  <si>
    <t> i: The extent of the suspected lot in the monitored market segment</t>
  </si>
  <si>
    <t> n: Number of complained products from the monitored market segment</t>
  </si>
  <si>
    <t xml:space="preserve">Start: after becoming kown at SG  
2nd day: intemediate report to customer: Effective containment action (8D: head data, D1, D2 and D3 completed) 
14th day: intemediate report to customer: Corrective actions implemented (8D: D4 and D5 completed; actions of D6 and D7 defined) 
60th day: verification (proof of effectiveness) of the actions and closure of 8D (rules for tracking longterm actions and if relevant, customer approval) </t>
  </si>
  <si>
    <t>NON-DETECTION</t>
  </si>
  <si>
    <t>1. Recurring failure</t>
  </si>
  <si>
    <t>2. Pass through failure</t>
  </si>
  <si>
    <t>14. Remaining items</t>
  </si>
  <si>
    <t>Non-Detection</t>
  </si>
  <si>
    <t>Complaint type/mode:
01, 02 and 03-categorie</t>
  </si>
  <si>
    <t>1.Man</t>
  </si>
  <si>
    <t>Low risk</t>
  </si>
  <si>
    <t>1</t>
  </si>
  <si>
    <t>AVO Carbon India pvt ltd</t>
  </si>
  <si>
    <t xml:space="preserve"> 2004.320.264</t>
  </si>
  <si>
    <t>Carbon Brush</t>
  </si>
  <si>
    <t>SEG - Nhp</t>
  </si>
  <si>
    <t>42424623
28.11.24</t>
  </si>
  <si>
    <t>Mr.Raghavendra ithal</t>
  </si>
  <si>
    <t>Naganathapura ,Bangalore</t>
  </si>
  <si>
    <t>Mrs.Gaythri.N</t>
  </si>
  <si>
    <t>AVO Carbon India (P) Ltd,.Chennai-98.</t>
  </si>
  <si>
    <t xml:space="preserve"> +9180 4103 5264 </t>
  </si>
  <si>
    <t>Ithal.Raghavendra@seg-automotive.com</t>
  </si>
  <si>
    <t>+914442926570</t>
  </si>
  <si>
    <t>gayathri.n@avocarbon.com</t>
  </si>
  <si>
    <t>Mr.Eipe Thomas</t>
  </si>
  <si>
    <t>eipe.thomas@avocarbon.com</t>
  </si>
  <si>
    <t xml:space="preserve">gayathti.n@avocarbon.com </t>
  </si>
  <si>
    <t>sundaresan.r@avocarbon.com</t>
  </si>
  <si>
    <t>suresh.p@avocarbon.com</t>
  </si>
  <si>
    <t>lakshmanasamy@avocarbon.com</t>
  </si>
  <si>
    <t>saravanan.b@avocarbon.com</t>
  </si>
  <si>
    <t>suresh.a@avocarbon.com</t>
  </si>
  <si>
    <t>+914442926501</t>
  </si>
  <si>
    <t>+914442926524</t>
  </si>
  <si>
    <t>+914442926540</t>
  </si>
  <si>
    <t>+914442926573</t>
  </si>
  <si>
    <t>Director</t>
  </si>
  <si>
    <t>QAD</t>
  </si>
  <si>
    <t>ENGG</t>
  </si>
  <si>
    <t>Prod</t>
  </si>
  <si>
    <t>SEG - Testing</t>
  </si>
  <si>
    <t>No</t>
  </si>
  <si>
    <t>2004.320.264</t>
  </si>
  <si>
    <t>Avo</t>
  </si>
  <si>
    <t>100 % Sorting</t>
  </si>
  <si>
    <t>Milli volt drop test</t>
  </si>
  <si>
    <t>Containment sticker</t>
  </si>
  <si>
    <t>Rajamane Return</t>
  </si>
  <si>
    <t>Nil</t>
  </si>
  <si>
    <t xml:space="preserve">Pouring the same powder mix into the hopper
</t>
  </si>
  <si>
    <t xml:space="preserve">Untrained operator
</t>
  </si>
  <si>
    <t xml:space="preserve">Wrong setting to single grade  in HMI
</t>
  </si>
  <si>
    <t xml:space="preserve">Powder leakage from powder hose
</t>
  </si>
  <si>
    <t xml:space="preserve">Previous Grade mix deposited on Hopper ,cup , Shekar box &amp;  hose
</t>
  </si>
  <si>
    <t xml:space="preserve">The powder hose is not properly tightened
</t>
  </si>
  <si>
    <t xml:space="preserve">Mix roller motor not working 
</t>
  </si>
  <si>
    <t xml:space="preserve">Date expired mix </t>
  </si>
  <si>
    <t xml:space="preserve">Contaminated mix
</t>
  </si>
  <si>
    <t xml:space="preserve">Wrong Identification tag
</t>
  </si>
  <si>
    <t xml:space="preserve">Wrong Measurement
</t>
  </si>
  <si>
    <t>Cu layer missing</t>
  </si>
  <si>
    <t>Q: Why brush getting crack</t>
  </si>
  <si>
    <t>A: Copper Rich mix not filled</t>
  </si>
  <si>
    <t>Q: Cu layer missing</t>
  </si>
  <si>
    <t>Based on effectivenss of corrective action we will plan to stop the containment action, till we continue the effective containment.</t>
  </si>
  <si>
    <t>All actions are to be transfer to other applicable similar machines.</t>
  </si>
  <si>
    <t>30/12/2024 &amp; 31/12/2024</t>
  </si>
  <si>
    <t>Motor performance low due to low RPM @ SEG</t>
  </si>
  <si>
    <t>Avo Team, Rajamane and SEG Team</t>
  </si>
  <si>
    <t>Mr.Sridhar</t>
  </si>
  <si>
    <t>Mrs.Gayathri.N</t>
  </si>
  <si>
    <t>Mr.Sundaresan.R</t>
  </si>
  <si>
    <t>Mr.Suresh.P</t>
  </si>
  <si>
    <t>Mr.Lakshmanasamy.S</t>
  </si>
  <si>
    <t>Mr.Saravanan.B</t>
  </si>
  <si>
    <t>Mr.Suresh.A</t>
  </si>
  <si>
    <t>Sales and Marketing</t>
  </si>
  <si>
    <t>Head - Quality</t>
  </si>
  <si>
    <t>Head - Engineering</t>
  </si>
  <si>
    <t>Head - Production</t>
  </si>
  <si>
    <t>Engineering</t>
  </si>
  <si>
    <t>Quality</t>
  </si>
  <si>
    <t>Avo Stock</t>
  </si>
  <si>
    <t>Absence of Cu powder in the Hopper</t>
  </si>
  <si>
    <t xml:space="preserve">Layer missing check not part of inspection in FI
</t>
  </si>
  <si>
    <t xml:space="preserve">Powder hose blockage
</t>
  </si>
  <si>
    <r>
      <t xml:space="preserve">1.1-    Verified with in process records found machine operated by experienced regular operator run the machine (Emp 5066,5047) they are well trained and experienced operators.
1.2     The simulation was carried out with the same powder in the two hoppers and the machine stopped because the thickness measured was too low in the HMI. There is a control in the Hopper colour, Powder storage colour, and grade sticker on the hopper and every two hours there is a density check in place hence so the possibility of occurrence will be less. 
1.3 - Parts are run in the dual grade and it was set as per specification, verified the first-off approval it seems the setting was done correctly.                                          
2.1-  Powder leakage from hose checked found as per regular process, no issue noticed                                                                   
2.2- Verified and investigated to operator and supervisor and verified. Before changing to next part production setting all residual powders are removed from hopper, hose and clean the machine and hopper with vacuum remove the deposited powders, no abnormality noticed in the first off approval.
2.3 - Powder hose fixing verified each setting, no issue noticed. Hose tightened with clamp with screw no there is no chance of loosening
2.4 - While Verifying the process record we noticed, new powder hose was replaced 27th nov, Simulation carried with hose blockage , when the whole hose is under block condition only the powder  is restricted. So this is not the real root cause 
2.5 - While verify the shaker box roller motor was working properly, if motor not working than machine will stop automatically, hence no significant noticed
</t>
    </r>
    <r>
      <rPr>
        <sz val="10"/>
        <color rgb="FFFF0000"/>
        <rFont val="Bosch Office Sans"/>
      </rPr>
      <t xml:space="preserve">2.6 </t>
    </r>
    <r>
      <rPr>
        <sz val="10"/>
        <rFont val="Bosch Office Sans"/>
        <family val="2"/>
      </rPr>
      <t xml:space="preserve">- The simulation was carried out with the absence of copper powder in the hopper as well as the hose, the machine stopped, and saying thickness was too low and fall in to rejection trap door .When the operator resets the machine again the machine indicates thickness too low and stops. When we adjust the process parameter the machine continue to produced with 10 cycles with the mono layer and meets the dual layer thickness.   
3.1 - Measurement of layers and overall brush thickness was done in the first of approval found ok, Every two hours density, layer thickness check in place 
</t>
    </r>
    <r>
      <rPr>
        <sz val="10"/>
        <color rgb="FFFF0000"/>
        <rFont val="Bosch Office Sans"/>
      </rPr>
      <t xml:space="preserve">3.2 </t>
    </r>
    <r>
      <rPr>
        <sz val="10"/>
        <rFont val="Bosch Office Sans"/>
        <family val="2"/>
      </rPr>
      <t xml:space="preserve">- Hence the layer thickness and density is the destructive test the sampling frequency is reduced to every TWO hours. Layer missing check not included in the check sheet 
5.1 - Mixing details are verified it mixed and used as per valid date mixing date verified and  mix was validated with density.
5.2 - Verified the work orders and mixing report found used for correct RM with respect to specified grade. Hence no abnormality noticed in wrong RM.
5.3 - Parts are run in the dual grade and it was set as per specification, we will verify the first of approval it seems correct lot and grade identification, hence no issue noticed.
</t>
    </r>
  </si>
  <si>
    <t>02-01-2025 ~ 11-01-2025</t>
  </si>
  <si>
    <t>MRC1.:No mechanism to indicate the absence of powder</t>
  </si>
  <si>
    <t xml:space="preserve">TRC2:  </t>
  </si>
  <si>
    <t xml:space="preserve">TRC1.: (2.6) Absence of powder in the hopper &amp; hose
</t>
  </si>
  <si>
    <t xml:space="preserve">TRC1.: (3.2)Layer Missing checks not included in the CP
</t>
  </si>
  <si>
    <t xml:space="preserve">MRC1.: Layer missing phenomenon not addressed in the PFMEA
</t>
  </si>
  <si>
    <t>The simulation was carried out with the absence of copper powder in the hopper as well as the hose, the machine stopped, and saying thickness was too low and fall in to rejection trap door .When the operator resets the machine again the machine indicates thickness too low and stops. When we adjust the process parameter the machine continue to produced with 10 cycles with the mono layer.This was reproduce the defect as per customer failure part</t>
  </si>
  <si>
    <t>Based on the data,next batch of suspected lot was found ok with customer testing and brushes are 100% tested with milli volt drop, tested around 5.3k parts passed the milli volt test, so no risk of further production lot… suspected batch Qty - 4200 numbers</t>
  </si>
  <si>
    <t>Q: Why Copper Rich mix not filled</t>
  </si>
  <si>
    <t xml:space="preserve">Q: Why Copper Powder missing in the hopper and the hose </t>
  </si>
  <si>
    <t xml:space="preserve">A: Copper Powder missing in the hopper and the hose </t>
  </si>
  <si>
    <t xml:space="preserve">A: Operator missed to pour the copper powder in the hopper, and the machine indicates the thickness too low and stops . When the operator modify the process parameter the machine continued produce with mono layer </t>
  </si>
  <si>
    <t xml:space="preserve">Q: Why Operator missed to pour the copper powder in the hopper, and the machine indicates the thickness too low and stops . When the operator modify the process parameter the machine continued produce with mono layer 
</t>
  </si>
  <si>
    <t>A: There is no trigeering system genertaed to pour the powder in to the hopper and also there is no locking system provided for the process parameter</t>
  </si>
  <si>
    <t xml:space="preserve">A: </t>
  </si>
  <si>
    <t xml:space="preserve">Absence of Cu powder in the Hopper &amp;hose
</t>
  </si>
  <si>
    <t xml:space="preserve">A:Layer confirmation check not included in the inprocess check sheet
</t>
  </si>
  <si>
    <t>Q: Why Layer confirmation check not included in the inprocess check sheet</t>
  </si>
  <si>
    <t>A: Not included in the CP</t>
  </si>
  <si>
    <t>Q: Why Not included in the CP</t>
  </si>
  <si>
    <t>A:This phenomena not covered in the PFMEA</t>
  </si>
  <si>
    <t>Q: There is no trigeering system genertaed to pour the powder in to the hopper and also there is no locking system provided for the process parameter</t>
  </si>
  <si>
    <t>Q: This phenomena not covered in the PFMEA</t>
  </si>
  <si>
    <t>A:we check the thickness of brush while adjusting the process parameter not the layer confirmation check.</t>
  </si>
  <si>
    <t>Layer missing check not part of inspection in FI</t>
  </si>
  <si>
    <t xml:space="preserve">TRC1.: 1. To place a low-level sensor in the powder hose end that triggers the absence of powder in the hopper and the hose that prevents the layer missing in the product with the indication in the HMI. And the machine will not allow the operator to run the production without pouring the powder in the hopper. 
                2. After set-up approval Process parameters will be locked and no access given to the operator. 
 </t>
  </si>
  <si>
    <t xml:space="preserve">MRC1.: 1. To place a low-level sensor in the powder hose end that triggers the absence of powder in the hopper and the hose that prevents the layer missing in the product with the indication in the HMI. And the machine will not allow the operator to run the production without pouring the powder in the hopper. 
       2. After set-up approval Process parameters will be locked and no access given to the operator. 
</t>
  </si>
  <si>
    <t xml:space="preserve">TRC1.: Density check frequency reduced from 2 hrs to 1 hr, in addition to that Brush weight check &amp; Dual Layer confirmation will be added to the in-process check sheet
</t>
  </si>
  <si>
    <t xml:space="preserve">MRC1.:1. The density check frequency reduced from 2 hrs to 1 hr, in addition to that Brush weight check &amp; Dual Layer confirmation will be added to the in-process check sheet..
     2. Visual standard updated with a dual-layer confirmation   
     3. Mv drop sample frequency increased from  1no/cavity /basket to 2 nos/cavity/ Basket
      4. Brush Weight check added to the Physical property check sheet 
       5. SOP, PFMEA, CP    
</t>
  </si>
  <si>
    <t xml:space="preserve">TRC 2: </t>
  </si>
  <si>
    <t>Mr.Baskar</t>
  </si>
  <si>
    <t>baskar.r@avocarbon.com</t>
  </si>
  <si>
    <t>+914442926527</t>
  </si>
  <si>
    <t>Head - Maintanance</t>
  </si>
  <si>
    <t>Maintanance</t>
  </si>
  <si>
    <t xml:space="preserve">Parts are undergo 100% containment with milli volt drop testing before dispatch. </t>
  </si>
  <si>
    <t>Stater motor L1 &amp; L2 RPM low</t>
  </si>
  <si>
    <t>Stater motor L1, L2 RPM Low</t>
  </si>
  <si>
    <t>Cu layer was missing (Mono layer)</t>
  </si>
  <si>
    <t>Yes</t>
  </si>
  <si>
    <t xml:space="preserve"> - All relevant PFMEA ,control plan, SOP, process check sheet ,poke yoke verification sheet to be update and followed. </t>
  </si>
  <si>
    <t xml:space="preserve">TRC1.: Low-level sensor in the powder hose end that triggers the absence of powder with the indication in the HMI. sensor working will added and verfiy with Poke Yoke verification sheet.  
            </t>
  </si>
  <si>
    <t xml:space="preserve">MRC1.:  Low-level sensor in the powder hose end that triggers the absence of powder with the indication in the HMI. sensor working will added and verfiy with Poke Yoke verification sheet. 
       </t>
  </si>
  <si>
    <t>TRC1. Density checking will tracked by in process checks and first off approval.</t>
  </si>
  <si>
    <t xml:space="preserve">MRC1.:  1. Density, weight of brush,presence of layer confirmation checking will tracked by in process checks and first off approval and proprety check sheet.
</t>
  </si>
  <si>
    <t>Mr.Saravanan</t>
  </si>
  <si>
    <t>Removed on:</t>
  </si>
  <si>
    <t>Feb'2025</t>
  </si>
  <si>
    <t>0399C57074,0399C57075,F002G20729,F002G20730,F002G70034 &amp;F002G70035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</si>
</sst>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quot;€&quot;_-;\-* #,##0.00\ &quot;€&quot;_-;_-* &quot;-&quot;??\ &quot;€&quot;_-;_-@_-"/>
    <numFmt numFmtId="165" formatCode="0;[Red]0"/>
    <numFmt numFmtId="166" formatCode="_-[$€]* #,##0.00_-;\-[$€]* #,##0.00_-;_-[$€]* &quot;-&quot;??_-;_-@_-"/>
    <numFmt numFmtId="167" formatCode="#,##0_ ;\-#,##0\ "/>
    <numFmt numFmtId="168" formatCode="0.0"/>
  </numFmts>
  <fonts count="61">
    <font>
      <sz val="10"/>
      <color theme="1"/>
      <name val="Arial"/>
      <family val="2"/>
      <charset val="238"/>
    </font>
    <font>
      <sz val="10"/>
      <color theme="1"/>
      <name val="Arial"/>
      <family val="2"/>
    </font>
    <font>
      <sz val="10"/>
      <color theme="1"/>
      <name val="Arial"/>
      <family val="2"/>
    </font>
    <font>
      <sz val="10"/>
      <color theme="1"/>
      <name val="Arial"/>
      <family val="2"/>
    </font>
    <font>
      <sz val="10"/>
      <color theme="1"/>
      <name val="Arial"/>
      <family val="2"/>
    </font>
    <font>
      <sz val="10"/>
      <name val="Bosch Office Sans"/>
      <family val="2"/>
      <charset val="238"/>
    </font>
    <font>
      <sz val="8"/>
      <color theme="0" tint="-0.249977111117893"/>
      <name val="Bosch Office Sans"/>
      <family val="2"/>
      <charset val="238"/>
    </font>
    <font>
      <b/>
      <i/>
      <sz val="18"/>
      <name val="Bosch Office Sans"/>
      <family val="2"/>
      <charset val="238"/>
    </font>
    <font>
      <sz val="12"/>
      <name val="Bosch Office Sans"/>
      <family val="2"/>
      <charset val="238"/>
    </font>
    <font>
      <sz val="10"/>
      <color theme="1"/>
      <name val="Bosch Office Sans"/>
      <family val="2"/>
      <charset val="238"/>
    </font>
    <font>
      <sz val="8"/>
      <name val="Bosch Office Sans"/>
      <family val="2"/>
      <charset val="238"/>
    </font>
    <font>
      <sz val="10"/>
      <name val="Arial"/>
      <family val="2"/>
    </font>
    <font>
      <sz val="9"/>
      <color theme="1"/>
      <name val="Arial"/>
      <family val="2"/>
      <charset val="238"/>
    </font>
    <font>
      <sz val="48"/>
      <color rgb="FF00B050"/>
      <name val="Arial"/>
      <family val="2"/>
      <charset val="238"/>
    </font>
    <font>
      <sz val="48"/>
      <color rgb="FFFF0000"/>
      <name val="Arial"/>
      <family val="2"/>
      <charset val="238"/>
    </font>
    <font>
      <u/>
      <sz val="10"/>
      <color indexed="12"/>
      <name val="Arial"/>
      <family val="2"/>
    </font>
    <font>
      <b/>
      <sz val="10"/>
      <name val="Bosch Office Sans"/>
      <family val="2"/>
      <charset val="238"/>
    </font>
    <font>
      <b/>
      <sz val="18"/>
      <name val="Bosch Office Sans"/>
      <family val="2"/>
      <charset val="238"/>
    </font>
    <font>
      <b/>
      <sz val="9"/>
      <name val="Bosch Office Sans"/>
      <family val="2"/>
      <charset val="238"/>
    </font>
    <font>
      <sz val="10"/>
      <color rgb="FFFFFFFF"/>
      <name val="Bosch Office Sans"/>
      <family val="2"/>
      <charset val="238"/>
    </font>
    <font>
      <sz val="8"/>
      <color rgb="FFFFFFFF"/>
      <name val="Bosch Office Sans"/>
      <family val="2"/>
      <charset val="238"/>
    </font>
    <font>
      <sz val="9"/>
      <name val="Bosch Office Sans"/>
      <family val="2"/>
      <charset val="238"/>
    </font>
    <font>
      <sz val="9"/>
      <color rgb="FFFFFFFF"/>
      <name val="Bosch Office Sans"/>
      <family val="2"/>
      <charset val="238"/>
    </font>
    <font>
      <sz val="9"/>
      <color theme="1"/>
      <name val="Bosch Office Sans"/>
      <family val="2"/>
      <charset val="238"/>
    </font>
    <font>
      <b/>
      <sz val="9"/>
      <color theme="1"/>
      <name val="Bosch Office Sans"/>
      <family val="2"/>
      <charset val="238"/>
    </font>
    <font>
      <sz val="9"/>
      <color indexed="12"/>
      <name val="Bosch Office Sans"/>
      <family val="2"/>
      <charset val="238"/>
    </font>
    <font>
      <i/>
      <sz val="9"/>
      <name val="Bosch Office Sans"/>
      <family val="2"/>
      <charset val="238"/>
    </font>
    <font>
      <i/>
      <sz val="9"/>
      <color theme="3"/>
      <name val="Bosch Office Sans"/>
      <family val="2"/>
      <charset val="238"/>
    </font>
    <font>
      <sz val="10"/>
      <color indexed="8"/>
      <name val="Arial"/>
      <family val="2"/>
    </font>
    <font>
      <sz val="16"/>
      <name val="Bosch Office Sans"/>
      <family val="2"/>
    </font>
    <font>
      <sz val="9"/>
      <name val="Bosch Office Sans"/>
      <family val="2"/>
    </font>
    <font>
      <i/>
      <sz val="9"/>
      <name val="Bosch Office Sans"/>
      <family val="2"/>
    </font>
    <font>
      <b/>
      <sz val="9"/>
      <name val="Bosch Office Sans"/>
      <family val="2"/>
    </font>
    <font>
      <sz val="10"/>
      <name val="Bosch Office Sans"/>
      <family val="2"/>
    </font>
    <font>
      <sz val="16"/>
      <color theme="1"/>
      <name val="Arial"/>
      <family val="2"/>
    </font>
    <font>
      <i/>
      <sz val="10"/>
      <name val="Bosch Office Sans"/>
      <family val="2"/>
    </font>
    <font>
      <b/>
      <i/>
      <sz val="9"/>
      <name val="Bosch Office Sans"/>
      <family val="2"/>
    </font>
    <font>
      <sz val="16"/>
      <name val="Bosch Office Sans"/>
      <family val="2"/>
      <charset val="238"/>
    </font>
    <font>
      <u/>
      <sz val="10"/>
      <color rgb="FF0000FF"/>
      <name val="Bosch Office Sans"/>
      <family val="2"/>
      <charset val="238"/>
    </font>
    <font>
      <i/>
      <sz val="10"/>
      <name val="Bosch Office Sans"/>
      <family val="2"/>
      <charset val="238"/>
    </font>
    <font>
      <b/>
      <sz val="10"/>
      <name val="Bosch Office Sans"/>
      <family val="2"/>
    </font>
    <font>
      <b/>
      <i/>
      <sz val="10"/>
      <color theme="1"/>
      <name val="Bosch Office Sans"/>
      <family val="2"/>
    </font>
    <font>
      <b/>
      <i/>
      <sz val="10"/>
      <name val="Bosch Office Sans"/>
      <family val="2"/>
    </font>
    <font>
      <b/>
      <sz val="10"/>
      <color theme="1"/>
      <name val="Bosch Office Sans"/>
      <family val="2"/>
      <charset val="238"/>
    </font>
    <font>
      <b/>
      <i/>
      <sz val="10"/>
      <name val="Bosch Office Sans"/>
      <family val="2"/>
      <charset val="238"/>
    </font>
    <font>
      <sz val="12"/>
      <color indexed="8"/>
      <name val="Arial"/>
      <family val="2"/>
    </font>
    <font>
      <sz val="12"/>
      <name val="Arial"/>
      <family val="2"/>
    </font>
    <font>
      <vertAlign val="subscript"/>
      <sz val="12"/>
      <color indexed="8"/>
      <name val="Arial"/>
      <family val="2"/>
    </font>
    <font>
      <vertAlign val="superscript"/>
      <sz val="12"/>
      <color indexed="8"/>
      <name val="Arial"/>
      <family val="2"/>
    </font>
    <font>
      <b/>
      <sz val="14"/>
      <color indexed="8"/>
      <name val="Arial"/>
      <family val="2"/>
    </font>
    <font>
      <sz val="12"/>
      <color indexed="9"/>
      <name val="Arial"/>
      <family val="2"/>
    </font>
    <font>
      <b/>
      <sz val="16"/>
      <color indexed="8"/>
      <name val="Arial"/>
      <family val="2"/>
    </font>
    <font>
      <b/>
      <sz val="24"/>
      <name val="Arial"/>
      <family val="2"/>
    </font>
    <font>
      <sz val="12"/>
      <color indexed="81"/>
      <name val="Arial"/>
      <family val="2"/>
      <charset val="238"/>
    </font>
    <font>
      <b/>
      <sz val="11"/>
      <name val="Arial"/>
      <family val="2"/>
    </font>
    <font>
      <sz val="10"/>
      <color theme="0"/>
      <name val="Arial"/>
      <family val="2"/>
    </font>
    <font>
      <u/>
      <sz val="10"/>
      <color theme="0"/>
      <name val="Arial"/>
      <family val="2"/>
    </font>
    <font>
      <sz val="10"/>
      <color rgb="FFFF0000"/>
      <name val="Arial"/>
      <family val="2"/>
    </font>
    <font>
      <sz val="10"/>
      <color rgb="FF00B050"/>
      <name val="Arial"/>
      <family val="2"/>
    </font>
    <font>
      <sz val="12"/>
      <color theme="1"/>
      <name val="Arial"/>
      <family val="2"/>
    </font>
    <font>
      <sz val="10"/>
      <color rgb="FFFF0000"/>
      <name val="Bosch Office Sans"/>
    </font>
  </fonts>
  <fills count="12">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EAEDF6"/>
        <bgColor indexed="64"/>
      </patternFill>
    </fill>
    <fill>
      <patternFill patternType="solid">
        <fgColor theme="4" tint="0.79998168889431442"/>
        <bgColor indexed="64"/>
      </patternFill>
    </fill>
    <fill>
      <gradientFill degree="90">
        <stop position="0">
          <color theme="0"/>
        </stop>
        <stop position="1">
          <color rgb="FF00B050"/>
        </stop>
      </gradientFill>
    </fill>
    <fill>
      <gradientFill degree="90">
        <stop position="0">
          <color theme="0"/>
        </stop>
        <stop position="1">
          <color rgb="FFFFFF00"/>
        </stop>
      </gradientFill>
    </fill>
    <fill>
      <gradientFill degree="90">
        <stop position="0">
          <color theme="0"/>
        </stop>
        <stop position="1">
          <color rgb="FFFF0000"/>
        </stop>
      </gradient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179">
    <border>
      <left/>
      <right/>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hair">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hair">
        <color indexed="64"/>
      </left>
      <right/>
      <top/>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00B050"/>
      </left>
      <right/>
      <top/>
      <bottom/>
      <diagonal/>
    </border>
    <border>
      <left/>
      <right style="thick">
        <color rgb="FF00B050"/>
      </right>
      <top/>
      <bottom/>
      <diagonal/>
    </border>
    <border>
      <left style="thick">
        <color rgb="FFFF0000"/>
      </left>
      <right/>
      <top/>
      <bottom/>
      <diagonal/>
    </border>
    <border>
      <left/>
      <right style="thick">
        <color rgb="FFFF000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dashed">
        <color indexed="64"/>
      </bottom>
      <diagonal/>
    </border>
    <border>
      <left/>
      <right/>
      <top style="dashed">
        <color indexed="64"/>
      </top>
      <bottom/>
      <diagonal/>
    </border>
    <border>
      <left/>
      <right/>
      <top style="thin">
        <color rgb="FFFFFFFF"/>
      </top>
      <bottom style="thin">
        <color rgb="FFFFFFFF"/>
      </bottom>
      <diagonal/>
    </border>
    <border>
      <left/>
      <right/>
      <top/>
      <bottom style="thin">
        <color rgb="FFFFFFFF"/>
      </bottom>
      <diagonal/>
    </border>
    <border>
      <left/>
      <right/>
      <top style="thin">
        <color rgb="FFFFFFFF"/>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right/>
      <top style="thin">
        <color indexed="64"/>
      </top>
      <bottom style="dashed">
        <color indexed="64"/>
      </bottom>
      <diagonal/>
    </border>
    <border>
      <left style="thin">
        <color rgb="FFFFFFFF"/>
      </left>
      <right/>
      <top/>
      <bottom/>
      <diagonal/>
    </border>
    <border>
      <left style="thin">
        <color indexed="64"/>
      </left>
      <right/>
      <top style="thin">
        <color indexed="64"/>
      </top>
      <bottom/>
      <diagonal/>
    </border>
    <border>
      <left/>
      <right style="thin">
        <color indexed="64"/>
      </right>
      <top style="thin">
        <color rgb="FFFFFFFF"/>
      </top>
      <bottom/>
      <diagonal/>
    </border>
    <border>
      <left style="thin">
        <color indexed="64"/>
      </left>
      <right/>
      <top style="thin">
        <color theme="0"/>
      </top>
      <bottom/>
      <diagonal/>
    </border>
    <border>
      <left style="thin">
        <color indexed="64"/>
      </left>
      <right/>
      <top style="thin">
        <color theme="0"/>
      </top>
      <bottom style="thin">
        <color theme="0"/>
      </bottom>
      <diagonal/>
    </border>
    <border>
      <left style="thin">
        <color indexed="64"/>
      </left>
      <right/>
      <top/>
      <bottom style="thin">
        <color theme="0"/>
      </bottom>
      <diagonal/>
    </border>
    <border>
      <left/>
      <right/>
      <top style="thin">
        <color theme="0"/>
      </top>
      <bottom style="thin">
        <color rgb="FFFFFFFF"/>
      </bottom>
      <diagonal/>
    </border>
    <border>
      <left style="hair">
        <color indexed="64"/>
      </left>
      <right/>
      <top/>
      <bottom style="thin">
        <color indexed="64"/>
      </bottom>
      <diagonal/>
    </border>
    <border>
      <left/>
      <right style="medium">
        <color indexed="64"/>
      </right>
      <top/>
      <bottom style="thin">
        <color indexed="64"/>
      </bottom>
      <diagonal/>
    </border>
    <border>
      <left/>
      <right style="hair">
        <color indexed="64"/>
      </right>
      <top/>
      <bottom style="thin">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top style="dotted">
        <color indexed="64"/>
      </top>
      <bottom/>
      <diagonal/>
    </border>
    <border>
      <left/>
      <right/>
      <top style="thin">
        <color indexed="9"/>
      </top>
      <bottom style="thin">
        <color indexed="9"/>
      </bottom>
      <diagonal/>
    </border>
    <border>
      <left/>
      <right/>
      <top style="thin">
        <color indexed="9"/>
      </top>
      <bottom style="thin">
        <color indexed="64"/>
      </bottom>
      <diagonal/>
    </border>
    <border>
      <left/>
      <right/>
      <top/>
      <bottom style="thin">
        <color indexed="9"/>
      </bottom>
      <diagonal/>
    </border>
    <border>
      <left/>
      <right/>
      <top style="thin">
        <color indexed="9"/>
      </top>
      <bottom/>
      <diagonal/>
    </border>
    <border>
      <left/>
      <right/>
      <top style="thin">
        <color indexed="9"/>
      </top>
      <bottom style="thin">
        <color rgb="FFFFFFFF"/>
      </bottom>
      <diagonal/>
    </border>
    <border>
      <left/>
      <right/>
      <top style="thin">
        <color indexed="9"/>
      </top>
      <bottom style="hair">
        <color indexed="64"/>
      </bottom>
      <diagonal/>
    </border>
    <border>
      <left/>
      <right/>
      <top style="hair">
        <color indexed="64"/>
      </top>
      <bottom style="thin">
        <color indexed="9"/>
      </bottom>
      <diagonal/>
    </border>
    <border>
      <left/>
      <right/>
      <top style="thin">
        <color rgb="FFFFFFFF"/>
      </top>
      <bottom style="dotted">
        <color indexed="64"/>
      </bottom>
      <diagonal/>
    </border>
    <border>
      <left/>
      <right/>
      <top style="thin">
        <color indexed="9"/>
      </top>
      <bottom style="dotted">
        <color indexed="64"/>
      </bottom>
      <diagonal/>
    </border>
    <border>
      <left/>
      <right style="hair">
        <color indexed="64"/>
      </right>
      <top style="thin">
        <color indexed="9"/>
      </top>
      <bottom style="thin">
        <color indexed="9"/>
      </bottom>
      <diagonal/>
    </border>
    <border>
      <left style="dashed">
        <color indexed="64"/>
      </left>
      <right/>
      <top style="dashed">
        <color indexed="64"/>
      </top>
      <bottom style="hair">
        <color indexed="64"/>
      </bottom>
      <diagonal/>
    </border>
    <border>
      <left/>
      <right style="dashed">
        <color indexed="64"/>
      </right>
      <top style="dashed">
        <color indexed="64"/>
      </top>
      <bottom style="hair">
        <color indexed="64"/>
      </bottom>
      <diagonal/>
    </border>
    <border>
      <left/>
      <right/>
      <top style="dashed">
        <color indexed="64"/>
      </top>
      <bottom style="hair">
        <color indexed="64"/>
      </bottom>
      <diagonal/>
    </border>
    <border>
      <left style="dashed">
        <color indexed="64"/>
      </left>
      <right style="dashed">
        <color indexed="64"/>
      </right>
      <top style="dashed">
        <color indexed="64"/>
      </top>
      <bottom style="hair">
        <color indexed="64"/>
      </bottom>
      <diagonal/>
    </border>
    <border>
      <left style="hair">
        <color indexed="64"/>
      </left>
      <right style="hair">
        <color indexed="64"/>
      </right>
      <top style="hair">
        <color indexed="64"/>
      </top>
      <bottom style="thin">
        <color rgb="FFFFFFFF"/>
      </bottom>
      <diagonal/>
    </border>
    <border>
      <left style="hair">
        <color indexed="64"/>
      </left>
      <right/>
      <top style="hair">
        <color indexed="64"/>
      </top>
      <bottom style="thin">
        <color rgb="FFFFFFFF"/>
      </bottom>
      <diagonal/>
    </border>
    <border>
      <left style="hair">
        <color indexed="64"/>
      </left>
      <right style="hair">
        <color indexed="64"/>
      </right>
      <top style="thin">
        <color indexed="9"/>
      </top>
      <bottom style="thin">
        <color rgb="FFFFFFFF"/>
      </bottom>
      <diagonal/>
    </border>
    <border>
      <left style="hair">
        <color indexed="64"/>
      </left>
      <right/>
      <top style="thin">
        <color indexed="9"/>
      </top>
      <bottom style="thin">
        <color rgb="FFFFFFFF"/>
      </bottom>
      <diagonal/>
    </border>
    <border>
      <left style="dashed">
        <color indexed="64"/>
      </left>
      <right style="hair">
        <color indexed="64"/>
      </right>
      <top style="hair">
        <color indexed="64"/>
      </top>
      <bottom style="thin">
        <color rgb="FFFFFFFF"/>
      </bottom>
      <diagonal/>
    </border>
    <border>
      <left style="dashed">
        <color indexed="64"/>
      </left>
      <right style="hair">
        <color indexed="64"/>
      </right>
      <top style="thin">
        <color indexed="9"/>
      </top>
      <bottom style="thin">
        <color rgb="FFFFFFFF"/>
      </bottom>
      <diagonal/>
    </border>
    <border>
      <left style="hair">
        <color indexed="64"/>
      </left>
      <right/>
      <top style="hair">
        <color indexed="64"/>
      </top>
      <bottom style="thin">
        <color indexed="9"/>
      </bottom>
      <diagonal/>
    </border>
    <border>
      <left/>
      <right style="hair">
        <color indexed="64"/>
      </right>
      <top style="hair">
        <color indexed="64"/>
      </top>
      <bottom style="thin">
        <color indexed="9"/>
      </bottom>
      <diagonal/>
    </border>
    <border>
      <left style="hair">
        <color indexed="64"/>
      </left>
      <right/>
      <top style="thin">
        <color indexed="9"/>
      </top>
      <bottom style="thin">
        <color indexed="9"/>
      </bottom>
      <diagonal/>
    </border>
    <border>
      <left style="dashed">
        <color indexed="64"/>
      </left>
      <right style="hair">
        <color indexed="64"/>
      </right>
      <top style="thin">
        <color indexed="9"/>
      </top>
      <bottom style="hair">
        <color indexed="64"/>
      </bottom>
      <diagonal/>
    </border>
    <border>
      <left style="hair">
        <color indexed="64"/>
      </left>
      <right style="hair">
        <color indexed="64"/>
      </right>
      <top style="thin">
        <color indexed="9"/>
      </top>
      <bottom style="hair">
        <color indexed="64"/>
      </bottom>
      <diagonal/>
    </border>
    <border>
      <left style="hair">
        <color indexed="64"/>
      </left>
      <right/>
      <top style="thin">
        <color indexed="9"/>
      </top>
      <bottom style="hair">
        <color indexed="64"/>
      </bottom>
      <diagonal/>
    </border>
    <border>
      <left/>
      <right style="hair">
        <color indexed="64"/>
      </right>
      <top style="thin">
        <color indexed="9"/>
      </top>
      <bottom style="hair">
        <color indexed="64"/>
      </bottom>
      <diagonal/>
    </border>
    <border>
      <left/>
      <right style="thin">
        <color indexed="64"/>
      </right>
      <top style="dotted">
        <color indexed="64"/>
      </top>
      <bottom style="thin">
        <color indexed="9"/>
      </bottom>
      <diagonal/>
    </border>
    <border>
      <left/>
      <right/>
      <top style="dotted">
        <color indexed="64"/>
      </top>
      <bottom style="thin">
        <color indexed="9"/>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hair">
        <color indexed="64"/>
      </right>
      <top style="thin">
        <color auto="1"/>
      </top>
      <bottom/>
      <diagonal/>
    </border>
    <border>
      <left style="hair">
        <color indexed="64"/>
      </left>
      <right/>
      <top style="thin">
        <color auto="1"/>
      </top>
      <bottom/>
      <diagonal/>
    </border>
    <border>
      <left style="thin">
        <color indexed="64"/>
      </left>
      <right style="thin">
        <color auto="1"/>
      </right>
      <top style="thin">
        <color indexed="64"/>
      </top>
      <bottom/>
      <diagonal/>
    </border>
    <border>
      <left style="thin">
        <color auto="1"/>
      </left>
      <right/>
      <top/>
      <bottom style="dotted">
        <color indexed="64"/>
      </bottom>
      <diagonal/>
    </border>
    <border>
      <left style="thin">
        <color auto="1"/>
      </left>
      <right/>
      <top/>
      <bottom style="dashed">
        <color indexed="64"/>
      </bottom>
      <diagonal/>
    </border>
    <border>
      <left style="thin">
        <color auto="1"/>
      </left>
      <right/>
      <top style="dashed">
        <color indexed="64"/>
      </top>
      <bottom/>
      <diagonal/>
    </border>
    <border>
      <left style="thin">
        <color auto="1"/>
      </left>
      <right/>
      <top style="thin">
        <color indexed="9"/>
      </top>
      <bottom/>
      <diagonal/>
    </border>
    <border>
      <left style="thin">
        <color auto="1"/>
      </left>
      <right/>
      <top style="thin">
        <color rgb="FFFFFFFF"/>
      </top>
      <bottom/>
      <diagonal/>
    </border>
    <border>
      <left style="thin">
        <color auto="1"/>
      </left>
      <right/>
      <top style="thin">
        <color theme="0"/>
      </top>
      <bottom style="thin">
        <color rgb="FFFFFFFF"/>
      </bottom>
      <diagonal/>
    </border>
    <border>
      <left style="thin">
        <color auto="1"/>
      </left>
      <right/>
      <top style="thin">
        <color indexed="64"/>
      </top>
      <bottom style="dashed">
        <color indexed="64"/>
      </bottom>
      <diagonal/>
    </border>
    <border>
      <left style="thin">
        <color auto="1"/>
      </left>
      <right style="dashed">
        <color indexed="64"/>
      </right>
      <top style="dashed">
        <color indexed="64"/>
      </top>
      <bottom style="hair">
        <color indexed="64"/>
      </bottom>
      <diagonal/>
    </border>
    <border>
      <left style="thin">
        <color auto="1"/>
      </left>
      <right style="dashed">
        <color indexed="64"/>
      </right>
      <top/>
      <bottom style="dotted">
        <color theme="0" tint="-4.9989318521683403E-2"/>
      </bottom>
      <diagonal/>
    </border>
    <border>
      <left style="thin">
        <color auto="1"/>
      </left>
      <right style="dashed">
        <color indexed="64"/>
      </right>
      <top style="dotted">
        <color theme="0" tint="-4.9989318521683403E-2"/>
      </top>
      <bottom style="dotted">
        <color theme="0" tint="-4.9989318521683403E-2"/>
      </bottom>
      <diagonal/>
    </border>
    <border>
      <left style="thin">
        <color auto="1"/>
      </left>
      <right style="dashed">
        <color indexed="64"/>
      </right>
      <top style="dotted">
        <color theme="0" tint="-4.9989318521683403E-2"/>
      </top>
      <bottom style="hair">
        <color indexed="64"/>
      </bottom>
      <diagonal/>
    </border>
    <border>
      <left style="thin">
        <color auto="1"/>
      </left>
      <right/>
      <top style="dotted">
        <color indexed="64"/>
      </top>
      <bottom/>
      <diagonal/>
    </border>
    <border>
      <left style="thin">
        <color indexed="64"/>
      </left>
      <right style="thin">
        <color auto="1"/>
      </right>
      <top style="thin">
        <color theme="0"/>
      </top>
      <bottom style="thin">
        <color theme="0"/>
      </bottom>
      <diagonal/>
    </border>
    <border>
      <left style="thin">
        <color indexed="64"/>
      </left>
      <right style="thin">
        <color auto="1"/>
      </right>
      <top/>
      <bottom style="thin">
        <color theme="0"/>
      </bottom>
      <diagonal/>
    </border>
    <border>
      <left style="thin">
        <color indexed="64"/>
      </left>
      <right style="thin">
        <color auto="1"/>
      </right>
      <top style="thin">
        <color theme="0"/>
      </top>
      <bottom style="thin">
        <color indexed="64"/>
      </bottom>
      <diagonal/>
    </border>
    <border>
      <left/>
      <right style="medium">
        <color indexed="64"/>
      </right>
      <top style="thin">
        <color indexed="64"/>
      </top>
      <bottom/>
      <diagonal/>
    </border>
    <border>
      <left/>
      <right style="thin">
        <color indexed="64"/>
      </right>
      <top style="thin">
        <color rgb="FFFFFFFF"/>
      </top>
      <bottom style="dotted">
        <color indexed="64"/>
      </bottom>
      <diagonal/>
    </border>
    <border>
      <left/>
      <right style="thin">
        <color indexed="64"/>
      </right>
      <top/>
      <bottom style="thin">
        <color indexed="9"/>
      </bottom>
      <diagonal/>
    </border>
    <border>
      <left/>
      <right style="thin">
        <color indexed="64"/>
      </right>
      <top style="thin">
        <color indexed="9"/>
      </top>
      <bottom style="dotted">
        <color indexed="64"/>
      </bottom>
      <diagonal/>
    </border>
    <border>
      <left style="thin">
        <color indexed="64"/>
      </left>
      <right/>
      <top/>
      <bottom style="thin">
        <color indexed="9"/>
      </bottom>
      <diagonal/>
    </border>
    <border>
      <left/>
      <right style="thin">
        <color indexed="64"/>
      </right>
      <top style="thin">
        <color indexed="9"/>
      </top>
      <bottom style="thin">
        <color indexed="64"/>
      </bottom>
      <diagonal/>
    </border>
    <border>
      <left style="thin">
        <color auto="1"/>
      </left>
      <right style="thin">
        <color indexed="64"/>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right style="thin">
        <color indexed="64"/>
      </right>
      <top/>
      <bottom style="dashed">
        <color indexed="64"/>
      </bottom>
      <diagonal/>
    </border>
    <border>
      <left style="hair">
        <color indexed="64"/>
      </left>
      <right style="hair">
        <color indexed="64"/>
      </right>
      <top/>
      <bottom/>
      <diagonal/>
    </border>
    <border>
      <left style="thick">
        <color rgb="FF00B050"/>
      </left>
      <right style="thick">
        <color rgb="FFFF0000"/>
      </right>
      <top/>
      <bottom/>
      <diagonal/>
    </border>
    <border>
      <left style="thin">
        <color auto="1"/>
      </left>
      <right/>
      <top style="hair">
        <color indexed="64"/>
      </top>
      <bottom/>
      <diagonal/>
    </border>
    <border>
      <left style="thin">
        <color auto="1"/>
      </left>
      <right/>
      <top/>
      <bottom style="hair">
        <color indexed="64"/>
      </bottom>
      <diagonal/>
    </border>
    <border>
      <left style="thin">
        <color auto="1"/>
      </left>
      <right style="hair">
        <color auto="1"/>
      </right>
      <top style="hair">
        <color auto="1"/>
      </top>
      <bottom style="hair">
        <color auto="1"/>
      </bottom>
      <diagonal/>
    </border>
    <border>
      <left style="hair">
        <color indexed="64"/>
      </left>
      <right/>
      <top/>
      <bottom style="thin">
        <color indexed="9"/>
      </bottom>
      <diagonal/>
    </border>
    <border>
      <left/>
      <right style="hair">
        <color indexed="64"/>
      </right>
      <top/>
      <bottom style="thin">
        <color indexed="9"/>
      </bottom>
      <diagonal/>
    </border>
    <border>
      <left/>
      <right style="thin">
        <color indexed="64"/>
      </right>
      <top style="hair">
        <color indexed="64"/>
      </top>
      <bottom style="hair">
        <color auto="1"/>
      </bottom>
      <diagonal/>
    </border>
    <border>
      <left/>
      <right style="thin">
        <color indexed="64"/>
      </right>
      <top style="hair">
        <color indexed="64"/>
      </top>
      <bottom style="thin">
        <color indexed="9"/>
      </bottom>
      <diagonal/>
    </border>
    <border>
      <left/>
      <right style="thin">
        <color indexed="64"/>
      </right>
      <top style="thin">
        <color indexed="9"/>
      </top>
      <bottom style="thin">
        <color indexed="9"/>
      </bottom>
      <diagonal/>
    </border>
    <border>
      <left/>
      <right style="thin">
        <color indexed="64"/>
      </right>
      <top style="thin">
        <color indexed="9"/>
      </top>
      <bottom style="hair">
        <color indexed="64"/>
      </bottom>
      <diagonal/>
    </border>
    <border>
      <left/>
      <right style="thin">
        <color indexed="64"/>
      </right>
      <top style="dotted">
        <color auto="1"/>
      </top>
      <bottom/>
      <diagonal/>
    </border>
    <border>
      <left style="dotted">
        <color auto="1"/>
      </left>
      <right/>
      <top style="dotted">
        <color auto="1"/>
      </top>
      <bottom/>
      <diagonal/>
    </border>
    <border>
      <left/>
      <right style="dotted">
        <color auto="1"/>
      </right>
      <top style="dotted">
        <color auto="1"/>
      </top>
      <bottom/>
      <diagonal/>
    </border>
    <border>
      <left/>
      <right style="dotted">
        <color auto="1"/>
      </right>
      <top/>
      <bottom style="thin">
        <color indexed="9"/>
      </bottom>
      <diagonal/>
    </border>
    <border>
      <left/>
      <right style="dotted">
        <color auto="1"/>
      </right>
      <top style="thin">
        <color indexed="9"/>
      </top>
      <bottom style="dotted">
        <color auto="1"/>
      </bottom>
      <diagonal/>
    </border>
    <border>
      <left style="dotted">
        <color auto="1"/>
      </left>
      <right style="dotted">
        <color auto="1"/>
      </right>
      <top style="dotted">
        <color auto="1"/>
      </top>
      <bottom/>
      <diagonal/>
    </border>
    <border>
      <left style="dotted">
        <color auto="1"/>
      </left>
      <right style="dotted">
        <color auto="1"/>
      </right>
      <top style="dotted">
        <color auto="1"/>
      </top>
      <bottom style="thin">
        <color indexed="9"/>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auto="1"/>
      </left>
      <right/>
      <top style="thin">
        <color indexed="9"/>
      </top>
      <bottom style="dotted">
        <color auto="1"/>
      </bottom>
      <diagonal/>
    </border>
    <border>
      <left style="dotted">
        <color auto="1"/>
      </left>
      <right/>
      <top/>
      <bottom style="thin">
        <color indexed="9"/>
      </bottom>
      <diagonal/>
    </border>
    <border>
      <left style="dotted">
        <color auto="1"/>
      </left>
      <right/>
      <top style="dotted">
        <color auto="1"/>
      </top>
      <bottom style="thin">
        <color indexed="9"/>
      </bottom>
      <diagonal/>
    </border>
    <border>
      <left/>
      <right style="dotted">
        <color auto="1"/>
      </right>
      <top style="dotted">
        <color auto="1"/>
      </top>
      <bottom style="thin">
        <color indexed="9"/>
      </bottom>
      <diagonal/>
    </border>
    <border>
      <left style="dotted">
        <color auto="1"/>
      </left>
      <right/>
      <top style="dotted">
        <color auto="1"/>
      </top>
      <bottom style="dotted">
        <color indexed="64"/>
      </bottom>
      <diagonal/>
    </border>
    <border>
      <left/>
      <right/>
      <top style="dotted">
        <color auto="1"/>
      </top>
      <bottom style="dotted">
        <color indexed="64"/>
      </bottom>
      <diagonal/>
    </border>
    <border>
      <left/>
      <right style="dotted">
        <color auto="1"/>
      </right>
      <top style="dotted">
        <color auto="1"/>
      </top>
      <bottom style="dotted">
        <color indexed="64"/>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thin">
        <color indexed="9"/>
      </top>
      <bottom/>
      <diagonal/>
    </border>
    <border>
      <left/>
      <right style="hair">
        <color indexed="64"/>
      </right>
      <top style="thin">
        <color indexed="9"/>
      </top>
      <bottom/>
      <diagonal/>
    </border>
    <border>
      <left style="hair">
        <color indexed="64"/>
      </left>
      <right/>
      <top style="thin">
        <color rgb="FFFFFFFF"/>
      </top>
      <bottom style="thin">
        <color indexed="9"/>
      </bottom>
      <diagonal/>
    </border>
    <border>
      <left/>
      <right style="hair">
        <color indexed="64"/>
      </right>
      <top style="thin">
        <color rgb="FFFFFFFF"/>
      </top>
      <bottom style="thin">
        <color indexed="9"/>
      </bottom>
      <diagonal/>
    </border>
    <border>
      <left/>
      <right style="thin">
        <color indexed="64"/>
      </right>
      <top style="thin">
        <color rgb="FFFFFFFF"/>
      </top>
      <bottom style="thin">
        <color indexed="9"/>
      </bottom>
      <diagonal/>
    </border>
    <border>
      <left style="hair">
        <color indexed="64"/>
      </left>
      <right/>
      <top style="thin">
        <color rgb="FFFFFFFF"/>
      </top>
      <bottom style="thin">
        <color rgb="FFFFFFFF"/>
      </bottom>
      <diagonal/>
    </border>
    <border>
      <left/>
      <right style="hair">
        <color indexed="64"/>
      </right>
      <top style="thin">
        <color rgb="FFFFFFFF"/>
      </top>
      <bottom style="thin">
        <color rgb="FFFFFFFF"/>
      </bottom>
      <diagonal/>
    </border>
    <border>
      <left style="dashed">
        <color indexed="64"/>
      </left>
      <right/>
      <top style="thin">
        <color rgb="FFFFFFFF"/>
      </top>
      <bottom style="thin">
        <color rgb="FFFFFFFF"/>
      </bottom>
      <diagonal/>
    </border>
    <border>
      <left/>
      <right style="thin">
        <color indexed="64"/>
      </right>
      <top style="thin">
        <color rgb="FFFFFFFF"/>
      </top>
      <bottom style="thin">
        <color rgb="FFFFFFFF"/>
      </bottom>
      <diagonal/>
    </border>
    <border>
      <left/>
      <right style="thin">
        <color indexed="64"/>
      </right>
      <top style="hair">
        <color indexed="64"/>
      </top>
      <bottom/>
      <diagonal/>
    </border>
    <border>
      <left/>
      <right style="thin">
        <color indexed="64"/>
      </right>
      <top/>
      <bottom style="hair">
        <color indexed="64"/>
      </bottom>
      <diagonal/>
    </border>
    <border>
      <left/>
      <right/>
      <top style="thin">
        <color rgb="FFFFFFFF"/>
      </top>
      <bottom style="thin">
        <color indexed="9"/>
      </bottom>
      <diagonal/>
    </border>
  </borders>
  <cellStyleXfs count="14">
    <xf numFmtId="0" fontId="0" fillId="0" borderId="0"/>
    <xf numFmtId="0" fontId="15" fillId="0" borderId="0" applyNumberFormat="0" applyFill="0" applyBorder="0" applyAlignment="0" applyProtection="0">
      <alignment vertical="top"/>
      <protection locked="0"/>
    </xf>
    <xf numFmtId="0" fontId="11" fillId="0" borderId="0"/>
    <xf numFmtId="0" fontId="4" fillId="0" borderId="0"/>
    <xf numFmtId="166" fontId="11" fillId="0" borderId="0" applyFont="0" applyFill="0" applyBorder="0" applyAlignment="0" applyProtection="0"/>
    <xf numFmtId="0" fontId="11" fillId="0" borderId="0"/>
    <xf numFmtId="9" fontId="28"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0" fontId="3" fillId="0" borderId="0"/>
    <xf numFmtId="0" fontId="28" fillId="0" borderId="0"/>
    <xf numFmtId="164" fontId="28" fillId="0" borderId="0" applyFont="0" applyFill="0" applyBorder="0" applyAlignment="0" applyProtection="0"/>
    <xf numFmtId="0" fontId="11" fillId="0" borderId="0"/>
  </cellStyleXfs>
  <cellXfs count="714">
    <xf numFmtId="0" fontId="0" fillId="0" borderId="0" xfId="0"/>
    <xf numFmtId="0" fontId="0" fillId="2" borderId="0" xfId="0" applyFill="1" applyBorder="1"/>
    <xf numFmtId="0" fontId="0" fillId="2" borderId="33" xfId="0" applyFill="1" applyBorder="1"/>
    <xf numFmtId="0" fontId="0" fillId="2" borderId="1" xfId="0" applyFill="1" applyBorder="1"/>
    <xf numFmtId="0" fontId="0" fillId="2" borderId="2" xfId="0" applyFill="1" applyBorder="1"/>
    <xf numFmtId="0" fontId="0" fillId="2" borderId="9" xfId="0" applyFill="1" applyBorder="1"/>
    <xf numFmtId="0" fontId="0" fillId="2" borderId="5" xfId="0" applyFill="1" applyBorder="1"/>
    <xf numFmtId="0" fontId="0" fillId="2" borderId="30" xfId="0" applyFill="1" applyBorder="1"/>
    <xf numFmtId="0" fontId="0" fillId="2" borderId="31" xfId="0" applyFill="1" applyBorder="1"/>
    <xf numFmtId="0" fontId="0" fillId="2" borderId="32" xfId="0" applyFill="1" applyBorder="1"/>
    <xf numFmtId="0" fontId="19" fillId="0" borderId="0" xfId="0" applyFont="1" applyBorder="1" applyProtection="1"/>
    <xf numFmtId="0" fontId="5" fillId="0" borderId="0" xfId="0" applyFont="1" applyBorder="1" applyProtection="1"/>
    <xf numFmtId="0" fontId="20" fillId="0" borderId="0" xfId="0" applyFont="1" applyBorder="1" applyAlignment="1" applyProtection="1">
      <alignment vertical="center"/>
    </xf>
    <xf numFmtId="0" fontId="9" fillId="0" borderId="0" xfId="0" applyFont="1"/>
    <xf numFmtId="0" fontId="9" fillId="0" borderId="0" xfId="0" applyFont="1" applyAlignment="1">
      <alignment vertical="center"/>
    </xf>
    <xf numFmtId="0" fontId="9" fillId="0" borderId="0" xfId="0" applyFont="1" applyBorder="1" applyAlignment="1">
      <alignment vertical="center"/>
    </xf>
    <xf numFmtId="0" fontId="19" fillId="2" borderId="0" xfId="0" applyFont="1" applyFill="1" applyBorder="1" applyProtection="1"/>
    <xf numFmtId="0" fontId="5" fillId="2" borderId="0" xfId="0" applyFont="1" applyFill="1" applyBorder="1" applyProtection="1"/>
    <xf numFmtId="0" fontId="19" fillId="0" borderId="0" xfId="0" applyFont="1" applyBorder="1" applyAlignment="1" applyProtection="1">
      <alignment horizontal="center" vertical="center"/>
    </xf>
    <xf numFmtId="0" fontId="5" fillId="0" borderId="0" xfId="0" applyFont="1" applyBorder="1" applyAlignment="1" applyProtection="1">
      <alignment horizontal="center" vertical="center"/>
    </xf>
    <xf numFmtId="0" fontId="25" fillId="2" borderId="0" xfId="2" applyFont="1" applyFill="1" applyBorder="1" applyAlignment="1" applyProtection="1">
      <alignment horizontal="center" vertical="center" wrapText="1"/>
      <protection locked="0"/>
    </xf>
    <xf numFmtId="14" fontId="25" fillId="2" borderId="0" xfId="2" applyNumberFormat="1" applyFont="1" applyFill="1" applyBorder="1" applyAlignment="1" applyProtection="1">
      <alignment horizontal="center" vertical="center" wrapText="1"/>
      <protection locked="0"/>
    </xf>
    <xf numFmtId="0" fontId="25" fillId="2" borderId="0" xfId="2" applyFont="1" applyFill="1" applyBorder="1" applyAlignment="1" applyProtection="1">
      <alignment horizontal="center" vertical="center"/>
      <protection locked="0"/>
    </xf>
    <xf numFmtId="0" fontId="21" fillId="2" borderId="0" xfId="0" applyFont="1" applyFill="1" applyBorder="1" applyProtection="1"/>
    <xf numFmtId="0" fontId="21" fillId="2" borderId="0" xfId="0" applyFont="1" applyFill="1" applyBorder="1" applyAlignment="1" applyProtection="1">
      <alignment horizontal="right"/>
    </xf>
    <xf numFmtId="0" fontId="9" fillId="0" borderId="0" xfId="0" applyFont="1" applyBorder="1"/>
    <xf numFmtId="0" fontId="9" fillId="0" borderId="50" xfId="0" applyFont="1" applyBorder="1"/>
    <xf numFmtId="0" fontId="9" fillId="0" borderId="51" xfId="0" applyFont="1" applyBorder="1"/>
    <xf numFmtId="0" fontId="21" fillId="2" borderId="0" xfId="0" applyFont="1" applyFill="1" applyBorder="1" applyAlignment="1" applyProtection="1">
      <alignment horizontal="left" vertical="top"/>
    </xf>
    <xf numFmtId="0" fontId="21" fillId="2" borderId="0" xfId="0" applyFont="1" applyFill="1" applyBorder="1" applyAlignment="1" applyProtection="1">
      <alignment horizontal="left"/>
    </xf>
    <xf numFmtId="0" fontId="21" fillId="2" borderId="0" xfId="0" applyFont="1" applyFill="1" applyBorder="1" applyAlignment="1" applyProtection="1">
      <alignment horizontal="left" vertical="top" wrapText="1"/>
      <protection locked="0"/>
    </xf>
    <xf numFmtId="0" fontId="16" fillId="2" borderId="8" xfId="0" applyFont="1" applyFill="1" applyBorder="1" applyProtection="1"/>
    <xf numFmtId="0" fontId="5" fillId="2" borderId="8" xfId="0" applyFont="1" applyFill="1" applyBorder="1" applyProtection="1"/>
    <xf numFmtId="0" fontId="18" fillId="2" borderId="0" xfId="0" applyFont="1" applyFill="1" applyBorder="1" applyProtection="1"/>
    <xf numFmtId="0" fontId="22" fillId="2" borderId="0" xfId="0" applyFont="1" applyFill="1" applyBorder="1" applyProtection="1"/>
    <xf numFmtId="0" fontId="21" fillId="2" borderId="50" xfId="0" applyFont="1" applyFill="1" applyBorder="1" applyProtection="1"/>
    <xf numFmtId="0" fontId="21" fillId="2" borderId="51" xfId="0" applyFont="1" applyFill="1" applyBorder="1" applyProtection="1"/>
    <xf numFmtId="0" fontId="21" fillId="2" borderId="7" xfId="0" applyFont="1" applyFill="1" applyBorder="1" applyAlignment="1" applyProtection="1">
      <alignment horizontal="left"/>
    </xf>
    <xf numFmtId="0" fontId="21" fillId="2" borderId="7" xfId="0" applyFont="1" applyFill="1" applyBorder="1" applyProtection="1"/>
    <xf numFmtId="0" fontId="21" fillId="2" borderId="7" xfId="0" applyFont="1" applyFill="1" applyBorder="1" applyAlignment="1" applyProtection="1">
      <alignment vertical="top"/>
    </xf>
    <xf numFmtId="0" fontId="21" fillId="2" borderId="7" xfId="0" applyFont="1" applyFill="1" applyBorder="1" applyAlignment="1" applyProtection="1">
      <alignment horizontal="center" vertical="top" wrapText="1"/>
    </xf>
    <xf numFmtId="0" fontId="21" fillId="2" borderId="46" xfId="0" applyFont="1" applyFill="1" applyBorder="1" applyProtection="1"/>
    <xf numFmtId="0" fontId="21" fillId="2" borderId="0" xfId="0" applyFont="1" applyFill="1" applyBorder="1" applyAlignment="1" applyProtection="1">
      <alignment horizontal="center"/>
    </xf>
    <xf numFmtId="0" fontId="21" fillId="2" borderId="35" xfId="0" applyFont="1" applyFill="1" applyBorder="1" applyAlignment="1" applyProtection="1">
      <alignment horizontal="center"/>
    </xf>
    <xf numFmtId="0" fontId="16" fillId="2" borderId="53" xfId="0" applyFont="1" applyFill="1" applyBorder="1" applyProtection="1"/>
    <xf numFmtId="0" fontId="5" fillId="2" borderId="53" xfId="0" applyFont="1" applyFill="1" applyBorder="1" applyProtection="1"/>
    <xf numFmtId="0" fontId="21" fillId="2" borderId="45" xfId="0" applyNumberFormat="1" applyFont="1" applyFill="1" applyBorder="1" applyAlignment="1" applyProtection="1">
      <alignment vertical="top" wrapText="1"/>
      <protection locked="0"/>
    </xf>
    <xf numFmtId="0" fontId="5" fillId="2" borderId="48" xfId="0" applyFont="1" applyFill="1" applyBorder="1" applyAlignment="1" applyProtection="1">
      <alignment vertical="center"/>
    </xf>
    <xf numFmtId="0" fontId="21" fillId="2" borderId="0" xfId="0" applyFont="1" applyFill="1" applyBorder="1" applyAlignment="1" applyProtection="1">
      <alignment horizontal="left" vertical="center"/>
    </xf>
    <xf numFmtId="0" fontId="21" fillId="2" borderId="52" xfId="0" applyFont="1" applyFill="1" applyBorder="1" applyProtection="1"/>
    <xf numFmtId="0" fontId="21" fillId="2" borderId="52" xfId="0" applyFont="1" applyFill="1" applyBorder="1" applyAlignment="1" applyProtection="1">
      <alignment horizontal="right"/>
    </xf>
    <xf numFmtId="0" fontId="21" fillId="3" borderId="52" xfId="0" applyFont="1" applyFill="1" applyBorder="1" applyProtection="1"/>
    <xf numFmtId="0" fontId="21" fillId="3" borderId="52" xfId="0" applyFont="1" applyFill="1" applyBorder="1" applyAlignment="1" applyProtection="1">
      <alignment horizontal="center" vertical="center"/>
    </xf>
    <xf numFmtId="0" fontId="21" fillId="2" borderId="3" xfId="0" applyFont="1" applyFill="1" applyBorder="1" applyProtection="1"/>
    <xf numFmtId="0" fontId="21" fillId="2" borderId="54" xfId="0" applyFont="1" applyFill="1" applyBorder="1" applyAlignment="1" applyProtection="1">
      <alignment horizontal="left"/>
    </xf>
    <xf numFmtId="0" fontId="21" fillId="2" borderId="35" xfId="0" applyFont="1" applyFill="1" applyBorder="1" applyProtection="1"/>
    <xf numFmtId="0" fontId="21" fillId="2" borderId="57" xfId="0" applyFont="1" applyFill="1" applyBorder="1" applyProtection="1"/>
    <xf numFmtId="0" fontId="21" fillId="3" borderId="7" xfId="0" applyNumberFormat="1" applyFont="1" applyFill="1" applyBorder="1" applyAlignment="1" applyProtection="1">
      <alignment horizontal="left" vertical="top"/>
      <protection locked="0"/>
    </xf>
    <xf numFmtId="0" fontId="21" fillId="2" borderId="7" xfId="2" applyFont="1" applyFill="1" applyBorder="1" applyAlignment="1" applyProtection="1">
      <alignment horizontal="right" vertical="center" wrapText="1"/>
      <protection locked="0"/>
    </xf>
    <xf numFmtId="0" fontId="26" fillId="2" borderId="7" xfId="2" applyFont="1" applyFill="1" applyBorder="1" applyAlignment="1" applyProtection="1">
      <alignment horizontal="center" vertical="center" wrapText="1"/>
      <protection locked="0"/>
    </xf>
    <xf numFmtId="0" fontId="21" fillId="2" borderId="6" xfId="0" applyFont="1" applyFill="1" applyBorder="1" applyProtection="1"/>
    <xf numFmtId="49" fontId="21" fillId="2" borderId="7" xfId="0" applyNumberFormat="1" applyFont="1" applyFill="1" applyBorder="1" applyAlignment="1" applyProtection="1">
      <alignment horizontal="center" vertical="top" wrapText="1"/>
      <protection locked="0"/>
    </xf>
    <xf numFmtId="0" fontId="21" fillId="2" borderId="7" xfId="0" applyNumberFormat="1" applyFont="1" applyFill="1" applyBorder="1" applyAlignment="1" applyProtection="1">
      <alignment vertical="top" wrapText="1"/>
      <protection locked="0"/>
    </xf>
    <xf numFmtId="49" fontId="21" fillId="2" borderId="7" xfId="0" applyNumberFormat="1" applyFont="1" applyFill="1" applyBorder="1" applyAlignment="1" applyProtection="1">
      <alignment vertical="top" wrapText="1"/>
      <protection locked="0"/>
    </xf>
    <xf numFmtId="0" fontId="21" fillId="2" borderId="7" xfId="0" applyNumberFormat="1" applyFont="1" applyFill="1" applyBorder="1" applyAlignment="1" applyProtection="1">
      <alignment horizontal="right" vertical="top"/>
    </xf>
    <xf numFmtId="14" fontId="21" fillId="2" borderId="7" xfId="0" applyNumberFormat="1" applyFont="1" applyFill="1" applyBorder="1" applyAlignment="1" applyProtection="1">
      <alignment horizontal="right" vertical="top"/>
      <protection locked="0"/>
    </xf>
    <xf numFmtId="0" fontId="21" fillId="3" borderId="7" xfId="0" applyFont="1" applyFill="1" applyBorder="1" applyProtection="1"/>
    <xf numFmtId="0" fontId="21" fillId="3" borderId="7" xfId="0" applyFont="1" applyFill="1" applyBorder="1" applyAlignment="1" applyProtection="1">
      <alignment horizontal="center" vertical="center"/>
    </xf>
    <xf numFmtId="0" fontId="21" fillId="2" borderId="7" xfId="0" applyFont="1" applyFill="1" applyBorder="1" applyAlignment="1" applyProtection="1">
      <alignment horizontal="right"/>
    </xf>
    <xf numFmtId="0" fontId="26" fillId="2" borderId="7" xfId="2" applyFont="1" applyFill="1" applyBorder="1" applyAlignment="1" applyProtection="1">
      <alignment horizontal="left" vertical="center" wrapText="1"/>
      <protection locked="0"/>
    </xf>
    <xf numFmtId="0" fontId="5" fillId="2" borderId="8" xfId="0" applyFont="1" applyFill="1" applyBorder="1" applyAlignment="1" applyProtection="1">
      <alignment horizontal="right"/>
    </xf>
    <xf numFmtId="0" fontId="5" fillId="0" borderId="0" xfId="0" applyFont="1" applyFill="1" applyBorder="1" applyProtection="1"/>
    <xf numFmtId="0" fontId="19" fillId="0" borderId="0" xfId="0" applyFont="1" applyFill="1" applyBorder="1" applyProtection="1"/>
    <xf numFmtId="165" fontId="26" fillId="0" borderId="0" xfId="0" applyNumberFormat="1" applyFont="1" applyFill="1" applyBorder="1" applyAlignment="1" applyProtection="1">
      <alignment vertical="top"/>
      <protection locked="0"/>
    </xf>
    <xf numFmtId="0" fontId="26" fillId="2" borderId="0" xfId="2" applyFont="1" applyFill="1" applyBorder="1" applyAlignment="1" applyProtection="1">
      <alignment horizontal="center" vertical="center" wrapText="1"/>
      <protection locked="0"/>
    </xf>
    <xf numFmtId="0" fontId="0" fillId="0" borderId="0" xfId="0" applyBorder="1"/>
    <xf numFmtId="0" fontId="5" fillId="0" borderId="0" xfId="0" applyFont="1" applyBorder="1" applyAlignment="1" applyProtection="1">
      <alignment horizontal="left"/>
    </xf>
    <xf numFmtId="0" fontId="21" fillId="2" borderId="8" xfId="0" applyFont="1" applyFill="1" applyBorder="1" applyAlignment="1" applyProtection="1">
      <alignment horizontal="center" vertical="top"/>
    </xf>
    <xf numFmtId="0" fontId="22" fillId="2" borderId="8" xfId="0" applyFont="1" applyFill="1" applyBorder="1" applyAlignment="1" applyProtection="1">
      <alignment horizontal="center" vertical="top"/>
    </xf>
    <xf numFmtId="0" fontId="22" fillId="2" borderId="8" xfId="0" applyFont="1" applyFill="1" applyBorder="1" applyAlignment="1" applyProtection="1">
      <alignment vertical="top"/>
    </xf>
    <xf numFmtId="0" fontId="22" fillId="2" borderId="8" xfId="0" applyFont="1" applyFill="1" applyBorder="1" applyAlignment="1" applyProtection="1">
      <alignment horizontal="left" vertical="top"/>
    </xf>
    <xf numFmtId="0" fontId="22" fillId="2" borderId="8" xfId="1" applyFont="1" applyFill="1" applyBorder="1" applyAlignment="1" applyProtection="1">
      <alignment horizontal="left" vertical="top"/>
    </xf>
    <xf numFmtId="0" fontId="21" fillId="2" borderId="64" xfId="0" applyFont="1" applyFill="1" applyBorder="1" applyAlignment="1" applyProtection="1">
      <alignment horizontal="left" vertical="top"/>
    </xf>
    <xf numFmtId="0" fontId="33" fillId="4" borderId="47" xfId="7" applyFont="1" applyFill="1" applyBorder="1" applyAlignment="1" applyProtection="1">
      <alignment vertical="top" wrapText="1"/>
      <protection locked="0"/>
    </xf>
    <xf numFmtId="0" fontId="22" fillId="2" borderId="50" xfId="0" applyFont="1" applyFill="1" applyBorder="1" applyProtection="1"/>
    <xf numFmtId="0" fontId="21" fillId="3" borderId="0" xfId="0" applyFont="1" applyFill="1" applyBorder="1" applyAlignment="1" applyProtection="1">
      <alignment horizontal="left" vertical="top" wrapText="1"/>
    </xf>
    <xf numFmtId="0" fontId="21" fillId="2" borderId="3" xfId="0" applyFont="1" applyFill="1" applyBorder="1" applyAlignment="1" applyProtection="1">
      <alignment horizontal="left"/>
    </xf>
    <xf numFmtId="165" fontId="26" fillId="3" borderId="0" xfId="0" applyNumberFormat="1" applyFont="1" applyFill="1" applyBorder="1" applyAlignment="1" applyProtection="1">
      <alignment horizontal="left" vertical="top"/>
      <protection locked="0"/>
    </xf>
    <xf numFmtId="0" fontId="16" fillId="2" borderId="55" xfId="0" applyFont="1" applyFill="1" applyBorder="1" applyAlignment="1" applyProtection="1">
      <alignment horizontal="left" vertical="top"/>
    </xf>
    <xf numFmtId="49" fontId="21" fillId="2" borderId="102" xfId="0" applyNumberFormat="1" applyFont="1" applyFill="1" applyBorder="1" applyAlignment="1" applyProtection="1">
      <alignment horizontal="center" vertical="center"/>
    </xf>
    <xf numFmtId="49" fontId="21"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horizontal="left" vertical="top"/>
    </xf>
    <xf numFmtId="49" fontId="21" fillId="2" borderId="66" xfId="0" applyNumberFormat="1" applyFont="1" applyFill="1" applyBorder="1" applyAlignment="1" applyProtection="1">
      <alignment horizontal="center" vertical="center"/>
    </xf>
    <xf numFmtId="49" fontId="5" fillId="2" borderId="102" xfId="0" applyNumberFormat="1" applyFont="1" applyFill="1" applyBorder="1" applyAlignment="1" applyProtection="1">
      <alignment horizontal="center" vertical="center"/>
    </xf>
    <xf numFmtId="0" fontId="23" fillId="2" borderId="34" xfId="0" applyFont="1" applyFill="1" applyBorder="1"/>
    <xf numFmtId="0" fontId="23" fillId="2" borderId="66" xfId="0" applyFont="1" applyFill="1" applyBorder="1"/>
    <xf numFmtId="0" fontId="16" fillId="2" borderId="55" xfId="0" applyFont="1" applyFill="1" applyBorder="1" applyProtection="1"/>
    <xf numFmtId="0" fontId="0" fillId="0" borderId="34" xfId="0" applyBorder="1"/>
    <xf numFmtId="0" fontId="21" fillId="2" borderId="34" xfId="0" applyFont="1" applyFill="1" applyBorder="1" applyProtection="1"/>
    <xf numFmtId="165" fontId="26" fillId="3" borderId="3" xfId="0" applyNumberFormat="1" applyFont="1" applyFill="1" applyBorder="1" applyAlignment="1" applyProtection="1">
      <alignment horizontal="left" vertical="top"/>
      <protection locked="0"/>
    </xf>
    <xf numFmtId="0" fontId="23" fillId="2" borderId="34" xfId="0" applyFont="1" applyFill="1" applyBorder="1" applyAlignment="1">
      <alignment vertical="center"/>
    </xf>
    <xf numFmtId="0" fontId="21" fillId="3" borderId="3" xfId="0" applyFont="1" applyFill="1" applyBorder="1" applyAlignment="1" applyProtection="1">
      <alignment horizontal="left" vertical="top" wrapText="1"/>
    </xf>
    <xf numFmtId="0" fontId="16" fillId="2" borderId="109" xfId="0" applyFont="1" applyFill="1" applyBorder="1" applyProtection="1"/>
    <xf numFmtId="0" fontId="21" fillId="2" borderId="34" xfId="0" applyFont="1" applyFill="1" applyBorder="1" applyAlignment="1" applyProtection="1">
      <alignment horizontal="center" vertical="center"/>
    </xf>
    <xf numFmtId="0" fontId="25" fillId="2" borderId="3" xfId="2" applyFont="1" applyFill="1" applyBorder="1" applyAlignment="1" applyProtection="1">
      <alignment horizontal="center" vertical="center" wrapText="1"/>
      <protection locked="0"/>
    </xf>
    <xf numFmtId="0" fontId="5" fillId="2" borderId="102" xfId="0" applyFont="1" applyFill="1" applyBorder="1" applyProtection="1"/>
    <xf numFmtId="0" fontId="16" fillId="2" borderId="3" xfId="0" applyFont="1" applyFill="1" applyBorder="1" applyProtection="1"/>
    <xf numFmtId="0" fontId="5" fillId="2" borderId="34" xfId="0" applyFont="1" applyFill="1" applyBorder="1" applyAlignment="1">
      <alignment horizontal="center" vertical="center" textRotation="90" wrapText="1"/>
    </xf>
    <xf numFmtId="0" fontId="9" fillId="0" borderId="115" xfId="0" applyFont="1" applyBorder="1"/>
    <xf numFmtId="0" fontId="21" fillId="3" borderId="57" xfId="0" applyFont="1" applyFill="1" applyBorder="1" applyProtection="1"/>
    <xf numFmtId="0" fontId="21" fillId="2" borderId="104" xfId="0" applyNumberFormat="1" applyFont="1" applyFill="1" applyBorder="1" applyAlignment="1" applyProtection="1">
      <alignment vertical="top" wrapText="1"/>
      <protection locked="0"/>
    </xf>
    <xf numFmtId="49" fontId="5"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vertical="top"/>
    </xf>
    <xf numFmtId="0" fontId="21" fillId="2" borderId="66" xfId="0" applyFont="1" applyFill="1" applyBorder="1" applyProtection="1"/>
    <xf numFmtId="0" fontId="9" fillId="0" borderId="116" xfId="0" applyFont="1" applyBorder="1"/>
    <xf numFmtId="0" fontId="9" fillId="0" borderId="117" xfId="0" applyFont="1" applyBorder="1"/>
    <xf numFmtId="0" fontId="21" fillId="3" borderId="6" xfId="0" applyFont="1" applyFill="1" applyBorder="1" applyProtection="1"/>
    <xf numFmtId="0" fontId="21" fillId="0" borderId="34" xfId="0" applyFont="1" applyFill="1" applyBorder="1" applyProtection="1"/>
    <xf numFmtId="0" fontId="5" fillId="2" borderId="34" xfId="0" applyFont="1" applyFill="1" applyBorder="1" applyProtection="1"/>
    <xf numFmtId="0" fontId="21" fillId="2" borderId="7" xfId="0" applyFont="1" applyFill="1" applyBorder="1" applyAlignment="1" applyProtection="1">
      <alignment horizontal="center"/>
    </xf>
    <xf numFmtId="0" fontId="5" fillId="2" borderId="66" xfId="0" applyFont="1" applyFill="1" applyBorder="1" applyProtection="1"/>
    <xf numFmtId="0" fontId="13" fillId="2" borderId="0" xfId="0" applyFont="1" applyFill="1" applyBorder="1" applyAlignment="1">
      <alignment horizontal="center" vertical="center"/>
    </xf>
    <xf numFmtId="0" fontId="0" fillId="2" borderId="0" xfId="0" applyFill="1" applyBorder="1" applyAlignment="1">
      <alignment horizontal="center"/>
    </xf>
    <xf numFmtId="0" fontId="14" fillId="2" borderId="0" xfId="0" applyFont="1" applyFill="1" applyBorder="1" applyAlignment="1">
      <alignment horizontal="center" vertical="center"/>
    </xf>
    <xf numFmtId="165" fontId="26" fillId="3" borderId="125" xfId="0" applyNumberFormat="1" applyFont="1" applyFill="1" applyBorder="1" applyAlignment="1" applyProtection="1">
      <alignment vertical="top"/>
      <protection locked="0"/>
    </xf>
    <xf numFmtId="165" fontId="26" fillId="3" borderId="126" xfId="0" applyNumberFormat="1" applyFont="1" applyFill="1" applyBorder="1" applyAlignment="1" applyProtection="1">
      <alignment vertical="top"/>
      <protection locked="0"/>
    </xf>
    <xf numFmtId="165" fontId="26" fillId="3" borderId="127" xfId="0" applyNumberFormat="1" applyFont="1" applyFill="1" applyBorder="1" applyAlignment="1" applyProtection="1">
      <alignment vertical="top"/>
      <protection locked="0"/>
    </xf>
    <xf numFmtId="0" fontId="21" fillId="2" borderId="124" xfId="0" applyFont="1" applyFill="1" applyBorder="1" applyProtection="1"/>
    <xf numFmtId="0" fontId="20" fillId="0" borderId="3" xfId="0" applyFont="1" applyBorder="1" applyAlignment="1" applyProtection="1">
      <alignment vertical="center"/>
    </xf>
    <xf numFmtId="0" fontId="5" fillId="0" borderId="35" xfId="0" applyFont="1" applyBorder="1" applyProtection="1"/>
    <xf numFmtId="0" fontId="20" fillId="0" borderId="3" xfId="0" applyFont="1" applyFill="1" applyBorder="1" applyAlignment="1" applyProtection="1">
      <alignment vertical="center" wrapText="1"/>
    </xf>
    <xf numFmtId="0" fontId="19" fillId="0" borderId="3" xfId="0" applyFont="1" applyFill="1" applyBorder="1" applyAlignment="1" applyProtection="1">
      <alignment vertical="center"/>
    </xf>
    <xf numFmtId="0" fontId="9" fillId="0" borderId="3" xfId="0" applyFont="1" applyBorder="1"/>
    <xf numFmtId="0" fontId="9" fillId="0" borderId="35" xfId="0" applyFont="1" applyBorder="1"/>
    <xf numFmtId="0" fontId="19" fillId="0" borderId="3" xfId="0" applyFont="1" applyBorder="1" applyAlignment="1" applyProtection="1">
      <alignment vertical="center"/>
    </xf>
    <xf numFmtId="0" fontId="20" fillId="2" borderId="3" xfId="0" applyFont="1" applyFill="1" applyBorder="1" applyAlignment="1" applyProtection="1">
      <alignment vertical="center"/>
    </xf>
    <xf numFmtId="0" fontId="5" fillId="2" borderId="35" xfId="0" applyFont="1" applyFill="1" applyBorder="1" applyProtection="1"/>
    <xf numFmtId="0" fontId="0" fillId="0" borderId="3" xfId="0" applyBorder="1"/>
    <xf numFmtId="0" fontId="0" fillId="0" borderId="35" xfId="0" applyBorder="1"/>
    <xf numFmtId="0" fontId="9" fillId="0" borderId="3" xfId="0" applyFont="1" applyBorder="1" applyAlignment="1">
      <alignment vertical="center"/>
    </xf>
    <xf numFmtId="0" fontId="19" fillId="0" borderId="3" xfId="0" applyFont="1" applyBorder="1" applyAlignment="1" applyProtection="1">
      <alignment vertical="center" shrinkToFit="1"/>
      <protection hidden="1"/>
    </xf>
    <xf numFmtId="0" fontId="20" fillId="0" borderId="3" xfId="0" applyFont="1" applyBorder="1" applyAlignment="1" applyProtection="1">
      <alignment horizontal="center" vertical="center"/>
    </xf>
    <xf numFmtId="0" fontId="5" fillId="0" borderId="35" xfId="0" applyFont="1" applyBorder="1" applyAlignment="1" applyProtection="1">
      <alignment horizontal="left"/>
    </xf>
    <xf numFmtId="0" fontId="2" fillId="0" borderId="0" xfId="3" applyFont="1"/>
    <xf numFmtId="0" fontId="2" fillId="0" borderId="8" xfId="3" applyFont="1" applyBorder="1" applyAlignment="1">
      <alignment vertical="center" wrapText="1"/>
    </xf>
    <xf numFmtId="0" fontId="2" fillId="0" borderId="0" xfId="3" applyFont="1" applyFill="1"/>
    <xf numFmtId="0" fontId="2" fillId="0" borderId="0" xfId="3" applyFont="1" applyBorder="1"/>
    <xf numFmtId="0" fontId="2" fillId="0" borderId="0" xfId="3" applyFont="1" applyFill="1" applyAlignment="1">
      <alignment vertical="center" wrapText="1"/>
    </xf>
    <xf numFmtId="0" fontId="2" fillId="0" borderId="0" xfId="3" applyFont="1" applyFill="1" applyAlignment="1">
      <alignment vertical="center"/>
    </xf>
    <xf numFmtId="0" fontId="35" fillId="0" borderId="0" xfId="0" applyFont="1" applyBorder="1" applyProtection="1"/>
    <xf numFmtId="0" fontId="21" fillId="3" borderId="0" xfId="0" applyFont="1" applyFill="1" applyBorder="1" applyAlignment="1" applyProtection="1">
      <alignment horizontal="left" vertical="top" wrapText="1"/>
      <protection locked="0"/>
    </xf>
    <xf numFmtId="0" fontId="32" fillId="3" borderId="105" xfId="0" applyNumberFormat="1" applyFont="1" applyFill="1" applyBorder="1" applyAlignment="1" applyProtection="1">
      <alignment vertical="top" wrapText="1"/>
      <protection locked="0"/>
    </xf>
    <xf numFmtId="0" fontId="32" fillId="3" borderId="46" xfId="0" applyNumberFormat="1" applyFont="1" applyFill="1" applyBorder="1" applyAlignment="1" applyProtection="1">
      <alignment vertical="top" wrapText="1"/>
      <protection locked="0"/>
    </xf>
    <xf numFmtId="0" fontId="5" fillId="0" borderId="3" xfId="0" applyFont="1" applyBorder="1" applyProtection="1"/>
    <xf numFmtId="0" fontId="16" fillId="2" borderId="3" xfId="0" applyFont="1" applyFill="1" applyBorder="1" applyAlignment="1" applyProtection="1">
      <alignment horizontal="left"/>
    </xf>
    <xf numFmtId="0" fontId="32" fillId="2" borderId="3" xfId="0" applyFont="1" applyFill="1" applyBorder="1" applyAlignment="1" applyProtection="1"/>
    <xf numFmtId="0" fontId="32" fillId="2" borderId="0" xfId="0" applyFont="1" applyFill="1" applyBorder="1" applyAlignment="1" applyProtection="1"/>
    <xf numFmtId="0" fontId="32" fillId="2" borderId="35" xfId="0" applyFont="1" applyFill="1" applyBorder="1" applyAlignment="1" applyProtection="1"/>
    <xf numFmtId="0" fontId="16" fillId="2" borderId="0" xfId="0" applyFont="1" applyFill="1" applyBorder="1" applyProtection="1"/>
    <xf numFmtId="0" fontId="8" fillId="0" borderId="0" xfId="0" applyFont="1" applyBorder="1" applyProtection="1"/>
    <xf numFmtId="0" fontId="16" fillId="2" borderId="0" xfId="0" applyFont="1" applyFill="1" applyBorder="1" applyAlignment="1" applyProtection="1">
      <alignment horizontal="left"/>
    </xf>
    <xf numFmtId="165" fontId="30" fillId="3" borderId="0" xfId="0" applyNumberFormat="1" applyFont="1" applyFill="1" applyBorder="1" applyAlignment="1" applyProtection="1">
      <alignment vertical="top" wrapText="1"/>
      <protection locked="0"/>
    </xf>
    <xf numFmtId="0" fontId="5" fillId="2" borderId="0" xfId="0" applyFont="1" applyFill="1" applyBorder="1" applyAlignment="1" applyProtection="1">
      <alignment horizontal="right"/>
    </xf>
    <xf numFmtId="0" fontId="5" fillId="2" borderId="0" xfId="0" applyFont="1" applyFill="1" applyBorder="1" applyAlignment="1" applyProtection="1"/>
    <xf numFmtId="165" fontId="30" fillId="3" borderId="35" xfId="0" applyNumberFormat="1" applyFont="1" applyFill="1" applyBorder="1" applyAlignment="1" applyProtection="1">
      <alignment vertical="top" wrapText="1"/>
      <protection locked="0"/>
    </xf>
    <xf numFmtId="165" fontId="30" fillId="3" borderId="103" xfId="0" applyNumberFormat="1" applyFont="1" applyFill="1" applyBorder="1" applyAlignment="1" applyProtection="1">
      <alignment horizontal="left" vertical="top" wrapText="1"/>
      <protection locked="0"/>
    </xf>
    <xf numFmtId="165" fontId="30" fillId="3" borderId="64" xfId="0" applyNumberFormat="1" applyFont="1" applyFill="1" applyBorder="1" applyAlignment="1" applyProtection="1">
      <alignment horizontal="left" vertical="top" wrapText="1"/>
      <protection locked="0"/>
    </xf>
    <xf numFmtId="165" fontId="30" fillId="3" borderId="65" xfId="0" applyNumberFormat="1" applyFont="1" applyFill="1" applyBorder="1" applyAlignment="1" applyProtection="1">
      <alignment horizontal="left" vertical="top" wrapText="1"/>
      <protection locked="0"/>
    </xf>
    <xf numFmtId="0" fontId="36" fillId="0" borderId="0" xfId="0" applyFont="1" applyBorder="1" applyAlignment="1" applyProtection="1"/>
    <xf numFmtId="0" fontId="36" fillId="0" borderId="145" xfId="0" applyFont="1" applyBorder="1" applyProtection="1"/>
    <xf numFmtId="0" fontId="36" fillId="0" borderId="147" xfId="0" applyFont="1" applyBorder="1" applyProtection="1"/>
    <xf numFmtId="0" fontId="5" fillId="0" borderId="148" xfId="0" applyFont="1" applyBorder="1" applyProtection="1"/>
    <xf numFmtId="0" fontId="20" fillId="0" borderId="6" xfId="0" applyFont="1" applyBorder="1" applyAlignment="1" applyProtection="1">
      <alignment vertical="center"/>
    </xf>
    <xf numFmtId="0" fontId="5" fillId="0" borderId="7" xfId="0" applyFont="1" applyBorder="1" applyProtection="1"/>
    <xf numFmtId="0" fontId="5" fillId="0" borderId="36" xfId="0" applyFont="1" applyBorder="1" applyAlignment="1" applyProtection="1">
      <alignment horizontal="left"/>
    </xf>
    <xf numFmtId="0" fontId="5" fillId="2" borderId="3" xfId="0" applyFont="1" applyFill="1" applyBorder="1" applyAlignment="1" applyProtection="1">
      <alignment horizontal="center"/>
    </xf>
    <xf numFmtId="0" fontId="5" fillId="2" borderId="0" xfId="0" applyFont="1" applyFill="1" applyBorder="1" applyAlignment="1" applyProtection="1">
      <alignment horizontal="center"/>
    </xf>
    <xf numFmtId="0" fontId="5" fillId="2" borderId="8" xfId="0" applyFont="1" applyFill="1" applyBorder="1" applyAlignment="1" applyProtection="1">
      <alignment horizontal="center"/>
    </xf>
    <xf numFmtId="0" fontId="5" fillId="2" borderId="0" xfId="0" applyFont="1" applyFill="1" applyBorder="1" applyAlignment="1" applyProtection="1">
      <alignment horizontal="left"/>
    </xf>
    <xf numFmtId="0" fontId="5" fillId="2" borderId="3" xfId="0" applyFont="1" applyFill="1" applyBorder="1" applyAlignment="1" applyProtection="1">
      <alignment vertical="top"/>
    </xf>
    <xf numFmtId="0" fontId="5" fillId="2" borderId="0" xfId="0" applyFont="1" applyFill="1" applyBorder="1" applyAlignment="1" applyProtection="1">
      <alignment vertical="top"/>
    </xf>
    <xf numFmtId="0" fontId="5" fillId="2" borderId="3" xfId="0" applyFont="1" applyFill="1" applyBorder="1" applyAlignment="1" applyProtection="1">
      <alignment horizontal="left" vertical="top"/>
    </xf>
    <xf numFmtId="0" fontId="5" fillId="2" borderId="0" xfId="0" applyFont="1" applyFill="1" applyBorder="1" applyAlignment="1" applyProtection="1">
      <alignment horizontal="left" vertical="top"/>
    </xf>
    <xf numFmtId="0" fontId="5" fillId="2" borderId="103" xfId="0" applyFont="1" applyFill="1" applyBorder="1" applyAlignment="1" applyProtection="1">
      <alignment horizontal="left" vertical="top"/>
    </xf>
    <xf numFmtId="0" fontId="5" fillId="2" borderId="64" xfId="0" applyFont="1" applyFill="1" applyBorder="1" applyAlignment="1" applyProtection="1">
      <alignment horizontal="left" vertical="top"/>
    </xf>
    <xf numFmtId="0" fontId="5" fillId="2" borderId="64" xfId="0" applyFont="1" applyFill="1" applyBorder="1" applyAlignment="1" applyProtection="1">
      <alignment vertical="top"/>
    </xf>
    <xf numFmtId="0" fontId="5" fillId="2" borderId="0" xfId="0" applyFont="1" applyFill="1" applyBorder="1" applyAlignment="1" applyProtection="1">
      <alignment horizontal="right" vertical="top"/>
    </xf>
    <xf numFmtId="0" fontId="5" fillId="2" borderId="64" xfId="0" applyFont="1" applyFill="1" applyBorder="1" applyAlignment="1" applyProtection="1">
      <alignment horizontal="right" vertical="top"/>
    </xf>
    <xf numFmtId="0" fontId="5" fillId="2" borderId="3" xfId="0" applyFont="1" applyFill="1" applyBorder="1" applyProtection="1"/>
    <xf numFmtId="0" fontId="5" fillId="2" borderId="50" xfId="0" applyFont="1" applyFill="1" applyBorder="1" applyProtection="1"/>
    <xf numFmtId="0" fontId="5" fillId="2" borderId="51" xfId="0" applyFont="1" applyFill="1" applyBorder="1" applyProtection="1"/>
    <xf numFmtId="0" fontId="33" fillId="0" borderId="3" xfId="0" applyFont="1" applyFill="1" applyBorder="1" applyAlignment="1" applyProtection="1">
      <alignment horizontal="left" vertical="top"/>
      <protection locked="0"/>
    </xf>
    <xf numFmtId="0" fontId="40" fillId="0" borderId="0" xfId="0" applyFont="1" applyFill="1" applyBorder="1" applyAlignment="1" applyProtection="1">
      <alignment horizontal="left"/>
    </xf>
    <xf numFmtId="0" fontId="33" fillId="0" borderId="0" xfId="0" applyFont="1" applyFill="1" applyBorder="1" applyAlignment="1" applyProtection="1">
      <alignment horizontal="left"/>
    </xf>
    <xf numFmtId="0" fontId="33" fillId="0" borderId="0" xfId="0" applyFont="1" applyFill="1" applyBorder="1" applyAlignment="1" applyProtection="1">
      <alignment horizontal="left" vertical="top" wrapText="1"/>
    </xf>
    <xf numFmtId="0" fontId="33" fillId="0" borderId="3" xfId="0" applyFont="1" applyFill="1" applyBorder="1" applyAlignment="1" applyProtection="1">
      <alignment horizontal="left"/>
    </xf>
    <xf numFmtId="0" fontId="41" fillId="2" borderId="110" xfId="0" applyFont="1" applyFill="1" applyBorder="1" applyAlignment="1">
      <alignment horizontal="center" vertical="center"/>
    </xf>
    <xf numFmtId="0" fontId="35" fillId="2" borderId="111" xfId="2" applyFont="1" applyFill="1" applyBorder="1" applyAlignment="1" applyProtection="1">
      <alignment horizontal="center" vertical="center" wrapText="1"/>
      <protection locked="0"/>
    </xf>
    <xf numFmtId="0" fontId="35" fillId="2" borderId="112" xfId="2" applyFont="1" applyFill="1" applyBorder="1" applyAlignment="1" applyProtection="1">
      <alignment horizontal="center" vertical="center" wrapText="1"/>
      <protection locked="0"/>
    </xf>
    <xf numFmtId="0" fontId="35" fillId="2" borderId="113" xfId="2" applyFont="1" applyFill="1" applyBorder="1" applyAlignment="1" applyProtection="1">
      <alignment horizontal="center" vertical="center" wrapText="1"/>
      <protection locked="0"/>
    </xf>
    <xf numFmtId="0" fontId="16" fillId="2" borderId="105" xfId="0" applyFont="1" applyFill="1" applyBorder="1" applyProtection="1"/>
    <xf numFmtId="0" fontId="5" fillId="2" borderId="0" xfId="0" applyFont="1" applyFill="1" applyBorder="1" applyAlignment="1" applyProtection="1">
      <alignment vertical="center"/>
      <protection locked="0"/>
    </xf>
    <xf numFmtId="14" fontId="5" fillId="2" borderId="0" xfId="0" applyNumberFormat="1" applyFont="1" applyFill="1" applyBorder="1" applyAlignment="1" applyProtection="1">
      <alignment vertical="center"/>
      <protection locked="0"/>
    </xf>
    <xf numFmtId="14" fontId="5" fillId="2" borderId="54" xfId="0" applyNumberFormat="1" applyFont="1" applyFill="1" applyBorder="1" applyAlignment="1" applyProtection="1">
      <alignment horizontal="right" vertical="center"/>
      <protection locked="0"/>
    </xf>
    <xf numFmtId="0" fontId="5" fillId="2" borderId="59" xfId="0" applyFont="1" applyFill="1" applyBorder="1" applyProtection="1"/>
    <xf numFmtId="0" fontId="5" fillId="2" borderId="58" xfId="0" applyFont="1" applyFill="1" applyBorder="1" applyAlignment="1" applyProtection="1">
      <alignment vertical="top"/>
    </xf>
    <xf numFmtId="0" fontId="5" fillId="2" borderId="3" xfId="0" applyFont="1" applyFill="1" applyBorder="1" applyAlignment="1" applyProtection="1">
      <alignment horizontal="left"/>
    </xf>
    <xf numFmtId="0" fontId="5" fillId="2" borderId="0" xfId="0" applyFont="1" applyFill="1" applyBorder="1" applyAlignment="1" applyProtection="1">
      <alignment horizontal="right"/>
      <protection locked="0"/>
    </xf>
    <xf numFmtId="0" fontId="5" fillId="2" borderId="0" xfId="0" applyFont="1" applyFill="1" applyBorder="1" applyAlignment="1" applyProtection="1">
      <protection locked="0"/>
    </xf>
    <xf numFmtId="0" fontId="5" fillId="2" borderId="0" xfId="0" applyFont="1" applyFill="1" applyBorder="1" applyAlignment="1" applyProtection="1">
      <alignment horizontal="left" vertical="center"/>
    </xf>
    <xf numFmtId="0" fontId="5" fillId="3" borderId="3" xfId="0" applyFont="1" applyFill="1" applyBorder="1" applyAlignment="1" applyProtection="1"/>
    <xf numFmtId="0" fontId="5" fillId="3" borderId="0" xfId="0" applyFont="1" applyFill="1" applyBorder="1" applyAlignment="1" applyProtection="1"/>
    <xf numFmtId="0" fontId="5" fillId="3" borderId="0" xfId="0" applyFont="1" applyFill="1" applyBorder="1" applyAlignment="1" applyProtection="1">
      <alignment horizontal="left"/>
      <protection locked="0"/>
    </xf>
    <xf numFmtId="0" fontId="5" fillId="2" borderId="52" xfId="0" applyFont="1" applyFill="1" applyBorder="1" applyAlignment="1" applyProtection="1">
      <alignment horizontal="right" vertical="center"/>
      <protection locked="0"/>
    </xf>
    <xf numFmtId="0" fontId="16" fillId="2" borderId="159" xfId="0" applyFont="1" applyFill="1" applyBorder="1" applyProtection="1"/>
    <xf numFmtId="0" fontId="16" fillId="2" borderId="160" xfId="0" applyFont="1" applyFill="1" applyBorder="1" applyProtection="1"/>
    <xf numFmtId="0" fontId="5" fillId="2" borderId="160" xfId="0" applyFont="1" applyFill="1" applyBorder="1" applyProtection="1"/>
    <xf numFmtId="0" fontId="5" fillId="2" borderId="160" xfId="0" applyFont="1" applyFill="1" applyBorder="1" applyAlignment="1" applyProtection="1">
      <alignment horizontal="right"/>
    </xf>
    <xf numFmtId="0" fontId="5" fillId="2" borderId="160" xfId="0" applyFont="1" applyFill="1" applyBorder="1" applyAlignment="1" applyProtection="1"/>
    <xf numFmtId="0" fontId="5" fillId="2" borderId="161" xfId="0" applyFont="1" applyFill="1" applyBorder="1" applyAlignment="1" applyProtection="1"/>
    <xf numFmtId="0" fontId="16" fillId="2" borderId="0" xfId="0" applyFont="1" applyFill="1" applyBorder="1" applyAlignment="1" applyProtection="1">
      <alignment horizontal="left" vertical="top"/>
    </xf>
    <xf numFmtId="0" fontId="16" fillId="2" borderId="159" xfId="0" applyFont="1" applyFill="1" applyBorder="1" applyAlignment="1" applyProtection="1">
      <alignment horizontal="left"/>
    </xf>
    <xf numFmtId="0" fontId="19" fillId="2" borderId="160" xfId="0" applyFont="1" applyFill="1" applyBorder="1" applyProtection="1"/>
    <xf numFmtId="0" fontId="21" fillId="2" borderId="160" xfId="0" applyFont="1" applyFill="1" applyBorder="1" applyAlignment="1" applyProtection="1">
      <alignment horizontal="right"/>
    </xf>
    <xf numFmtId="0" fontId="5" fillId="2" borderId="161" xfId="0" applyFont="1" applyFill="1" applyBorder="1" applyProtection="1"/>
    <xf numFmtId="0" fontId="19" fillId="2" borderId="161" xfId="0" applyFont="1" applyFill="1" applyBorder="1" applyProtection="1"/>
    <xf numFmtId="0" fontId="28" fillId="0" borderId="0" xfId="11"/>
    <xf numFmtId="0" fontId="28" fillId="0" borderId="0" xfId="11" applyBorder="1"/>
    <xf numFmtId="0" fontId="45" fillId="0" borderId="0" xfId="11" applyFont="1" applyBorder="1"/>
    <xf numFmtId="0" fontId="28" fillId="0" borderId="32" xfId="11" applyBorder="1"/>
    <xf numFmtId="0" fontId="28" fillId="0" borderId="31" xfId="11" applyBorder="1"/>
    <xf numFmtId="0" fontId="28" fillId="0" borderId="30" xfId="11" applyBorder="1"/>
    <xf numFmtId="0" fontId="28" fillId="0" borderId="5" xfId="11" applyBorder="1"/>
    <xf numFmtId="0" fontId="45" fillId="0" borderId="0" xfId="11" applyFont="1" applyBorder="1" applyAlignment="1">
      <alignment horizontal="left"/>
    </xf>
    <xf numFmtId="1" fontId="46" fillId="9" borderId="163" xfId="11" applyNumberFormat="1" applyFont="1" applyFill="1" applyBorder="1" applyAlignment="1">
      <alignment horizontal="left" vertical="center"/>
    </xf>
    <xf numFmtId="0" fontId="45" fillId="0" borderId="0" xfId="11" applyFont="1" applyBorder="1" applyAlignment="1">
      <alignment horizontal="center"/>
    </xf>
    <xf numFmtId="167" fontId="46" fillId="9" borderId="163" xfId="12" applyNumberFormat="1" applyFont="1" applyFill="1" applyBorder="1" applyAlignment="1">
      <alignment horizontal="right" vertical="center"/>
    </xf>
    <xf numFmtId="164" fontId="45" fillId="0" borderId="0" xfId="12" applyFont="1" applyBorder="1" applyAlignment="1">
      <alignment horizontal="left"/>
    </xf>
    <xf numFmtId="168" fontId="28" fillId="0" borderId="0" xfId="11" applyNumberFormat="1" applyBorder="1"/>
    <xf numFmtId="0" fontId="28" fillId="0" borderId="9" xfId="11" applyBorder="1"/>
    <xf numFmtId="168" fontId="45" fillId="0" borderId="0" xfId="11" applyNumberFormat="1" applyFont="1" applyBorder="1"/>
    <xf numFmtId="10" fontId="45" fillId="0" borderId="0" xfId="11" applyNumberFormat="1" applyFont="1" applyBorder="1"/>
    <xf numFmtId="0" fontId="28" fillId="0" borderId="164" xfId="11" applyBorder="1"/>
    <xf numFmtId="0" fontId="49" fillId="0" borderId="165" xfId="11" applyFont="1" applyBorder="1"/>
    <xf numFmtId="0" fontId="28" fillId="0" borderId="0" xfId="11" applyBorder="1" applyAlignment="1">
      <alignment vertical="center"/>
    </xf>
    <xf numFmtId="164" fontId="28" fillId="0" borderId="0" xfId="12" applyFont="1" applyBorder="1" applyAlignment="1">
      <alignment vertical="center"/>
    </xf>
    <xf numFmtId="0" fontId="28" fillId="0" borderId="5" xfId="11" applyBorder="1" applyAlignment="1">
      <alignment horizontal="left"/>
    </xf>
    <xf numFmtId="0" fontId="46" fillId="9" borderId="163" xfId="11" applyFont="1" applyFill="1" applyBorder="1" applyAlignment="1">
      <alignment horizontal="right"/>
    </xf>
    <xf numFmtId="0" fontId="50" fillId="0" borderId="0" xfId="11" applyFont="1" applyBorder="1"/>
    <xf numFmtId="0" fontId="49" fillId="0" borderId="163" xfId="11" applyFont="1" applyBorder="1"/>
    <xf numFmtId="0" fontId="28" fillId="10" borderId="5" xfId="11" applyFill="1" applyBorder="1"/>
    <xf numFmtId="0" fontId="28" fillId="10" borderId="0" xfId="11" applyFill="1" applyBorder="1"/>
    <xf numFmtId="0" fontId="45" fillId="10" borderId="0" xfId="11" applyFont="1" applyFill="1" applyBorder="1"/>
    <xf numFmtId="0" fontId="28" fillId="10" borderId="9" xfId="11" applyFill="1" applyBorder="1"/>
    <xf numFmtId="0" fontId="28" fillId="0" borderId="2" xfId="11" applyBorder="1"/>
    <xf numFmtId="0" fontId="28" fillId="0" borderId="1" xfId="11" applyBorder="1"/>
    <xf numFmtId="0" fontId="45" fillId="0" borderId="1" xfId="11" applyFont="1" applyBorder="1"/>
    <xf numFmtId="0" fontId="51" fillId="0" borderId="33" xfId="11" applyFont="1" applyBorder="1"/>
    <xf numFmtId="0" fontId="45" fillId="0" borderId="0" xfId="11" applyFont="1"/>
    <xf numFmtId="0" fontId="51" fillId="0" borderId="0" xfId="11" applyFont="1" applyBorder="1" applyAlignment="1">
      <alignment horizontal="left"/>
    </xf>
    <xf numFmtId="0" fontId="45" fillId="0" borderId="32" xfId="11" applyFont="1" applyBorder="1"/>
    <xf numFmtId="0" fontId="45" fillId="0" borderId="31" xfId="11" applyFont="1" applyBorder="1"/>
    <xf numFmtId="0" fontId="45" fillId="0" borderId="5" xfId="11" applyFont="1" applyBorder="1"/>
    <xf numFmtId="10" fontId="45" fillId="11" borderId="163" xfId="11" applyNumberFormat="1" applyFont="1" applyFill="1" applyBorder="1"/>
    <xf numFmtId="0" fontId="45" fillId="0" borderId="0" xfId="11" applyFont="1" applyFill="1" applyBorder="1"/>
    <xf numFmtId="0" fontId="45" fillId="11" borderId="163" xfId="11" applyFont="1" applyFill="1" applyBorder="1"/>
    <xf numFmtId="0" fontId="51" fillId="0" borderId="0" xfId="11" applyFont="1"/>
    <xf numFmtId="0" fontId="49" fillId="0" borderId="0" xfId="11" applyFont="1"/>
    <xf numFmtId="0" fontId="55" fillId="0" borderId="0" xfId="11" applyFont="1"/>
    <xf numFmtId="0" fontId="56" fillId="0" borderId="0" xfId="11" applyFont="1"/>
    <xf numFmtId="0" fontId="12" fillId="2" borderId="10" xfId="0" applyFont="1" applyFill="1" applyBorder="1" applyAlignment="1">
      <alignment horizontal="left" vertical="center"/>
    </xf>
    <xf numFmtId="0" fontId="12" fillId="2" borderId="0" xfId="0" applyFont="1" applyFill="1" applyBorder="1" applyAlignment="1">
      <alignment horizontal="left" vertical="center"/>
    </xf>
    <xf numFmtId="0" fontId="12" fillId="2" borderId="4" xfId="0" applyFont="1" applyFill="1" applyBorder="1" applyAlignment="1">
      <alignment horizontal="left" vertical="center"/>
    </xf>
    <xf numFmtId="0" fontId="30" fillId="4" borderId="72" xfId="7" applyFont="1" applyFill="1" applyBorder="1" applyAlignment="1" applyProtection="1">
      <alignment horizontal="left" vertical="top" wrapText="1"/>
      <protection locked="0"/>
    </xf>
    <xf numFmtId="0" fontId="33" fillId="4" borderId="167" xfId="7" applyFont="1" applyFill="1" applyBorder="1" applyAlignment="1" applyProtection="1">
      <alignment horizontal="center" vertical="top" wrapText="1"/>
      <protection locked="0"/>
    </xf>
    <xf numFmtId="0" fontId="33" fillId="4" borderId="71" xfId="7" applyFont="1" applyFill="1" applyBorder="1" applyAlignment="1" applyProtection="1">
      <alignment horizontal="center" vertical="top" wrapText="1"/>
      <protection locked="0"/>
    </xf>
    <xf numFmtId="0" fontId="33" fillId="4" borderId="168" xfId="7" applyFont="1" applyFill="1" applyBorder="1" applyAlignment="1" applyProtection="1">
      <alignment horizontal="center" vertical="top" wrapText="1"/>
      <protection locked="0"/>
    </xf>
    <xf numFmtId="0" fontId="33" fillId="4" borderId="10" xfId="7" applyFont="1" applyFill="1" applyBorder="1" applyAlignment="1" applyProtection="1">
      <alignment horizontal="center" vertical="top" wrapText="1"/>
      <protection locked="0"/>
    </xf>
    <xf numFmtId="0" fontId="33" fillId="4" borderId="0" xfId="7" applyFont="1" applyFill="1" applyBorder="1" applyAlignment="1" applyProtection="1">
      <alignment horizontal="center" vertical="top" wrapText="1"/>
      <protection locked="0"/>
    </xf>
    <xf numFmtId="0" fontId="33" fillId="4" borderId="4" xfId="7" applyFont="1" applyFill="1" applyBorder="1" applyAlignment="1" applyProtection="1">
      <alignment horizontal="center" vertical="top" wrapText="1"/>
      <protection locked="0"/>
    </xf>
    <xf numFmtId="0" fontId="33" fillId="4" borderId="134" xfId="7" applyFont="1" applyFill="1" applyBorder="1" applyAlignment="1" applyProtection="1">
      <alignment horizontal="center" vertical="top" wrapText="1"/>
      <protection locked="0"/>
    </xf>
    <xf numFmtId="0" fontId="33" fillId="4" borderId="70" xfId="7" applyFont="1" applyFill="1" applyBorder="1" applyAlignment="1" applyProtection="1">
      <alignment horizontal="center" vertical="top" wrapText="1"/>
      <protection locked="0"/>
    </xf>
    <xf numFmtId="0" fontId="33" fillId="4" borderId="135" xfId="7" applyFont="1" applyFill="1" applyBorder="1" applyAlignment="1" applyProtection="1">
      <alignment horizontal="center" vertical="top" wrapText="1"/>
      <protection locked="0"/>
    </xf>
    <xf numFmtId="14" fontId="33" fillId="4" borderId="88" xfId="7" applyNumberFormat="1" applyFont="1" applyFill="1" applyBorder="1" applyAlignment="1" applyProtection="1">
      <alignment horizontal="center" vertical="center" wrapText="1"/>
      <protection locked="0"/>
    </xf>
    <xf numFmtId="0" fontId="33" fillId="4" borderId="74" xfId="7" applyFont="1" applyFill="1" applyBorder="1" applyAlignment="1" applyProtection="1">
      <alignment horizontal="center" vertical="center" wrapText="1"/>
      <protection locked="0"/>
    </xf>
    <xf numFmtId="0" fontId="33" fillId="4" borderId="137" xfId="7" applyFont="1" applyFill="1" applyBorder="1" applyAlignment="1" applyProtection="1">
      <alignment horizontal="center" vertical="center" wrapText="1"/>
      <protection locked="0"/>
    </xf>
    <xf numFmtId="0" fontId="33" fillId="4" borderId="90" xfId="7" applyFont="1" applyFill="1" applyBorder="1" applyAlignment="1" applyProtection="1">
      <alignment horizontal="center" vertical="top" wrapText="1"/>
      <protection locked="0"/>
    </xf>
    <xf numFmtId="0" fontId="33" fillId="4" borderId="68" xfId="7" applyFont="1" applyFill="1" applyBorder="1" applyAlignment="1" applyProtection="1">
      <alignment horizontal="center" vertical="top" wrapText="1"/>
      <protection locked="0"/>
    </xf>
    <xf numFmtId="0" fontId="33" fillId="4" borderId="138" xfId="7" applyFont="1" applyFill="1" applyBorder="1" applyAlignment="1" applyProtection="1">
      <alignment horizontal="center" vertical="top" wrapText="1"/>
      <protection locked="0"/>
    </xf>
    <xf numFmtId="16" fontId="33" fillId="4" borderId="49" xfId="7" applyNumberFormat="1" applyFont="1" applyFill="1" applyBorder="1" applyAlignment="1" applyProtection="1">
      <alignment horizontal="left" vertical="top" wrapText="1"/>
      <protection locked="0"/>
    </xf>
    <xf numFmtId="16" fontId="33" fillId="4" borderId="0" xfId="7" applyNumberFormat="1" applyFont="1" applyFill="1" applyBorder="1" applyAlignment="1" applyProtection="1">
      <alignment horizontal="left" vertical="top" wrapText="1"/>
      <protection locked="0"/>
    </xf>
    <xf numFmtId="16" fontId="33" fillId="4" borderId="48" xfId="7" applyNumberFormat="1" applyFont="1" applyFill="1" applyBorder="1" applyAlignment="1" applyProtection="1">
      <alignment horizontal="left" vertical="top" wrapText="1"/>
      <protection locked="0"/>
    </xf>
    <xf numFmtId="0" fontId="21" fillId="3" borderId="48" xfId="0" applyFont="1" applyFill="1" applyBorder="1" applyAlignment="1" applyProtection="1">
      <alignment horizontal="left" vertical="top" wrapText="1"/>
      <protection locked="0"/>
    </xf>
    <xf numFmtId="0" fontId="5" fillId="2" borderId="3"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38" fillId="3" borderId="46" xfId="1" applyFont="1" applyFill="1" applyBorder="1" applyAlignment="1" applyProtection="1">
      <alignment vertical="top" wrapText="1"/>
      <protection locked="0"/>
    </xf>
    <xf numFmtId="0" fontId="33" fillId="4" borderId="156" xfId="7" applyFont="1" applyFill="1" applyBorder="1" applyAlignment="1" applyProtection="1">
      <alignment horizontal="left" vertical="top" wrapText="1"/>
      <protection locked="0"/>
    </xf>
    <xf numFmtId="0" fontId="33" fillId="4" borderId="157" xfId="7" applyFont="1" applyFill="1" applyBorder="1" applyAlignment="1" applyProtection="1">
      <alignment horizontal="left" vertical="top" wrapText="1"/>
      <protection locked="0"/>
    </xf>
    <xf numFmtId="0" fontId="33" fillId="4" borderId="158" xfId="7" applyFont="1" applyFill="1" applyBorder="1" applyAlignment="1" applyProtection="1">
      <alignment horizontal="left" vertical="top" wrapText="1"/>
      <protection locked="0"/>
    </xf>
    <xf numFmtId="0" fontId="44" fillId="2" borderId="27" xfId="2" applyFont="1" applyFill="1" applyBorder="1" applyAlignment="1">
      <alignment horizontal="center" vertical="center" wrapText="1"/>
    </xf>
    <xf numFmtId="0" fontId="44" fillId="2" borderId="136" xfId="2" applyFont="1" applyFill="1" applyBorder="1" applyAlignment="1">
      <alignment horizontal="center" vertical="center" wrapText="1"/>
    </xf>
    <xf numFmtId="0" fontId="5" fillId="4" borderId="90" xfId="7" applyFont="1" applyFill="1" applyBorder="1" applyAlignment="1" applyProtection="1">
      <alignment horizontal="center" vertical="top" wrapText="1"/>
      <protection locked="0"/>
    </xf>
    <xf numFmtId="0" fontId="5" fillId="4" borderId="138" xfId="7" applyFont="1" applyFill="1" applyBorder="1" applyAlignment="1" applyProtection="1">
      <alignment horizontal="center" vertical="top" wrapText="1"/>
      <protection locked="0"/>
    </xf>
    <xf numFmtId="0" fontId="5" fillId="4" borderId="93" xfId="7" applyFont="1" applyFill="1" applyBorder="1" applyAlignment="1" applyProtection="1">
      <alignment horizontal="center" vertical="top" wrapText="1"/>
      <protection locked="0"/>
    </xf>
    <xf numFmtId="0" fontId="5" fillId="4" borderId="139" xfId="7" applyFont="1" applyFill="1" applyBorder="1" applyAlignment="1" applyProtection="1">
      <alignment horizontal="center" vertical="top" wrapText="1"/>
      <protection locked="0"/>
    </xf>
    <xf numFmtId="9" fontId="5" fillId="4" borderId="42" xfId="7" applyNumberFormat="1" applyFont="1" applyFill="1" applyBorder="1" applyAlignment="1" applyProtection="1">
      <alignment horizontal="center" vertical="top" wrapText="1"/>
      <protection locked="0"/>
    </xf>
    <xf numFmtId="0" fontId="5" fillId="4" borderId="43" xfId="7" applyFont="1" applyFill="1" applyBorder="1" applyAlignment="1" applyProtection="1">
      <alignment horizontal="center" vertical="top" wrapText="1"/>
      <protection locked="0"/>
    </xf>
    <xf numFmtId="0" fontId="5" fillId="4" borderId="10" xfId="7" applyFont="1" applyFill="1" applyBorder="1" applyAlignment="1" applyProtection="1">
      <alignment horizontal="center" vertical="top" wrapText="1"/>
      <protection locked="0"/>
    </xf>
    <xf numFmtId="0" fontId="5" fillId="4" borderId="4" xfId="7" applyFont="1" applyFill="1" applyBorder="1" applyAlignment="1" applyProtection="1">
      <alignment horizontal="center" vertical="top" wrapText="1"/>
      <protection locked="0"/>
    </xf>
    <xf numFmtId="0" fontId="5" fillId="4" borderId="134" xfId="7" applyFont="1" applyFill="1" applyBorder="1" applyAlignment="1" applyProtection="1">
      <alignment horizontal="center" vertical="top" wrapText="1"/>
      <protection locked="0"/>
    </xf>
    <xf numFmtId="0" fontId="5" fillId="4" borderId="135" xfId="7" applyFont="1" applyFill="1" applyBorder="1" applyAlignment="1" applyProtection="1">
      <alignment horizontal="center" vertical="top" wrapText="1"/>
      <protection locked="0"/>
    </xf>
    <xf numFmtId="0" fontId="33" fillId="4" borderId="146" xfId="7" applyFont="1" applyFill="1" applyBorder="1" applyAlignment="1" applyProtection="1">
      <alignment horizontal="left" vertical="top" wrapText="1"/>
      <protection locked="0"/>
    </xf>
    <xf numFmtId="0" fontId="33" fillId="4" borderId="148" xfId="7" applyFont="1" applyFill="1" applyBorder="1" applyAlignment="1" applyProtection="1">
      <alignment horizontal="left" vertical="top" wrapText="1"/>
      <protection locked="0"/>
    </xf>
    <xf numFmtId="0" fontId="21" fillId="3" borderId="6" xfId="0" applyFont="1" applyFill="1" applyBorder="1" applyAlignment="1" applyProtection="1">
      <alignment vertical="top" wrapText="1"/>
      <protection locked="0"/>
    </xf>
    <xf numFmtId="0" fontId="21" fillId="3" borderId="7" xfId="0" applyFont="1" applyFill="1" applyBorder="1" applyAlignment="1" applyProtection="1">
      <alignment vertical="top" wrapText="1"/>
      <protection locked="0"/>
    </xf>
    <xf numFmtId="0" fontId="33" fillId="4" borderId="50" xfId="7" applyFont="1" applyFill="1" applyBorder="1" applyAlignment="1" applyProtection="1">
      <alignment horizontal="left" vertical="top" wrapText="1"/>
      <protection locked="0"/>
    </xf>
    <xf numFmtId="0" fontId="33" fillId="4" borderId="162" xfId="7" applyFont="1" applyFill="1" applyBorder="1" applyAlignment="1" applyProtection="1">
      <alignment horizontal="left" vertical="top" wrapText="1"/>
      <protection locked="0"/>
    </xf>
    <xf numFmtId="0" fontId="5" fillId="4" borderId="94" xfId="7" applyFont="1" applyFill="1" applyBorder="1" applyAlignment="1" applyProtection="1">
      <alignment horizontal="center" vertical="top" wrapText="1"/>
      <protection locked="0"/>
    </xf>
    <xf numFmtId="0" fontId="5" fillId="4" borderId="42" xfId="7" applyFont="1" applyFill="1" applyBorder="1" applyAlignment="1" applyProtection="1">
      <alignment horizontal="left" vertical="top" wrapText="1"/>
      <protection locked="0"/>
    </xf>
    <xf numFmtId="0" fontId="5" fillId="4" borderId="40" xfId="7" applyFont="1" applyFill="1" applyBorder="1" applyAlignment="1" applyProtection="1">
      <alignment horizontal="left" vertical="top" wrapText="1"/>
      <protection locked="0"/>
    </xf>
    <xf numFmtId="0" fontId="5" fillId="4" borderId="43" xfId="7" applyFont="1" applyFill="1" applyBorder="1" applyAlignment="1" applyProtection="1">
      <alignment horizontal="left" vertical="top" wrapText="1"/>
      <protection locked="0"/>
    </xf>
    <xf numFmtId="0" fontId="5" fillId="4" borderId="10" xfId="7" applyFont="1" applyFill="1" applyBorder="1" applyAlignment="1" applyProtection="1">
      <alignment horizontal="left" vertical="top" wrapText="1"/>
      <protection locked="0"/>
    </xf>
    <xf numFmtId="0" fontId="5" fillId="4" borderId="0" xfId="7" applyFont="1" applyFill="1" applyBorder="1" applyAlignment="1" applyProtection="1">
      <alignment horizontal="left" vertical="top" wrapText="1"/>
      <protection locked="0"/>
    </xf>
    <xf numFmtId="0" fontId="5" fillId="4" borderId="4" xfId="7" applyFont="1" applyFill="1" applyBorder="1" applyAlignment="1" applyProtection="1">
      <alignment horizontal="left" vertical="top" wrapText="1"/>
      <protection locked="0"/>
    </xf>
    <xf numFmtId="0" fontId="5" fillId="4" borderId="44" xfId="7" applyFont="1" applyFill="1" applyBorder="1" applyAlignment="1" applyProtection="1">
      <alignment horizontal="left" vertical="top" wrapText="1"/>
      <protection locked="0"/>
    </xf>
    <xf numFmtId="0" fontId="5" fillId="4" borderId="39" xfId="7" applyFont="1" applyFill="1" applyBorder="1" applyAlignment="1" applyProtection="1">
      <alignment horizontal="left" vertical="top" wrapText="1"/>
      <protection locked="0"/>
    </xf>
    <xf numFmtId="0" fontId="5" fillId="4" borderId="41" xfId="7" applyFont="1" applyFill="1" applyBorder="1" applyAlignment="1" applyProtection="1">
      <alignment horizontal="left" vertical="top" wrapText="1"/>
      <protection locked="0"/>
    </xf>
    <xf numFmtId="0" fontId="33" fillId="4" borderId="151" xfId="7" applyFont="1" applyFill="1" applyBorder="1" applyAlignment="1" applyProtection="1">
      <alignment horizontal="left" vertical="top" wrapText="1"/>
      <protection locked="0"/>
    </xf>
    <xf numFmtId="0" fontId="33" fillId="4" borderId="96" xfId="7" applyFont="1" applyFill="1" applyBorder="1" applyAlignment="1" applyProtection="1">
      <alignment horizontal="left" vertical="top" wrapText="1"/>
      <protection locked="0"/>
    </xf>
    <xf numFmtId="0" fontId="33" fillId="4" borderId="152" xfId="7" applyFont="1" applyFill="1" applyBorder="1" applyAlignment="1" applyProtection="1">
      <alignment horizontal="left" vertical="top" wrapText="1"/>
      <protection locked="0"/>
    </xf>
    <xf numFmtId="0" fontId="33" fillId="4" borderId="149" xfId="7" applyFont="1" applyFill="1" applyBorder="1" applyAlignment="1" applyProtection="1">
      <alignment horizontal="left" vertical="top" wrapText="1"/>
      <protection locked="0"/>
    </xf>
    <xf numFmtId="0" fontId="33" fillId="4" borderId="76" xfId="7" applyFont="1" applyFill="1" applyBorder="1" applyAlignment="1" applyProtection="1">
      <alignment horizontal="left" vertical="top" wrapText="1"/>
      <protection locked="0"/>
    </xf>
    <xf numFmtId="0" fontId="33" fillId="4" borderId="144" xfId="7" applyFont="1" applyFill="1" applyBorder="1" applyAlignment="1" applyProtection="1">
      <alignment horizontal="left" vertical="top" wrapText="1"/>
      <protection locked="0"/>
    </xf>
    <xf numFmtId="0" fontId="33" fillId="4" borderId="150" xfId="7" applyFont="1" applyFill="1" applyBorder="1" applyAlignment="1" applyProtection="1">
      <alignment horizontal="left" vertical="top" wrapText="1"/>
      <protection locked="0"/>
    </xf>
    <xf numFmtId="0" fontId="33" fillId="4" borderId="70" xfId="7" applyFont="1" applyFill="1" applyBorder="1" applyAlignment="1" applyProtection="1">
      <alignment horizontal="left" vertical="top" wrapText="1"/>
      <protection locked="0"/>
    </xf>
    <xf numFmtId="0" fontId="33" fillId="4" borderId="143" xfId="7" applyFont="1" applyFill="1" applyBorder="1" applyAlignment="1" applyProtection="1">
      <alignment horizontal="left" vertical="top" wrapText="1"/>
      <protection locked="0"/>
    </xf>
    <xf numFmtId="0" fontId="5" fillId="4" borderId="93" xfId="7" applyFont="1" applyFill="1" applyBorder="1" applyAlignment="1" applyProtection="1">
      <alignment horizontal="left" vertical="top" wrapText="1"/>
      <protection locked="0"/>
    </xf>
    <xf numFmtId="0" fontId="5" fillId="4" borderId="94" xfId="7" applyFont="1" applyFill="1" applyBorder="1" applyAlignment="1" applyProtection="1">
      <alignment horizontal="left" vertical="top" wrapText="1"/>
      <protection locked="0"/>
    </xf>
    <xf numFmtId="0" fontId="44" fillId="2" borderId="29" xfId="2" applyFont="1" applyFill="1" applyBorder="1" applyAlignment="1">
      <alignment horizontal="center" vertical="center" wrapText="1"/>
    </xf>
    <xf numFmtId="0" fontId="5" fillId="4" borderId="88" xfId="7" applyFont="1" applyFill="1" applyBorder="1" applyAlignment="1" applyProtection="1">
      <alignment horizontal="left" vertical="top" wrapText="1"/>
      <protection locked="0"/>
    </xf>
    <xf numFmtId="0" fontId="5" fillId="4" borderId="89" xfId="7" applyFont="1" applyFill="1" applyBorder="1" applyAlignment="1" applyProtection="1">
      <alignment horizontal="left" vertical="top" wrapText="1"/>
      <protection locked="0"/>
    </xf>
    <xf numFmtId="0" fontId="5" fillId="4" borderId="90" xfId="7" applyFont="1" applyFill="1" applyBorder="1" applyAlignment="1" applyProtection="1">
      <alignment horizontal="left" vertical="top" wrapText="1"/>
      <protection locked="0"/>
    </xf>
    <xf numFmtId="0" fontId="5" fillId="4" borderId="77" xfId="7" applyFont="1" applyFill="1" applyBorder="1" applyAlignment="1" applyProtection="1">
      <alignment horizontal="left" vertical="top" wrapText="1"/>
      <protection locked="0"/>
    </xf>
    <xf numFmtId="165" fontId="39" fillId="3" borderId="0" xfId="0" applyNumberFormat="1" applyFont="1" applyFill="1" applyBorder="1" applyAlignment="1" applyProtection="1">
      <alignment horizontal="center" vertical="top"/>
      <protection locked="0"/>
    </xf>
    <xf numFmtId="0" fontId="33" fillId="4" borderId="72" xfId="7" applyFont="1" applyFill="1" applyBorder="1" applyAlignment="1" applyProtection="1">
      <alignment horizontal="left" vertical="top" wrapText="1"/>
      <protection locked="0"/>
    </xf>
    <xf numFmtId="0" fontId="21" fillId="3" borderId="3" xfId="0" applyFont="1" applyFill="1" applyBorder="1" applyAlignment="1" applyProtection="1">
      <alignment vertical="top" wrapText="1"/>
      <protection locked="0"/>
    </xf>
    <xf numFmtId="0" fontId="21" fillId="3" borderId="0" xfId="0" applyFont="1" applyFill="1" applyBorder="1" applyAlignment="1" applyProtection="1">
      <alignment vertical="top" wrapText="1"/>
      <protection locked="0"/>
    </xf>
    <xf numFmtId="9" fontId="33" fillId="4" borderId="82" xfId="7" applyNumberFormat="1" applyFont="1" applyFill="1" applyBorder="1" applyAlignment="1" applyProtection="1">
      <alignment horizontal="left" vertical="center" wrapText="1"/>
      <protection locked="0"/>
    </xf>
    <xf numFmtId="0" fontId="33" fillId="4" borderId="82" xfId="7" applyFont="1" applyFill="1" applyBorder="1" applyAlignment="1" applyProtection="1">
      <alignment horizontal="left" vertical="center" wrapText="1"/>
      <protection locked="0"/>
    </xf>
    <xf numFmtId="0" fontId="33" fillId="4" borderId="83" xfId="7" applyFont="1" applyFill="1" applyBorder="1" applyAlignment="1" applyProtection="1">
      <alignment horizontal="left" vertical="center" wrapText="1"/>
      <protection locked="0"/>
    </xf>
    <xf numFmtId="0" fontId="42" fillId="2" borderId="81" xfId="2" applyFont="1" applyFill="1" applyBorder="1" applyAlignment="1">
      <alignment horizontal="center" vertical="center" wrapText="1"/>
    </xf>
    <xf numFmtId="0" fontId="42" fillId="2" borderId="78" xfId="2" applyFont="1" applyFill="1" applyBorder="1" applyAlignment="1">
      <alignment horizontal="center" vertical="center"/>
    </xf>
    <xf numFmtId="0" fontId="33" fillId="4" borderId="174" xfId="7" applyFont="1" applyFill="1" applyBorder="1" applyAlignment="1" applyProtection="1">
      <alignment horizontal="left" vertical="center" wrapText="1"/>
      <protection locked="0"/>
    </xf>
    <xf numFmtId="0" fontId="33" fillId="4" borderId="173" xfId="7" applyFont="1" applyFill="1" applyBorder="1" applyAlignment="1" applyProtection="1">
      <alignment horizontal="left" vertical="center" wrapText="1"/>
      <protection locked="0"/>
    </xf>
    <xf numFmtId="0" fontId="33" fillId="4" borderId="84" xfId="7" applyFont="1" applyFill="1" applyBorder="1" applyAlignment="1" applyProtection="1">
      <alignment horizontal="left" vertical="top" wrapText="1"/>
      <protection locked="0"/>
    </xf>
    <xf numFmtId="0" fontId="33" fillId="4" borderId="172" xfId="7" applyFont="1" applyFill="1" applyBorder="1" applyAlignment="1" applyProtection="1">
      <alignment horizontal="left" vertical="center" wrapText="1"/>
      <protection locked="0"/>
    </xf>
    <xf numFmtId="14" fontId="33" fillId="4" borderId="169" xfId="7" applyNumberFormat="1" applyFont="1" applyFill="1" applyBorder="1" applyAlignment="1" applyProtection="1">
      <alignment horizontal="left" vertical="top" wrapText="1"/>
      <protection locked="0"/>
    </xf>
    <xf numFmtId="14" fontId="33" fillId="4" borderId="170" xfId="7" applyNumberFormat="1" applyFont="1" applyFill="1" applyBorder="1" applyAlignment="1" applyProtection="1">
      <alignment horizontal="left" vertical="top" wrapText="1"/>
      <protection locked="0"/>
    </xf>
    <xf numFmtId="0" fontId="33" fillId="4" borderId="86" xfId="7" applyFont="1" applyFill="1" applyBorder="1" applyAlignment="1" applyProtection="1">
      <alignment horizontal="left" vertical="center" wrapText="1"/>
      <protection locked="0"/>
    </xf>
    <xf numFmtId="0" fontId="33" fillId="4" borderId="90" xfId="7" applyFont="1" applyFill="1" applyBorder="1" applyAlignment="1" applyProtection="1">
      <alignment horizontal="left" vertical="top" wrapText="1"/>
      <protection locked="0"/>
    </xf>
    <xf numFmtId="0" fontId="33" fillId="4" borderId="68" xfId="7" applyFont="1" applyFill="1" applyBorder="1" applyAlignment="1" applyProtection="1">
      <alignment horizontal="left" vertical="top" wrapText="1"/>
      <protection locked="0"/>
    </xf>
    <xf numFmtId="0" fontId="5" fillId="4" borderId="90" xfId="7" applyFont="1" applyFill="1" applyBorder="1" applyAlignment="1" applyProtection="1">
      <alignment vertical="top" wrapText="1"/>
      <protection locked="0"/>
    </xf>
    <xf numFmtId="0" fontId="5" fillId="4" borderId="68" xfId="7" applyFont="1" applyFill="1" applyBorder="1" applyAlignment="1" applyProtection="1">
      <alignment vertical="top" wrapText="1"/>
      <protection locked="0"/>
    </xf>
    <xf numFmtId="0" fontId="5" fillId="4" borderId="77" xfId="7" applyFont="1" applyFill="1" applyBorder="1" applyAlignment="1" applyProtection="1">
      <alignment vertical="top" wrapText="1"/>
      <protection locked="0"/>
    </xf>
    <xf numFmtId="0" fontId="5" fillId="4" borderId="74" xfId="7" applyFont="1" applyFill="1" applyBorder="1" applyAlignment="1" applyProtection="1">
      <alignment horizontal="left" vertical="top" wrapText="1"/>
      <protection locked="0"/>
    </xf>
    <xf numFmtId="0" fontId="33" fillId="4" borderId="172" xfId="7" applyFont="1" applyFill="1" applyBorder="1" applyAlignment="1" applyProtection="1">
      <alignment horizontal="left" vertical="top" wrapText="1"/>
      <protection locked="0"/>
    </xf>
    <xf numFmtId="0" fontId="33" fillId="4" borderId="173" xfId="7" applyFont="1" applyFill="1" applyBorder="1" applyAlignment="1" applyProtection="1">
      <alignment horizontal="left" vertical="top" wrapText="1"/>
      <protection locked="0"/>
    </xf>
    <xf numFmtId="0" fontId="33" fillId="4" borderId="90" xfId="7" applyFont="1" applyFill="1" applyBorder="1" applyAlignment="1" applyProtection="1">
      <alignment horizontal="left" vertical="center" wrapText="1"/>
      <protection locked="0"/>
    </xf>
    <xf numFmtId="0" fontId="33" fillId="4" borderId="68" xfId="7" applyFont="1" applyFill="1" applyBorder="1" applyAlignment="1" applyProtection="1">
      <alignment horizontal="left" vertical="center" wrapText="1"/>
      <protection locked="0"/>
    </xf>
    <xf numFmtId="0" fontId="33" fillId="4" borderId="77" xfId="7" applyFont="1" applyFill="1" applyBorder="1" applyAlignment="1" applyProtection="1">
      <alignment horizontal="left" vertical="center" wrapText="1"/>
      <protection locked="0"/>
    </xf>
    <xf numFmtId="0" fontId="57" fillId="0" borderId="8" xfId="3" applyFont="1" applyBorder="1" applyAlignment="1" applyProtection="1">
      <alignment horizontal="left" vertical="center" wrapText="1"/>
      <protection locked="0"/>
    </xf>
    <xf numFmtId="0" fontId="57" fillId="0" borderId="118" xfId="3" applyFont="1" applyBorder="1" applyAlignment="1" applyProtection="1">
      <alignment horizontal="left" vertical="center" wrapText="1"/>
      <protection locked="0"/>
    </xf>
    <xf numFmtId="0" fontId="57" fillId="0" borderId="7" xfId="3" applyFont="1" applyBorder="1" applyAlignment="1" applyProtection="1">
      <alignment horizontal="left" vertical="center" wrapText="1"/>
      <protection locked="0"/>
    </xf>
    <xf numFmtId="0" fontId="57" fillId="0" borderId="62" xfId="3" applyFont="1" applyBorder="1" applyAlignment="1" applyProtection="1">
      <alignment horizontal="left" vertical="center" wrapText="1"/>
      <protection locked="0"/>
    </xf>
    <xf numFmtId="0" fontId="14" fillId="2" borderId="14" xfId="0" applyFont="1" applyFill="1" applyBorder="1" applyAlignment="1" applyProtection="1">
      <alignment horizontal="center" vertical="center" wrapText="1"/>
      <protection locked="0"/>
    </xf>
    <xf numFmtId="0" fontId="14" fillId="2" borderId="15" xfId="0" applyFont="1" applyFill="1" applyBorder="1" applyAlignment="1" applyProtection="1">
      <alignment horizontal="center" vertical="center" wrapText="1"/>
      <protection locked="0"/>
    </xf>
    <xf numFmtId="0" fontId="14" fillId="2" borderId="16" xfId="0" applyFont="1" applyFill="1" applyBorder="1" applyAlignment="1" applyProtection="1">
      <alignment horizontal="center" vertical="center" wrapText="1"/>
      <protection locked="0"/>
    </xf>
    <xf numFmtId="0" fontId="14" fillId="2" borderId="19" xfId="0" applyFont="1" applyFill="1" applyBorder="1" applyAlignment="1" applyProtection="1">
      <alignment horizontal="center" vertical="center" wrapText="1"/>
      <protection locked="0"/>
    </xf>
    <xf numFmtId="0" fontId="14" fillId="2" borderId="0" xfId="0" applyFont="1" applyFill="1" applyBorder="1" applyAlignment="1" applyProtection="1">
      <alignment horizontal="center" vertical="center" wrapText="1"/>
      <protection locked="0"/>
    </xf>
    <xf numFmtId="0" fontId="14" fillId="2" borderId="20" xfId="0" applyFont="1" applyFill="1" applyBorder="1" applyAlignment="1" applyProtection="1">
      <alignment horizontal="center" vertical="center" wrapText="1"/>
      <protection locked="0"/>
    </xf>
    <xf numFmtId="0" fontId="14" fillId="2" borderId="24" xfId="0" applyFont="1" applyFill="1" applyBorder="1" applyAlignment="1" applyProtection="1">
      <alignment horizontal="center" vertical="center" wrapText="1"/>
      <protection locked="0"/>
    </xf>
    <xf numFmtId="0" fontId="14" fillId="2" borderId="25" xfId="0" applyFont="1" applyFill="1" applyBorder="1" applyAlignment="1" applyProtection="1">
      <alignment horizontal="center" vertical="center" wrapText="1"/>
      <protection locked="0"/>
    </xf>
    <xf numFmtId="0" fontId="14" fillId="2" borderId="26" xfId="0" applyFont="1" applyFill="1" applyBorder="1" applyAlignment="1" applyProtection="1">
      <alignment horizontal="center" vertical="center" wrapText="1"/>
      <protection locked="0"/>
    </xf>
    <xf numFmtId="0" fontId="0" fillId="2" borderId="130" xfId="0" applyFill="1" applyBorder="1" applyAlignment="1">
      <alignment horizontal="center"/>
    </xf>
    <xf numFmtId="0" fontId="13" fillId="2" borderId="11" xfId="0" applyFont="1" applyFill="1" applyBorder="1" applyAlignment="1" applyProtection="1">
      <alignment horizontal="center" vertical="center" wrapText="1"/>
      <protection locked="0"/>
    </xf>
    <xf numFmtId="0" fontId="13" fillId="2" borderId="12" xfId="0" applyFont="1" applyFill="1" applyBorder="1" applyAlignment="1" applyProtection="1">
      <alignment horizontal="center" vertical="center" wrapText="1"/>
      <protection locked="0"/>
    </xf>
    <xf numFmtId="0" fontId="13" fillId="2" borderId="13"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13" fillId="2" borderId="0" xfId="0" applyFont="1" applyFill="1" applyBorder="1" applyAlignment="1" applyProtection="1">
      <alignment horizontal="center" vertical="center" wrapText="1"/>
      <protection locked="0"/>
    </xf>
    <xf numFmtId="0" fontId="13" fillId="2" borderId="18" xfId="0" applyFont="1" applyFill="1" applyBorder="1" applyAlignment="1" applyProtection="1">
      <alignment horizontal="center" vertical="center" wrapText="1"/>
      <protection locked="0"/>
    </xf>
    <xf numFmtId="0" fontId="13" fillId="2" borderId="21" xfId="0" applyFont="1" applyFill="1" applyBorder="1" applyAlignment="1" applyProtection="1">
      <alignment horizontal="center" vertical="center" wrapText="1"/>
      <protection locked="0"/>
    </xf>
    <xf numFmtId="0" fontId="13" fillId="2" borderId="22" xfId="0" applyFont="1" applyFill="1" applyBorder="1" applyAlignment="1" applyProtection="1">
      <alignment horizontal="center" vertical="center" wrapText="1"/>
      <protection locked="0"/>
    </xf>
    <xf numFmtId="0" fontId="13" fillId="2" borderId="23" xfId="0" applyFont="1" applyFill="1" applyBorder="1" applyAlignment="1" applyProtection="1">
      <alignment horizontal="center" vertical="center" wrapText="1"/>
      <protection locked="0"/>
    </xf>
    <xf numFmtId="0" fontId="7" fillId="0" borderId="3" xfId="0" applyFont="1" applyBorder="1" applyAlignment="1">
      <alignment horizontal="center" vertical="center"/>
    </xf>
    <xf numFmtId="0" fontId="7" fillId="0" borderId="0" xfId="0" applyFont="1" applyBorder="1" applyAlignment="1">
      <alignment horizontal="center" vertical="center"/>
    </xf>
    <xf numFmtId="0" fontId="7" fillId="0" borderId="35" xfId="0" applyFont="1" applyBorder="1" applyAlignment="1">
      <alignment horizontal="center" vertical="center"/>
    </xf>
    <xf numFmtId="0" fontId="34" fillId="5" borderId="99" xfId="3" applyFont="1" applyFill="1" applyBorder="1" applyAlignment="1">
      <alignment horizontal="center" vertical="center" textRotation="90"/>
    </xf>
    <xf numFmtId="0" fontId="34" fillId="5" borderId="98" xfId="3" applyFont="1" applyFill="1" applyBorder="1" applyAlignment="1">
      <alignment horizontal="center" vertical="center" textRotation="90"/>
    </xf>
    <xf numFmtId="0" fontId="34" fillId="5" borderId="97" xfId="3" applyFont="1" applyFill="1" applyBorder="1" applyAlignment="1">
      <alignment horizontal="center" vertical="center" textRotation="90"/>
    </xf>
    <xf numFmtId="0" fontId="2" fillId="0" borderId="8" xfId="3" applyFont="1" applyBorder="1" applyAlignment="1" applyProtection="1">
      <alignment vertical="center" wrapText="1"/>
      <protection locked="0"/>
    </xf>
    <xf numFmtId="0" fontId="2" fillId="0" borderId="118" xfId="3" applyFont="1" applyBorder="1" applyAlignment="1" applyProtection="1">
      <alignment vertical="center" wrapText="1"/>
      <protection locked="0"/>
    </xf>
    <xf numFmtId="0" fontId="2" fillId="0" borderId="7" xfId="3" applyFont="1" applyBorder="1" applyAlignment="1" applyProtection="1">
      <alignment vertical="center" wrapText="1"/>
      <protection locked="0"/>
    </xf>
    <xf numFmtId="0" fontId="2" fillId="0" borderId="62" xfId="3" applyFont="1" applyBorder="1" applyAlignment="1" applyProtection="1">
      <alignment vertical="center" wrapText="1"/>
      <protection locked="0"/>
    </xf>
    <xf numFmtId="49" fontId="58" fillId="0" borderId="8" xfId="3" applyNumberFormat="1" applyFont="1" applyBorder="1" applyAlignment="1" applyProtection="1">
      <alignment horizontal="left" vertical="center" wrapText="1"/>
      <protection locked="0"/>
    </xf>
    <xf numFmtId="49" fontId="58" fillId="0" borderId="118" xfId="3" applyNumberFormat="1" applyFont="1" applyBorder="1" applyAlignment="1" applyProtection="1">
      <alignment horizontal="left" vertical="center" wrapText="1"/>
      <protection locked="0"/>
    </xf>
    <xf numFmtId="49" fontId="58" fillId="0" borderId="7" xfId="3" applyNumberFormat="1" applyFont="1" applyBorder="1" applyAlignment="1" applyProtection="1">
      <alignment horizontal="left" vertical="center" wrapText="1"/>
      <protection locked="0"/>
    </xf>
    <xf numFmtId="49" fontId="58" fillId="0" borderId="62" xfId="3" applyNumberFormat="1" applyFont="1" applyBorder="1" applyAlignment="1" applyProtection="1">
      <alignment horizontal="left" vertical="center" wrapText="1"/>
      <protection locked="0"/>
    </xf>
    <xf numFmtId="0" fontId="58" fillId="0" borderId="8" xfId="3" applyFont="1" applyBorder="1" applyAlignment="1" applyProtection="1">
      <alignment horizontal="left" vertical="top" wrapText="1"/>
      <protection locked="0"/>
    </xf>
    <xf numFmtId="0" fontId="58" fillId="0" borderId="118" xfId="3" applyFont="1" applyBorder="1" applyAlignment="1" applyProtection="1">
      <alignment horizontal="left" vertical="top" wrapText="1"/>
      <protection locked="0"/>
    </xf>
    <xf numFmtId="0" fontId="58" fillId="0" borderId="7" xfId="3" applyFont="1" applyBorder="1" applyAlignment="1" applyProtection="1">
      <alignment horizontal="left" vertical="top" wrapText="1"/>
      <protection locked="0"/>
    </xf>
    <xf numFmtId="0" fontId="58" fillId="0" borderId="62" xfId="3" applyFont="1" applyBorder="1" applyAlignment="1" applyProtection="1">
      <alignment horizontal="left" vertical="top" wrapText="1"/>
      <protection locked="0"/>
    </xf>
    <xf numFmtId="0" fontId="0" fillId="2" borderId="10" xfId="0" applyFill="1" applyBorder="1" applyAlignment="1" applyProtection="1">
      <alignment horizontal="center" vertical="center"/>
      <protection locked="0"/>
    </xf>
    <xf numFmtId="0" fontId="0" fillId="2" borderId="0"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0" fillId="2" borderId="44" xfId="0" applyFill="1" applyBorder="1" applyAlignment="1" applyProtection="1">
      <alignment horizontal="center" vertical="center"/>
      <protection locked="0"/>
    </xf>
    <xf numFmtId="0" fontId="0" fillId="2" borderId="39" xfId="0" applyFill="1" applyBorder="1" applyAlignment="1" applyProtection="1">
      <alignment horizontal="center" vertical="center"/>
      <protection locked="0"/>
    </xf>
    <xf numFmtId="0" fontId="0" fillId="2" borderId="41" xfId="0" applyFill="1" applyBorder="1" applyAlignment="1" applyProtection="1">
      <alignment horizontal="center" vertical="center"/>
      <protection locked="0"/>
    </xf>
    <xf numFmtId="0" fontId="12" fillId="2" borderId="42" xfId="0" applyFont="1" applyFill="1" applyBorder="1" applyAlignment="1">
      <alignment horizontal="left" vertical="center"/>
    </xf>
    <xf numFmtId="0" fontId="12" fillId="2" borderId="40" xfId="0" applyFont="1" applyFill="1" applyBorder="1" applyAlignment="1">
      <alignment horizontal="left" vertical="center"/>
    </xf>
    <xf numFmtId="0" fontId="12" fillId="2" borderId="43" xfId="0" applyFont="1" applyFill="1" applyBorder="1" applyAlignment="1">
      <alignment horizontal="left" vertical="center"/>
    </xf>
    <xf numFmtId="0" fontId="0" fillId="2" borderId="129" xfId="0" applyFill="1" applyBorder="1" applyAlignment="1">
      <alignment horizontal="center" vertical="center"/>
    </xf>
    <xf numFmtId="0" fontId="59" fillId="0" borderId="0" xfId="3" applyFont="1" applyBorder="1" applyAlignment="1">
      <alignment vertical="center" wrapText="1"/>
    </xf>
    <xf numFmtId="0" fontId="59" fillId="0" borderId="5" xfId="3" applyFont="1" applyBorder="1" applyAlignment="1">
      <alignment vertical="center" wrapText="1"/>
    </xf>
    <xf numFmtId="0" fontId="59" fillId="0" borderId="7" xfId="3" applyFont="1" applyBorder="1" applyAlignment="1">
      <alignment vertical="center" wrapText="1"/>
    </xf>
    <xf numFmtId="0" fontId="59" fillId="0" borderId="62" xfId="3" applyFont="1" applyBorder="1" applyAlignment="1">
      <alignment vertical="center" wrapText="1"/>
    </xf>
    <xf numFmtId="0" fontId="33" fillId="4" borderId="87" xfId="7" applyFont="1" applyFill="1" applyBorder="1" applyAlignment="1" applyProtection="1">
      <alignment horizontal="left" vertical="top" wrapText="1"/>
      <protection locked="0"/>
    </xf>
    <xf numFmtId="0" fontId="33" fillId="4" borderId="92" xfId="7" applyFont="1" applyFill="1" applyBorder="1" applyAlignment="1" applyProtection="1">
      <alignment horizontal="left" vertical="top" wrapText="1"/>
      <protection locked="0"/>
    </xf>
    <xf numFmtId="0" fontId="33" fillId="4" borderId="93" xfId="7" applyFont="1" applyFill="1" applyBorder="1" applyAlignment="1" applyProtection="1">
      <alignment horizontal="left" vertical="top" wrapText="1"/>
      <protection locked="0"/>
    </xf>
    <xf numFmtId="0" fontId="33" fillId="4" borderId="91" xfId="7" applyFont="1" applyFill="1" applyBorder="1" applyAlignment="1" applyProtection="1">
      <alignment horizontal="left" vertical="top" wrapText="1"/>
      <protection locked="0"/>
    </xf>
    <xf numFmtId="0" fontId="33" fillId="4" borderId="73" xfId="7" applyFont="1" applyFill="1" applyBorder="1" applyAlignment="1" applyProtection="1">
      <alignment horizontal="left" vertical="top" wrapText="1"/>
      <protection locked="0"/>
    </xf>
    <xf numFmtId="0" fontId="33" fillId="4" borderId="94" xfId="7" applyFont="1" applyFill="1" applyBorder="1" applyAlignment="1" applyProtection="1">
      <alignment horizontal="left" vertical="top" wrapText="1"/>
      <protection locked="0"/>
    </xf>
    <xf numFmtId="0" fontId="33" fillId="4" borderId="107" xfId="7" applyFont="1" applyFill="1" applyBorder="1" applyAlignment="1" applyProtection="1">
      <alignment horizontal="left" vertical="top" wrapText="1"/>
      <protection locked="0"/>
    </xf>
    <xf numFmtId="0" fontId="33" fillId="4" borderId="49" xfId="7" applyFont="1" applyFill="1" applyBorder="1" applyAlignment="1" applyProtection="1">
      <alignment horizontal="left" vertical="top" wrapText="1"/>
      <protection locked="0"/>
    </xf>
    <xf numFmtId="0" fontId="33" fillId="4" borderId="3" xfId="7" applyFont="1" applyFill="1" applyBorder="1" applyAlignment="1" applyProtection="1">
      <alignment horizontal="left" vertical="top" wrapText="1"/>
      <protection locked="0"/>
    </xf>
    <xf numFmtId="0" fontId="33" fillId="4" borderId="0" xfId="7" applyFont="1" applyFill="1" applyBorder="1" applyAlignment="1" applyProtection="1">
      <alignment horizontal="left" vertical="top" wrapText="1"/>
      <protection locked="0"/>
    </xf>
    <xf numFmtId="0" fontId="5" fillId="3" borderId="3" xfId="0" applyFont="1" applyFill="1" applyBorder="1" applyAlignment="1" applyProtection="1"/>
    <xf numFmtId="0" fontId="5" fillId="3" borderId="0" xfId="0" applyFont="1" applyFill="1" applyBorder="1" applyAlignment="1" applyProtection="1"/>
    <xf numFmtId="0" fontId="5" fillId="4" borderId="51" xfId="7" applyFont="1" applyFill="1" applyBorder="1" applyAlignment="1" applyProtection="1">
      <alignment horizontal="left" vertical="top" wrapText="1"/>
      <protection locked="0"/>
    </xf>
    <xf numFmtId="14" fontId="5" fillId="4" borderId="51" xfId="7" applyNumberFormat="1" applyFont="1" applyFill="1" applyBorder="1" applyAlignment="1" applyProtection="1">
      <alignment horizontal="left" vertical="top" wrapText="1"/>
      <protection locked="0"/>
    </xf>
    <xf numFmtId="0" fontId="5" fillId="2" borderId="45" xfId="0" applyFont="1" applyFill="1" applyBorder="1" applyAlignment="1" applyProtection="1">
      <alignment horizontal="left"/>
    </xf>
    <xf numFmtId="0" fontId="42" fillId="2" borderId="3" xfId="2" applyFont="1" applyFill="1" applyBorder="1" applyAlignment="1" applyProtection="1">
      <alignment horizontal="center" vertical="center" wrapText="1"/>
      <protection locked="0"/>
    </xf>
    <xf numFmtId="0" fontId="42" fillId="2" borderId="0" xfId="2" applyFont="1" applyFill="1" applyBorder="1" applyAlignment="1" applyProtection="1">
      <alignment horizontal="center" vertical="center" wrapText="1"/>
      <protection locked="0"/>
    </xf>
    <xf numFmtId="0" fontId="42" fillId="2" borderId="4" xfId="2" applyFont="1" applyFill="1" applyBorder="1" applyAlignment="1" applyProtection="1">
      <alignment horizontal="center" vertical="center" wrapText="1"/>
      <protection locked="0"/>
    </xf>
    <xf numFmtId="0" fontId="42" fillId="2" borderId="132" xfId="2" applyFont="1" applyFill="1" applyBorder="1" applyAlignment="1" applyProtection="1">
      <alignment horizontal="center" vertical="center" wrapText="1"/>
      <protection locked="0"/>
    </xf>
    <xf numFmtId="0" fontId="42" fillId="2" borderId="39" xfId="2" applyFont="1" applyFill="1" applyBorder="1" applyAlignment="1" applyProtection="1">
      <alignment horizontal="center" vertical="center" wrapText="1"/>
      <protection locked="0"/>
    </xf>
    <xf numFmtId="0" fontId="42" fillId="2" borderId="41" xfId="2" applyFont="1" applyFill="1" applyBorder="1" applyAlignment="1" applyProtection="1">
      <alignment horizontal="center" vertical="center" wrapText="1"/>
      <protection locked="0"/>
    </xf>
    <xf numFmtId="0" fontId="33" fillId="4" borderId="93" xfId="7" applyFont="1" applyFill="1" applyBorder="1" applyAlignment="1" applyProtection="1">
      <alignment horizontal="center" vertical="top" wrapText="1"/>
      <protection locked="0"/>
    </xf>
    <xf numFmtId="0" fontId="33" fillId="4" borderId="73" xfId="7" applyFont="1" applyFill="1" applyBorder="1" applyAlignment="1" applyProtection="1">
      <alignment horizontal="center" vertical="top" wrapText="1"/>
      <protection locked="0"/>
    </xf>
    <xf numFmtId="0" fontId="33" fillId="4" borderId="93" xfId="7" applyFont="1" applyFill="1" applyBorder="1" applyAlignment="1" applyProtection="1">
      <alignment vertical="top" wrapText="1"/>
      <protection locked="0"/>
    </xf>
    <xf numFmtId="0" fontId="33" fillId="4" borderId="73" xfId="7" applyFont="1" applyFill="1" applyBorder="1" applyAlignment="1" applyProtection="1">
      <alignment vertical="top" wrapText="1"/>
      <protection locked="0"/>
    </xf>
    <xf numFmtId="0" fontId="33" fillId="4" borderId="94" xfId="7" applyFont="1" applyFill="1" applyBorder="1" applyAlignment="1" applyProtection="1">
      <alignment vertical="top" wrapText="1"/>
      <protection locked="0"/>
    </xf>
    <xf numFmtId="0" fontId="33" fillId="4" borderId="134" xfId="7" applyFont="1" applyFill="1" applyBorder="1" applyAlignment="1" applyProtection="1">
      <alignment vertical="top" wrapText="1"/>
      <protection locked="0"/>
    </xf>
    <xf numFmtId="0" fontId="33" fillId="4" borderId="70" xfId="7" applyFont="1" applyFill="1" applyBorder="1" applyAlignment="1" applyProtection="1">
      <alignment vertical="top" wrapText="1"/>
      <protection locked="0"/>
    </xf>
    <xf numFmtId="0" fontId="33" fillId="4" borderId="135" xfId="7" applyFont="1" applyFill="1" applyBorder="1" applyAlignment="1" applyProtection="1">
      <alignment vertical="top" wrapText="1"/>
      <protection locked="0"/>
    </xf>
    <xf numFmtId="0" fontId="44" fillId="2" borderId="28" xfId="2" applyFont="1" applyFill="1" applyBorder="1" applyAlignment="1">
      <alignment horizontal="center" vertical="center" wrapText="1"/>
    </xf>
    <xf numFmtId="0" fontId="5" fillId="4" borderId="138" xfId="7" applyFont="1" applyFill="1" applyBorder="1" applyAlignment="1" applyProtection="1">
      <alignment horizontal="left" vertical="top" wrapText="1"/>
      <protection locked="0"/>
    </xf>
    <xf numFmtId="0" fontId="43" fillId="2" borderId="133" xfId="0" applyFont="1" applyFill="1" applyBorder="1" applyAlignment="1">
      <alignment horizontal="center" vertical="center"/>
    </xf>
    <xf numFmtId="0" fontId="43" fillId="2" borderId="38" xfId="0" applyFont="1" applyFill="1" applyBorder="1" applyAlignment="1">
      <alignment horizontal="center" vertical="center"/>
    </xf>
    <xf numFmtId="0" fontId="44" fillId="2" borderId="131" xfId="2" applyFont="1" applyFill="1" applyBorder="1" applyAlignment="1" applyProtection="1">
      <alignment horizontal="center" vertical="center" wrapText="1"/>
      <protection locked="0"/>
    </xf>
    <xf numFmtId="0" fontId="44" fillId="2" borderId="40" xfId="2" applyFont="1" applyFill="1" applyBorder="1" applyAlignment="1" applyProtection="1">
      <alignment horizontal="center" vertical="center" wrapText="1"/>
      <protection locked="0"/>
    </xf>
    <xf numFmtId="0" fontId="44" fillId="2" borderId="43" xfId="2" applyFont="1" applyFill="1" applyBorder="1" applyAlignment="1" applyProtection="1">
      <alignment horizontal="center" vertical="center" wrapText="1"/>
      <protection locked="0"/>
    </xf>
    <xf numFmtId="0" fontId="44" fillId="2" borderId="3" xfId="2" applyFont="1" applyFill="1" applyBorder="1" applyAlignment="1" applyProtection="1">
      <alignment horizontal="center" vertical="center" wrapText="1"/>
      <protection locked="0"/>
    </xf>
    <xf numFmtId="0" fontId="44" fillId="2" borderId="0" xfId="2" applyFont="1" applyFill="1" applyBorder="1" applyAlignment="1" applyProtection="1">
      <alignment horizontal="center" vertical="center" wrapText="1"/>
      <protection locked="0"/>
    </xf>
    <xf numFmtId="0" fontId="44" fillId="2" borderId="4" xfId="2" applyFont="1" applyFill="1" applyBorder="1" applyAlignment="1" applyProtection="1">
      <alignment horizontal="center" vertical="center" wrapText="1"/>
      <protection locked="0"/>
    </xf>
    <xf numFmtId="0" fontId="44" fillId="2" borderId="132" xfId="2" applyFont="1" applyFill="1" applyBorder="1" applyAlignment="1" applyProtection="1">
      <alignment horizontal="center" vertical="center" wrapText="1"/>
      <protection locked="0"/>
    </xf>
    <xf numFmtId="0" fontId="44" fillId="2" borderId="39" xfId="2" applyFont="1" applyFill="1" applyBorder="1" applyAlignment="1" applyProtection="1">
      <alignment horizontal="center" vertical="center" wrapText="1"/>
      <protection locked="0"/>
    </xf>
    <xf numFmtId="0" fontId="44" fillId="2" borderId="41" xfId="2" applyFont="1" applyFill="1" applyBorder="1" applyAlignment="1" applyProtection="1">
      <alignment horizontal="center" vertical="center" wrapText="1"/>
      <protection locked="0"/>
    </xf>
    <xf numFmtId="14" fontId="5" fillId="4" borderId="88" xfId="7" applyNumberFormat="1" applyFont="1" applyFill="1" applyBorder="1" applyAlignment="1" applyProtection="1">
      <alignment horizontal="left" vertical="top" wrapText="1"/>
      <protection locked="0"/>
    </xf>
    <xf numFmtId="0" fontId="5" fillId="4" borderId="137" xfId="7" applyFont="1" applyFill="1" applyBorder="1" applyAlignment="1" applyProtection="1">
      <alignment horizontal="left" vertical="top" wrapText="1"/>
      <protection locked="0"/>
    </xf>
    <xf numFmtId="0" fontId="5" fillId="3" borderId="3" xfId="0" applyFont="1" applyFill="1" applyBorder="1" applyAlignment="1" applyProtection="1">
      <alignment vertical="top" wrapText="1"/>
      <protection locked="0"/>
    </xf>
    <xf numFmtId="0" fontId="5" fillId="3" borderId="0" xfId="0" applyFont="1" applyFill="1" applyBorder="1" applyAlignment="1" applyProtection="1">
      <alignment vertical="top" wrapText="1"/>
      <protection locked="0"/>
    </xf>
    <xf numFmtId="0" fontId="44" fillId="2" borderId="27" xfId="2" applyFont="1" applyFill="1" applyBorder="1" applyAlignment="1">
      <alignment horizontal="center" vertical="center"/>
    </xf>
    <xf numFmtId="0" fontId="44" fillId="2" borderId="28" xfId="2" applyFont="1" applyFill="1" applyBorder="1" applyAlignment="1">
      <alignment horizontal="center" vertical="center"/>
    </xf>
    <xf numFmtId="0" fontId="44" fillId="2" borderId="29" xfId="2" applyFont="1" applyFill="1" applyBorder="1" applyAlignment="1">
      <alignment horizontal="center" vertical="center"/>
    </xf>
    <xf numFmtId="0" fontId="44" fillId="2" borderId="38" xfId="2" applyFont="1" applyFill="1" applyBorder="1" applyAlignment="1">
      <alignment horizontal="center" vertical="center" wrapText="1"/>
    </xf>
    <xf numFmtId="0" fontId="5" fillId="4" borderId="167" xfId="7" applyFont="1" applyFill="1" applyBorder="1" applyAlignment="1" applyProtection="1">
      <alignment horizontal="left" vertical="top" wrapText="1"/>
      <protection locked="0"/>
    </xf>
    <xf numFmtId="0" fontId="5" fillId="4" borderId="71" xfId="7" applyFont="1" applyFill="1" applyBorder="1" applyAlignment="1" applyProtection="1">
      <alignment horizontal="left" vertical="top" wrapText="1"/>
      <protection locked="0"/>
    </xf>
    <xf numFmtId="0" fontId="5" fillId="4" borderId="168" xfId="7" applyFont="1" applyFill="1" applyBorder="1" applyAlignment="1" applyProtection="1">
      <alignment horizontal="left" vertical="top" wrapText="1"/>
      <protection locked="0"/>
    </xf>
    <xf numFmtId="0" fontId="33" fillId="4" borderId="175" xfId="7" applyFont="1" applyFill="1" applyBorder="1" applyAlignment="1" applyProtection="1">
      <alignment horizontal="left" vertical="top" wrapText="1"/>
      <protection locked="0"/>
    </xf>
    <xf numFmtId="0" fontId="33" fillId="4" borderId="169" xfId="7" applyFont="1" applyFill="1" applyBorder="1" applyAlignment="1" applyProtection="1">
      <alignment horizontal="left" vertical="top" wrapText="1"/>
      <protection locked="0"/>
    </xf>
    <xf numFmtId="0" fontId="33" fillId="4" borderId="170" xfId="7" applyFont="1" applyFill="1" applyBorder="1" applyAlignment="1" applyProtection="1">
      <alignment horizontal="left" vertical="top" wrapText="1"/>
      <protection locked="0"/>
    </xf>
    <xf numFmtId="0" fontId="33" fillId="4" borderId="139" xfId="7" applyFont="1" applyFill="1" applyBorder="1" applyAlignment="1" applyProtection="1">
      <alignment horizontal="center" vertical="top" wrapText="1"/>
      <protection locked="0"/>
    </xf>
    <xf numFmtId="9" fontId="33" fillId="4" borderId="172" xfId="7" applyNumberFormat="1" applyFont="1" applyFill="1" applyBorder="1" applyAlignment="1" applyProtection="1">
      <alignment horizontal="left" vertical="center" wrapText="1"/>
      <protection locked="0"/>
    </xf>
    <xf numFmtId="9" fontId="33" fillId="4" borderId="173" xfId="7" applyNumberFormat="1" applyFont="1" applyFill="1" applyBorder="1" applyAlignment="1" applyProtection="1">
      <alignment horizontal="left" vertical="center" wrapText="1"/>
      <protection locked="0"/>
    </xf>
    <xf numFmtId="0" fontId="33" fillId="4" borderId="85" xfId="7" applyFont="1" applyFill="1" applyBorder="1" applyAlignment="1" applyProtection="1">
      <alignment horizontal="left" vertical="top" wrapText="1"/>
      <protection locked="0"/>
    </xf>
    <xf numFmtId="0" fontId="5" fillId="2" borderId="64" xfId="0" applyFont="1" applyFill="1" applyBorder="1" applyAlignment="1" applyProtection="1">
      <alignment horizontal="left" vertical="top" wrapText="1"/>
    </xf>
    <xf numFmtId="14" fontId="33" fillId="4" borderId="68" xfId="7" applyNumberFormat="1" applyFont="1" applyFill="1" applyBorder="1" applyAlignment="1" applyProtection="1">
      <alignment horizontal="left" vertical="top"/>
      <protection locked="0"/>
    </xf>
    <xf numFmtId="0" fontId="33" fillId="4" borderId="68" xfId="7" applyFont="1" applyFill="1" applyBorder="1" applyAlignment="1" applyProtection="1">
      <alignment horizontal="left" vertical="top"/>
      <protection locked="0"/>
    </xf>
    <xf numFmtId="0" fontId="33" fillId="4" borderId="75" xfId="7" applyFont="1" applyFill="1" applyBorder="1" applyAlignment="1" applyProtection="1">
      <alignment horizontal="left" vertical="top"/>
      <protection locked="0"/>
    </xf>
    <xf numFmtId="0" fontId="29" fillId="2" borderId="5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37"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3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6" xfId="0" applyFont="1" applyFill="1" applyBorder="1" applyAlignment="1">
      <alignment horizontal="center" vertical="center"/>
    </xf>
    <xf numFmtId="0" fontId="33" fillId="4" borderId="72" xfId="7" applyFont="1" applyFill="1" applyBorder="1" applyAlignment="1" applyProtection="1">
      <alignment horizontal="left" vertical="top"/>
      <protection locked="0"/>
    </xf>
    <xf numFmtId="0" fontId="33" fillId="0" borderId="3" xfId="0" applyFont="1" applyFill="1" applyBorder="1" applyAlignment="1" applyProtection="1">
      <alignment horizontal="left" vertical="top" wrapText="1"/>
    </xf>
    <xf numFmtId="0" fontId="33" fillId="0" borderId="0" xfId="0" applyFont="1" applyFill="1" applyBorder="1" applyAlignment="1" applyProtection="1">
      <alignment horizontal="left" vertical="top" wrapText="1"/>
    </xf>
    <xf numFmtId="49" fontId="33" fillId="4" borderId="96" xfId="7" applyNumberFormat="1" applyFont="1" applyFill="1" applyBorder="1" applyAlignment="1" applyProtection="1">
      <alignment horizontal="left" vertical="top" wrapText="1"/>
      <protection locked="0"/>
    </xf>
    <xf numFmtId="49" fontId="33" fillId="4" borderId="95" xfId="7" applyNumberFormat="1" applyFont="1" applyFill="1" applyBorder="1" applyAlignment="1" applyProtection="1">
      <alignment horizontal="left" vertical="top" wrapText="1"/>
      <protection locked="0"/>
    </xf>
    <xf numFmtId="0" fontId="16" fillId="2" borderId="105" xfId="0" applyFont="1" applyFill="1" applyBorder="1" applyAlignment="1" applyProtection="1">
      <alignment horizontal="left"/>
    </xf>
    <xf numFmtId="0" fontId="16" fillId="2" borderId="46" xfId="0" applyFont="1" applyFill="1" applyBorder="1" applyAlignment="1" applyProtection="1">
      <alignment horizontal="left"/>
    </xf>
    <xf numFmtId="0" fontId="5" fillId="2" borderId="6" xfId="0" applyFont="1" applyFill="1" applyBorder="1" applyAlignment="1" applyProtection="1">
      <alignment horizontal="left" vertical="top" wrapText="1"/>
    </xf>
    <xf numFmtId="0" fontId="5" fillId="2" borderId="7" xfId="0" applyFont="1" applyFill="1" applyBorder="1" applyAlignment="1" applyProtection="1">
      <alignment horizontal="left" vertical="top" wrapText="1"/>
    </xf>
    <xf numFmtId="0" fontId="5" fillId="3" borderId="3" xfId="0" applyFont="1" applyFill="1" applyBorder="1" applyAlignment="1" applyProtection="1">
      <alignment horizontal="left" vertical="top" wrapText="1"/>
    </xf>
    <xf numFmtId="0" fontId="5" fillId="3" borderId="0" xfId="0" applyFont="1" applyFill="1" applyBorder="1" applyAlignment="1" applyProtection="1">
      <alignment horizontal="left" vertical="top" wrapText="1"/>
    </xf>
    <xf numFmtId="0" fontId="5" fillId="4" borderId="27" xfId="7" applyFont="1" applyFill="1" applyBorder="1" applyAlignment="1" applyProtection="1">
      <alignment horizontal="left" vertical="top" wrapText="1"/>
      <protection locked="0"/>
    </xf>
    <xf numFmtId="0" fontId="5" fillId="4" borderId="28" xfId="7" applyFont="1" applyFill="1" applyBorder="1" applyAlignment="1" applyProtection="1">
      <alignment horizontal="left" vertical="top" wrapText="1"/>
      <protection locked="0"/>
    </xf>
    <xf numFmtId="0" fontId="30" fillId="4" borderId="72" xfId="7" applyFont="1" applyFill="1" applyBorder="1" applyAlignment="1" applyProtection="1">
      <alignment horizontal="left" vertical="top" wrapText="1"/>
      <protection locked="0"/>
    </xf>
    <xf numFmtId="0" fontId="16" fillId="3" borderId="3" xfId="0" applyFont="1" applyFill="1" applyBorder="1" applyAlignment="1" applyProtection="1">
      <alignment vertical="top" wrapText="1"/>
      <protection locked="0"/>
    </xf>
    <xf numFmtId="0" fontId="16" fillId="3" borderId="0" xfId="0" applyFont="1" applyFill="1" applyBorder="1" applyAlignment="1" applyProtection="1">
      <alignment vertical="top" wrapText="1"/>
      <protection locked="0"/>
    </xf>
    <xf numFmtId="14" fontId="33" fillId="4" borderId="82" xfId="7" applyNumberFormat="1" applyFont="1" applyFill="1" applyBorder="1" applyAlignment="1" applyProtection="1">
      <alignment horizontal="left" vertical="center" wrapText="1"/>
      <protection locked="0"/>
    </xf>
    <xf numFmtId="0" fontId="33" fillId="4" borderId="47" xfId="7" applyFont="1" applyFill="1" applyBorder="1" applyAlignment="1" applyProtection="1">
      <alignment horizontal="left" vertical="top" wrapText="1"/>
      <protection locked="0"/>
    </xf>
    <xf numFmtId="14" fontId="33" fillId="4" borderId="47" xfId="7" applyNumberFormat="1" applyFont="1" applyFill="1" applyBorder="1" applyAlignment="1" applyProtection="1">
      <alignment horizontal="left" vertical="top" wrapText="1"/>
      <protection locked="0"/>
    </xf>
    <xf numFmtId="0" fontId="33" fillId="4" borderId="106" xfId="7" applyFont="1" applyFill="1" applyBorder="1" applyAlignment="1" applyProtection="1">
      <alignment horizontal="left" vertical="top" wrapText="1"/>
      <protection locked="0"/>
    </xf>
    <xf numFmtId="0" fontId="33" fillId="4" borderId="71" xfId="7" applyFont="1" applyFill="1" applyBorder="1" applyAlignment="1" applyProtection="1">
      <alignment horizontal="left" vertical="top" wrapText="1"/>
      <protection locked="0"/>
    </xf>
    <xf numFmtId="0" fontId="33" fillId="4" borderId="77" xfId="7" applyFont="1" applyFill="1" applyBorder="1" applyAlignment="1" applyProtection="1">
      <alignment horizontal="left" vertical="top" wrapText="1"/>
      <protection locked="0"/>
    </xf>
    <xf numFmtId="0" fontId="33" fillId="4" borderId="171" xfId="7" applyFont="1" applyFill="1" applyBorder="1" applyAlignment="1" applyProtection="1">
      <alignment horizontal="left" vertical="top" wrapText="1"/>
      <protection locked="0"/>
    </xf>
    <xf numFmtId="49" fontId="33" fillId="4" borderId="70" xfId="7" applyNumberFormat="1" applyFont="1" applyFill="1" applyBorder="1" applyAlignment="1" applyProtection="1">
      <alignment horizontal="left" vertical="top" wrapText="1"/>
      <protection locked="0"/>
    </xf>
    <xf numFmtId="49" fontId="33" fillId="4" borderId="120" xfId="7" applyNumberFormat="1" applyFont="1" applyFill="1" applyBorder="1" applyAlignment="1" applyProtection="1">
      <alignment horizontal="left" vertical="top" wrapText="1"/>
      <protection locked="0"/>
    </xf>
    <xf numFmtId="49" fontId="33" fillId="4" borderId="72" xfId="7" applyNumberFormat="1" applyFont="1" applyFill="1" applyBorder="1" applyAlignment="1" applyProtection="1">
      <alignment horizontal="left" vertical="top" wrapText="1"/>
      <protection locked="0"/>
    </xf>
    <xf numFmtId="0" fontId="15" fillId="4" borderId="72" xfId="1" applyFill="1" applyBorder="1" applyAlignment="1" applyProtection="1">
      <alignment horizontal="left" vertical="top" wrapText="1"/>
      <protection locked="0"/>
    </xf>
    <xf numFmtId="0" fontId="30" fillId="4" borderId="68" xfId="7" applyFont="1" applyFill="1" applyBorder="1" applyAlignment="1" applyProtection="1">
      <alignment horizontal="left" vertical="top" wrapText="1"/>
      <protection locked="0"/>
    </xf>
    <xf numFmtId="0" fontId="15" fillId="4" borderId="72" xfId="1" quotePrefix="1" applyFill="1" applyBorder="1" applyAlignment="1" applyProtection="1">
      <alignment horizontal="left" vertical="top" wrapText="1"/>
      <protection locked="0"/>
    </xf>
    <xf numFmtId="0" fontId="39" fillId="3" borderId="52" xfId="0" applyFont="1" applyFill="1" applyBorder="1" applyAlignment="1" applyProtection="1">
      <alignment horizontal="left" vertical="top" wrapText="1"/>
    </xf>
    <xf numFmtId="0" fontId="33" fillId="4" borderId="88" xfId="7" applyFont="1" applyFill="1" applyBorder="1" applyAlignment="1" applyProtection="1">
      <alignment horizontal="left" vertical="center" wrapText="1"/>
      <protection locked="0"/>
    </xf>
    <xf numFmtId="0" fontId="33" fillId="4" borderId="74" xfId="7" applyFont="1" applyFill="1" applyBorder="1" applyAlignment="1" applyProtection="1">
      <alignment horizontal="left" vertical="center" wrapText="1"/>
      <protection locked="0"/>
    </xf>
    <xf numFmtId="0" fontId="33" fillId="4" borderId="89" xfId="7" applyFont="1" applyFill="1" applyBorder="1" applyAlignment="1" applyProtection="1">
      <alignment horizontal="left" vertical="center" wrapText="1"/>
      <protection locked="0"/>
    </xf>
    <xf numFmtId="14" fontId="33" fillId="4" borderId="172" xfId="7" applyNumberFormat="1" applyFont="1" applyFill="1" applyBorder="1" applyAlignment="1" applyProtection="1">
      <alignment horizontal="left" vertical="top" wrapText="1"/>
      <protection locked="0"/>
    </xf>
    <xf numFmtId="14" fontId="33" fillId="4" borderId="173" xfId="7" applyNumberFormat="1" applyFont="1" applyFill="1" applyBorder="1" applyAlignment="1" applyProtection="1">
      <alignment horizontal="left" vertical="top" wrapText="1"/>
      <protection locked="0"/>
    </xf>
    <xf numFmtId="0" fontId="16" fillId="2" borderId="3" xfId="0" applyFont="1" applyFill="1" applyBorder="1" applyAlignment="1" applyProtection="1">
      <alignment horizontal="left"/>
    </xf>
    <xf numFmtId="0" fontId="16" fillId="2" borderId="0" xfId="0" applyFont="1" applyFill="1" applyBorder="1" applyAlignment="1" applyProtection="1">
      <alignment horizontal="left"/>
    </xf>
    <xf numFmtId="0" fontId="33" fillId="4" borderId="69" xfId="7" applyFont="1" applyFill="1" applyBorder="1" applyAlignment="1" applyProtection="1">
      <alignment horizontal="center" vertical="top" wrapText="1"/>
      <protection locked="0"/>
    </xf>
    <xf numFmtId="0" fontId="33" fillId="4" borderId="123" xfId="7" applyFont="1" applyFill="1" applyBorder="1" applyAlignment="1" applyProtection="1">
      <alignment horizontal="center" vertical="top" wrapText="1"/>
      <protection locked="0"/>
    </xf>
    <xf numFmtId="0" fontId="42" fillId="2" borderId="80" xfId="2" applyFont="1" applyFill="1" applyBorder="1" applyAlignment="1">
      <alignment horizontal="center" vertical="center"/>
    </xf>
    <xf numFmtId="0" fontId="42" fillId="2" borderId="79" xfId="2" applyFont="1" applyFill="1" applyBorder="1" applyAlignment="1">
      <alignment horizontal="center" vertical="center"/>
    </xf>
    <xf numFmtId="0" fontId="42" fillId="2" borderId="81" xfId="2" applyFont="1" applyFill="1" applyBorder="1" applyAlignment="1">
      <alignment horizontal="center" vertical="center"/>
    </xf>
    <xf numFmtId="0" fontId="42" fillId="2" borderId="78" xfId="2" applyFont="1" applyFill="1" applyBorder="1" applyAlignment="1">
      <alignment horizontal="center" vertical="center" wrapText="1"/>
    </xf>
    <xf numFmtId="0" fontId="42" fillId="2" borderId="79" xfId="2" applyFont="1" applyFill="1" applyBorder="1" applyAlignment="1">
      <alignment horizontal="center" vertical="center" wrapText="1"/>
    </xf>
    <xf numFmtId="14" fontId="33" fillId="4" borderId="84" xfId="7" applyNumberFormat="1" applyFont="1" applyFill="1" applyBorder="1" applyAlignment="1" applyProtection="1">
      <alignment horizontal="left" vertical="top" wrapText="1"/>
      <protection locked="0"/>
    </xf>
    <xf numFmtId="14" fontId="33" fillId="4" borderId="90" xfId="7" applyNumberFormat="1" applyFont="1" applyFill="1" applyBorder="1" applyAlignment="1" applyProtection="1">
      <alignment horizontal="center" vertical="top" wrapText="1"/>
      <protection locked="0"/>
    </xf>
    <xf numFmtId="0" fontId="42" fillId="2" borderId="38" xfId="2" applyFont="1" applyFill="1" applyBorder="1" applyAlignment="1">
      <alignment horizontal="center" vertical="center" wrapText="1"/>
    </xf>
    <xf numFmtId="0" fontId="24" fillId="2" borderId="133" xfId="0" applyFont="1" applyFill="1" applyBorder="1" applyAlignment="1">
      <alignment horizontal="center" vertical="center"/>
    </xf>
    <xf numFmtId="0" fontId="24" fillId="2" borderId="38" xfId="0" applyFont="1" applyFill="1" applyBorder="1" applyAlignment="1">
      <alignment horizontal="center" vertical="center"/>
    </xf>
    <xf numFmtId="0" fontId="42" fillId="2" borderId="27" xfId="2" applyFont="1" applyFill="1" applyBorder="1" applyAlignment="1">
      <alignment horizontal="center" vertical="center" wrapText="1"/>
    </xf>
    <xf numFmtId="0" fontId="42" fillId="2" borderId="28" xfId="2" applyFont="1" applyFill="1" applyBorder="1" applyAlignment="1">
      <alignment horizontal="center" vertical="center" wrapText="1"/>
    </xf>
    <xf numFmtId="0" fontId="42" fillId="2" borderId="136" xfId="2" applyFont="1" applyFill="1" applyBorder="1" applyAlignment="1">
      <alignment horizontal="center" vertical="center" wrapText="1"/>
    </xf>
    <xf numFmtId="0" fontId="5" fillId="4" borderId="88" xfId="7" applyFont="1" applyFill="1" applyBorder="1" applyAlignment="1" applyProtection="1">
      <alignment vertical="top" wrapText="1"/>
      <protection locked="0"/>
    </xf>
    <xf numFmtId="0" fontId="5" fillId="4" borderId="74" xfId="7" applyFont="1" applyFill="1" applyBorder="1" applyAlignment="1" applyProtection="1">
      <alignment vertical="top" wrapText="1"/>
      <protection locked="0"/>
    </xf>
    <xf numFmtId="0" fontId="5" fillId="4" borderId="89" xfId="7" applyFont="1" applyFill="1" applyBorder="1" applyAlignment="1" applyProtection="1">
      <alignment vertical="top" wrapText="1"/>
      <protection locked="0"/>
    </xf>
    <xf numFmtId="0" fontId="42" fillId="2" borderId="27" xfId="2" applyFont="1" applyFill="1" applyBorder="1" applyAlignment="1">
      <alignment horizontal="center" vertical="center"/>
    </xf>
    <xf numFmtId="0" fontId="42" fillId="2" borderId="28" xfId="2" applyFont="1" applyFill="1" applyBorder="1" applyAlignment="1">
      <alignment horizontal="center" vertical="center"/>
    </xf>
    <xf numFmtId="0" fontId="42" fillId="2" borderId="29" xfId="2" applyFont="1" applyFill="1" applyBorder="1" applyAlignment="1">
      <alignment horizontal="center" vertical="center"/>
    </xf>
    <xf numFmtId="0" fontId="5" fillId="3" borderId="3" xfId="0" applyNumberFormat="1" applyFont="1" applyFill="1" applyBorder="1" applyAlignment="1" applyProtection="1">
      <alignment vertical="top" wrapText="1"/>
      <protection locked="0"/>
    </xf>
    <xf numFmtId="0" fontId="5" fillId="3" borderId="0" xfId="0" applyNumberFormat="1" applyFont="1" applyFill="1" applyBorder="1" applyAlignment="1" applyProtection="1">
      <alignment vertical="top" wrapText="1"/>
      <protection locked="0"/>
    </xf>
    <xf numFmtId="0" fontId="42" fillId="2" borderId="131" xfId="2" applyFont="1" applyFill="1" applyBorder="1" applyAlignment="1" applyProtection="1">
      <alignment horizontal="center" vertical="center" wrapText="1"/>
      <protection locked="0"/>
    </xf>
    <xf numFmtId="0" fontId="42" fillId="2" borderId="40" xfId="2" applyFont="1" applyFill="1" applyBorder="1" applyAlignment="1" applyProtection="1">
      <alignment horizontal="center" vertical="center" wrapText="1"/>
      <protection locked="0"/>
    </xf>
    <xf numFmtId="0" fontId="42" fillId="2" borderId="43" xfId="2" applyFont="1" applyFill="1" applyBorder="1" applyAlignment="1" applyProtection="1">
      <alignment horizontal="center" vertical="center" wrapText="1"/>
      <protection locked="0"/>
    </xf>
    <xf numFmtId="0" fontId="33" fillId="4" borderId="42" xfId="7" applyFont="1" applyFill="1" applyBorder="1" applyAlignment="1" applyProtection="1">
      <alignment horizontal="left" vertical="top" wrapText="1"/>
      <protection locked="0"/>
    </xf>
    <xf numFmtId="0" fontId="33" fillId="4" borderId="40" xfId="7" applyFont="1" applyFill="1" applyBorder="1" applyAlignment="1" applyProtection="1">
      <alignment horizontal="left" vertical="top" wrapText="1"/>
      <protection locked="0"/>
    </xf>
    <xf numFmtId="0" fontId="33" fillId="4" borderId="43" xfId="7" applyFont="1" applyFill="1" applyBorder="1" applyAlignment="1" applyProtection="1">
      <alignment horizontal="left" vertical="top" wrapText="1"/>
      <protection locked="0"/>
    </xf>
    <xf numFmtId="0" fontId="33" fillId="4" borderId="10" xfId="7" applyFont="1" applyFill="1" applyBorder="1" applyAlignment="1" applyProtection="1">
      <alignment horizontal="left" vertical="top" wrapText="1"/>
      <protection locked="0"/>
    </xf>
    <xf numFmtId="0" fontId="33" fillId="4" borderId="4" xfId="7" applyFont="1" applyFill="1" applyBorder="1" applyAlignment="1" applyProtection="1">
      <alignment horizontal="left" vertical="top" wrapText="1"/>
      <protection locked="0"/>
    </xf>
    <xf numFmtId="0" fontId="33" fillId="4" borderId="134" xfId="7" applyFont="1" applyFill="1" applyBorder="1" applyAlignment="1" applyProtection="1">
      <alignment horizontal="left" vertical="top" wrapText="1"/>
      <protection locked="0"/>
    </xf>
    <xf numFmtId="0" fontId="33" fillId="4" borderId="135" xfId="7" applyFont="1" applyFill="1" applyBorder="1" applyAlignment="1" applyProtection="1">
      <alignment horizontal="left" vertical="top" wrapText="1"/>
      <protection locked="0"/>
    </xf>
    <xf numFmtId="0" fontId="6" fillId="0" borderId="101"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37"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61"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36" xfId="0" applyFont="1" applyFill="1" applyBorder="1" applyAlignment="1">
      <alignment horizontal="left" vertical="top" wrapText="1"/>
    </xf>
    <xf numFmtId="0" fontId="18" fillId="2" borderId="55" xfId="0" applyFont="1" applyFill="1" applyBorder="1" applyAlignment="1" applyProtection="1">
      <alignment horizontal="center"/>
    </xf>
    <xf numFmtId="0" fontId="18" fillId="2" borderId="8" xfId="0" applyFont="1" applyFill="1" applyBorder="1" applyAlignment="1" applyProtection="1">
      <alignment horizontal="center"/>
    </xf>
    <xf numFmtId="0" fontId="18" fillId="2" borderId="37" xfId="0" applyFont="1" applyFill="1" applyBorder="1" applyAlignment="1" applyProtection="1">
      <alignment horizontal="center"/>
    </xf>
    <xf numFmtId="49" fontId="10" fillId="2" borderId="102" xfId="0" applyNumberFormat="1" applyFont="1" applyFill="1" applyBorder="1" applyAlignment="1" applyProtection="1">
      <alignment horizontal="center" vertical="center" textRotation="90" wrapText="1"/>
    </xf>
    <xf numFmtId="49" fontId="10" fillId="2" borderId="34" xfId="0" applyNumberFormat="1" applyFont="1" applyFill="1" applyBorder="1" applyAlignment="1" applyProtection="1">
      <alignment horizontal="center" vertical="center" textRotation="90" wrapText="1"/>
    </xf>
    <xf numFmtId="49" fontId="10" fillId="2" borderId="66" xfId="0" applyNumberFormat="1" applyFont="1" applyFill="1" applyBorder="1" applyAlignment="1" applyProtection="1">
      <alignment horizontal="center" vertical="center" textRotation="90" wrapText="1"/>
    </xf>
    <xf numFmtId="49" fontId="33" fillId="4" borderId="68" xfId="7" quotePrefix="1" applyNumberFormat="1" applyFont="1" applyFill="1" applyBorder="1" applyAlignment="1" applyProtection="1">
      <alignment horizontal="left" vertical="top"/>
      <protection locked="0"/>
    </xf>
    <xf numFmtId="49" fontId="33" fillId="4" borderId="68" xfId="7" applyNumberFormat="1" applyFont="1" applyFill="1" applyBorder="1" applyAlignment="1" applyProtection="1">
      <alignment horizontal="left" vertical="top"/>
      <protection locked="0"/>
    </xf>
    <xf numFmtId="0" fontId="17" fillId="2" borderId="55"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100"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31" fillId="2" borderId="3" xfId="0" applyFont="1" applyFill="1" applyBorder="1" applyAlignment="1">
      <alignment horizontal="center" vertical="top" wrapText="1"/>
    </xf>
    <xf numFmtId="0" fontId="31" fillId="2" borderId="0" xfId="0" applyFont="1" applyFill="1" applyBorder="1" applyAlignment="1">
      <alignment horizontal="center" vertical="top" wrapText="1"/>
    </xf>
    <xf numFmtId="0" fontId="31" fillId="2" borderId="4" xfId="0" applyFont="1" applyFill="1" applyBorder="1" applyAlignment="1">
      <alignment horizontal="center" vertical="top" wrapText="1"/>
    </xf>
    <xf numFmtId="0" fontId="31" fillId="2" borderId="6" xfId="0" applyFont="1" applyFill="1" applyBorder="1" applyAlignment="1">
      <alignment horizontal="center" vertical="top" wrapText="1"/>
    </xf>
    <xf numFmtId="0" fontId="31" fillId="2" borderId="7" xfId="0" applyFont="1" applyFill="1" applyBorder="1" applyAlignment="1">
      <alignment horizontal="center" vertical="top" wrapText="1"/>
    </xf>
    <xf numFmtId="0" fontId="31" fillId="2" borderId="63" xfId="0" applyFont="1" applyFill="1" applyBorder="1" applyAlignment="1">
      <alignment horizontal="center" vertical="top" wrapText="1"/>
    </xf>
    <xf numFmtId="0" fontId="33" fillId="3" borderId="122" xfId="0" applyFont="1" applyFill="1" applyBorder="1" applyAlignment="1" applyProtection="1">
      <alignment horizontal="left" vertical="top" wrapText="1"/>
    </xf>
    <xf numFmtId="0" fontId="33" fillId="3" borderId="70" xfId="0" applyFont="1" applyFill="1" applyBorder="1" applyAlignment="1" applyProtection="1">
      <alignment horizontal="left" vertical="top" wrapText="1"/>
    </xf>
    <xf numFmtId="0" fontId="33" fillId="3" borderId="120" xfId="0" applyFont="1" applyFill="1" applyBorder="1" applyAlignment="1" applyProtection="1">
      <alignment horizontal="left" vertical="top" wrapText="1"/>
    </xf>
    <xf numFmtId="0" fontId="21" fillId="2" borderId="35" xfId="0" applyFont="1" applyFill="1" applyBorder="1" applyAlignment="1" applyProtection="1">
      <alignment horizontal="left"/>
    </xf>
    <xf numFmtId="0" fontId="21" fillId="2" borderId="34" xfId="0" applyFont="1" applyFill="1" applyBorder="1" applyAlignment="1" applyProtection="1">
      <alignment horizontal="left"/>
    </xf>
    <xf numFmtId="0" fontId="21" fillId="2" borderId="3" xfId="0" applyFont="1" applyFill="1" applyBorder="1" applyAlignment="1" applyProtection="1">
      <alignment horizontal="left"/>
    </xf>
    <xf numFmtId="0" fontId="18" fillId="2" borderId="0" xfId="0" applyFont="1" applyFill="1" applyBorder="1" applyAlignment="1" applyProtection="1">
      <alignment horizontal="left"/>
    </xf>
    <xf numFmtId="0" fontId="33" fillId="4" borderId="75" xfId="7" applyFont="1" applyFill="1" applyBorder="1" applyAlignment="1" applyProtection="1">
      <alignment horizontal="left" vertical="top" wrapText="1"/>
      <protection locked="0"/>
    </xf>
    <xf numFmtId="0" fontId="33" fillId="4" borderId="119" xfId="7" applyFont="1" applyFill="1" applyBorder="1" applyAlignment="1" applyProtection="1">
      <alignment horizontal="left" vertical="top"/>
      <protection locked="0"/>
    </xf>
    <xf numFmtId="49" fontId="33" fillId="4" borderId="49" xfId="7" applyNumberFormat="1" applyFont="1" applyFill="1" applyBorder="1" applyAlignment="1" applyProtection="1">
      <alignment horizontal="left" vertical="top" wrapText="1"/>
      <protection locked="0"/>
    </xf>
    <xf numFmtId="14" fontId="33" fillId="4" borderId="72" xfId="7" applyNumberFormat="1" applyFont="1" applyFill="1" applyBorder="1" applyAlignment="1" applyProtection="1">
      <alignment horizontal="left" vertical="top" wrapText="1"/>
      <protection locked="0"/>
    </xf>
    <xf numFmtId="0" fontId="5" fillId="2" borderId="160" xfId="0" applyFont="1" applyFill="1" applyBorder="1" applyAlignment="1" applyProtection="1">
      <alignment vertical="center"/>
      <protection locked="0"/>
    </xf>
    <xf numFmtId="0" fontId="38" fillId="3" borderId="0" xfId="1" applyFont="1" applyFill="1" applyBorder="1" applyAlignment="1" applyProtection="1">
      <alignment vertical="top" wrapText="1"/>
      <protection locked="0"/>
    </xf>
    <xf numFmtId="0" fontId="33" fillId="4" borderId="72" xfId="7" quotePrefix="1" applyFont="1" applyFill="1" applyBorder="1" applyAlignment="1" applyProtection="1">
      <alignment horizontal="left" vertical="top" wrapText="1"/>
      <protection locked="0"/>
    </xf>
    <xf numFmtId="49" fontId="15" fillId="4" borderId="72" xfId="1" applyNumberFormat="1" applyFill="1" applyBorder="1" applyAlignment="1" applyProtection="1">
      <alignment horizontal="left" vertical="top" wrapText="1"/>
      <protection locked="0"/>
    </xf>
    <xf numFmtId="0" fontId="33" fillId="4" borderId="48" xfId="7" applyFont="1" applyFill="1" applyBorder="1" applyAlignment="1" applyProtection="1">
      <alignment horizontal="left" vertical="top" wrapText="1"/>
      <protection locked="0"/>
    </xf>
    <xf numFmtId="0" fontId="5" fillId="3" borderId="160" xfId="0" applyFont="1" applyFill="1" applyBorder="1" applyAlignment="1" applyProtection="1">
      <alignment horizontal="left" vertical="center"/>
      <protection locked="0"/>
    </xf>
    <xf numFmtId="0" fontId="5" fillId="3" borderId="161" xfId="0" applyFont="1" applyFill="1" applyBorder="1" applyAlignment="1" applyProtection="1">
      <alignment horizontal="left" vertical="center"/>
      <protection locked="0"/>
    </xf>
    <xf numFmtId="49" fontId="33" fillId="4" borderId="0" xfId="7" applyNumberFormat="1" applyFont="1" applyFill="1" applyBorder="1" applyAlignment="1" applyProtection="1">
      <alignment horizontal="left" vertical="top" wrapText="1"/>
      <protection locked="0"/>
    </xf>
    <xf numFmtId="49" fontId="15" fillId="4" borderId="76" xfId="1" applyNumberFormat="1" applyFill="1" applyBorder="1" applyAlignment="1" applyProtection="1">
      <alignment horizontal="left" vertical="top" wrapText="1"/>
      <protection locked="0"/>
    </xf>
    <xf numFmtId="49" fontId="33" fillId="4" borderId="76" xfId="7" applyNumberFormat="1" applyFont="1" applyFill="1" applyBorder="1" applyAlignment="1" applyProtection="1">
      <alignment horizontal="left" vertical="top" wrapText="1"/>
      <protection locked="0"/>
    </xf>
    <xf numFmtId="49" fontId="33" fillId="4" borderId="121" xfId="7" applyNumberFormat="1" applyFont="1" applyFill="1" applyBorder="1" applyAlignment="1" applyProtection="1">
      <alignment horizontal="left" vertical="top" wrapText="1"/>
      <protection locked="0"/>
    </xf>
    <xf numFmtId="0" fontId="15" fillId="4" borderId="178" xfId="1" quotePrefix="1" applyFill="1" applyBorder="1" applyAlignment="1" applyProtection="1">
      <alignment horizontal="left" vertical="top" wrapText="1"/>
      <protection locked="0"/>
    </xf>
    <xf numFmtId="0" fontId="30" fillId="4" borderId="178" xfId="7" applyFont="1" applyFill="1" applyBorder="1" applyAlignment="1" applyProtection="1">
      <alignment horizontal="left" vertical="top" wrapText="1"/>
      <protection locked="0"/>
    </xf>
    <xf numFmtId="0" fontId="59" fillId="0" borderId="0" xfId="3" applyFont="1" applyBorder="1" applyAlignment="1" applyProtection="1">
      <alignment vertical="center" wrapText="1"/>
      <protection locked="0"/>
    </xf>
    <xf numFmtId="0" fontId="59" fillId="0" borderId="5" xfId="3" applyFont="1" applyBorder="1" applyAlignment="1" applyProtection="1">
      <alignment vertical="center" wrapText="1"/>
      <protection locked="0"/>
    </xf>
    <xf numFmtId="0" fontId="59" fillId="0" borderId="7" xfId="3" applyFont="1" applyBorder="1" applyAlignment="1" applyProtection="1">
      <alignment vertical="center" wrapText="1"/>
      <protection locked="0"/>
    </xf>
    <xf numFmtId="0" fontId="59" fillId="0" borderId="62" xfId="3" applyFont="1" applyBorder="1" applyAlignment="1" applyProtection="1">
      <alignment vertical="center" wrapText="1"/>
      <protection locked="0"/>
    </xf>
    <xf numFmtId="0" fontId="58" fillId="0" borderId="8" xfId="3" applyFont="1" applyBorder="1" applyAlignment="1" applyProtection="1">
      <alignment vertical="center" wrapText="1"/>
      <protection locked="0"/>
    </xf>
    <xf numFmtId="0" fontId="58" fillId="0" borderId="118" xfId="3" applyFont="1" applyBorder="1" applyAlignment="1" applyProtection="1">
      <alignment vertical="center" wrapText="1"/>
      <protection locked="0"/>
    </xf>
    <xf numFmtId="0" fontId="58" fillId="0" borderId="7" xfId="3" applyFont="1" applyBorder="1" applyAlignment="1" applyProtection="1">
      <alignment vertical="center" wrapText="1"/>
      <protection locked="0"/>
    </xf>
    <xf numFmtId="0" fontId="58" fillId="0" borderId="62" xfId="3" applyFont="1" applyBorder="1" applyAlignment="1" applyProtection="1">
      <alignment vertical="center" wrapText="1"/>
      <protection locked="0"/>
    </xf>
    <xf numFmtId="49" fontId="58" fillId="0" borderId="8" xfId="3" applyNumberFormat="1" applyFont="1" applyFill="1" applyBorder="1" applyAlignment="1" applyProtection="1">
      <alignment horizontal="left" vertical="top" wrapText="1"/>
      <protection locked="0"/>
    </xf>
    <xf numFmtId="49" fontId="58" fillId="0" borderId="118" xfId="3" applyNumberFormat="1" applyFont="1" applyFill="1" applyBorder="1" applyAlignment="1" applyProtection="1">
      <alignment horizontal="left" vertical="top" wrapText="1"/>
      <protection locked="0"/>
    </xf>
    <xf numFmtId="49" fontId="58" fillId="0" borderId="7" xfId="3" applyNumberFormat="1" applyFont="1" applyFill="1" applyBorder="1" applyAlignment="1" applyProtection="1">
      <alignment horizontal="left" vertical="top" wrapText="1"/>
      <protection locked="0"/>
    </xf>
    <xf numFmtId="49" fontId="58" fillId="0" borderId="62" xfId="3" applyNumberFormat="1" applyFont="1" applyFill="1" applyBorder="1" applyAlignment="1" applyProtection="1">
      <alignment horizontal="left" vertical="top" wrapText="1"/>
      <protection locked="0"/>
    </xf>
    <xf numFmtId="49" fontId="33" fillId="4" borderId="48" xfId="7" applyNumberFormat="1" applyFont="1" applyFill="1" applyBorder="1" applyAlignment="1" applyProtection="1">
      <alignment horizontal="left" vertical="top" wrapText="1"/>
      <protection locked="0"/>
    </xf>
    <xf numFmtId="0" fontId="7" fillId="0" borderId="55" xfId="0" applyFont="1" applyBorder="1" applyAlignment="1">
      <alignment horizontal="center" vertical="center"/>
    </xf>
    <xf numFmtId="0" fontId="7" fillId="0" borderId="8" xfId="0" applyFont="1" applyBorder="1" applyAlignment="1">
      <alignment horizontal="center" vertical="center"/>
    </xf>
    <xf numFmtId="0" fontId="7" fillId="0" borderId="37" xfId="0" applyFont="1" applyBorder="1" applyAlignment="1">
      <alignment horizontal="center" vertical="center"/>
    </xf>
    <xf numFmtId="0" fontId="7" fillId="0" borderId="103" xfId="0" applyFont="1" applyBorder="1" applyAlignment="1">
      <alignment horizontal="center" vertical="center"/>
    </xf>
    <xf numFmtId="0" fontId="7" fillId="0" borderId="64" xfId="0" applyFont="1" applyBorder="1" applyAlignment="1">
      <alignment horizontal="center" vertical="center"/>
    </xf>
    <xf numFmtId="0" fontId="7" fillId="0" borderId="65" xfId="0" applyFont="1" applyBorder="1" applyAlignment="1">
      <alignment horizontal="center" vertical="center"/>
    </xf>
    <xf numFmtId="0" fontId="5" fillId="3" borderId="108" xfId="0" applyFont="1" applyFill="1" applyBorder="1" applyAlignment="1" applyProtection="1">
      <alignment horizontal="left" vertical="top" wrapText="1"/>
    </xf>
    <xf numFmtId="0" fontId="5" fillId="3" borderId="60" xfId="0" applyFont="1" applyFill="1" applyBorder="1" applyAlignment="1" applyProtection="1">
      <alignment horizontal="left" vertical="top" wrapText="1"/>
    </xf>
    <xf numFmtId="165" fontId="27" fillId="3" borderId="3" xfId="0" applyNumberFormat="1" applyFont="1" applyFill="1" applyBorder="1" applyAlignment="1" applyProtection="1">
      <alignment horizontal="left" vertical="top"/>
      <protection locked="0"/>
    </xf>
    <xf numFmtId="165" fontId="27" fillId="3" borderId="0" xfId="0" applyNumberFormat="1" applyFont="1" applyFill="1" applyBorder="1" applyAlignment="1" applyProtection="1">
      <alignment horizontal="left" vertical="top"/>
      <protection locked="0"/>
    </xf>
    <xf numFmtId="0" fontId="5" fillId="4" borderId="134" xfId="7" applyFont="1" applyFill="1" applyBorder="1" applyAlignment="1" applyProtection="1">
      <alignment horizontal="left" vertical="top" wrapText="1"/>
      <protection locked="0"/>
    </xf>
    <xf numFmtId="0" fontId="5" fillId="4" borderId="70" xfId="7" applyFont="1" applyFill="1" applyBorder="1" applyAlignment="1" applyProtection="1">
      <alignment horizontal="left" vertical="top" wrapText="1"/>
      <protection locked="0"/>
    </xf>
    <xf numFmtId="0" fontId="5" fillId="4" borderId="135" xfId="7" applyFont="1" applyFill="1" applyBorder="1" applyAlignment="1" applyProtection="1">
      <alignment horizontal="left" vertical="top" wrapText="1"/>
      <protection locked="0"/>
    </xf>
    <xf numFmtId="0" fontId="36" fillId="0" borderId="141" xfId="0" applyFont="1" applyBorder="1" applyAlignment="1" applyProtection="1">
      <alignment horizontal="center"/>
    </xf>
    <xf numFmtId="0" fontId="36" fillId="0" borderId="67" xfId="0" applyFont="1" applyBorder="1" applyAlignment="1" applyProtection="1">
      <alignment horizontal="center"/>
    </xf>
    <xf numFmtId="0" fontId="36" fillId="0" borderId="142" xfId="0" applyFont="1" applyBorder="1" applyAlignment="1" applyProtection="1">
      <alignment horizontal="center"/>
    </xf>
    <xf numFmtId="0" fontId="36" fillId="0" borderId="153" xfId="0" applyFont="1" applyBorder="1" applyAlignment="1" applyProtection="1">
      <alignment horizontal="center"/>
    </xf>
    <xf numFmtId="0" fontId="36" fillId="0" borderId="154" xfId="0" applyFont="1" applyBorder="1" applyAlignment="1" applyProtection="1">
      <alignment horizontal="center"/>
    </xf>
    <xf numFmtId="0" fontId="36" fillId="0" borderId="155" xfId="0" applyFont="1" applyBorder="1" applyAlignment="1" applyProtection="1">
      <alignment horizontal="center"/>
    </xf>
    <xf numFmtId="9" fontId="5" fillId="4" borderId="42" xfId="7" applyNumberFormat="1" applyFont="1" applyFill="1" applyBorder="1" applyAlignment="1" applyProtection="1">
      <alignment horizontal="center" vertical="center" wrapText="1"/>
      <protection locked="0"/>
    </xf>
    <xf numFmtId="9" fontId="5" fillId="4" borderId="43" xfId="7" applyNumberFormat="1" applyFont="1" applyFill="1" applyBorder="1" applyAlignment="1" applyProtection="1">
      <alignment horizontal="center" vertical="center" wrapText="1"/>
      <protection locked="0"/>
    </xf>
    <xf numFmtId="9" fontId="5" fillId="4" borderId="10" xfId="7" applyNumberFormat="1" applyFont="1" applyFill="1" applyBorder="1" applyAlignment="1" applyProtection="1">
      <alignment horizontal="center" vertical="center" wrapText="1"/>
      <protection locked="0"/>
    </xf>
    <xf numFmtId="9" fontId="5" fillId="4" borderId="4" xfId="7" applyNumberFormat="1" applyFont="1" applyFill="1" applyBorder="1" applyAlignment="1" applyProtection="1">
      <alignment horizontal="center" vertical="center" wrapText="1"/>
      <protection locked="0"/>
    </xf>
    <xf numFmtId="9" fontId="5" fillId="4" borderId="44" xfId="7" applyNumberFormat="1" applyFont="1" applyFill="1" applyBorder="1" applyAlignment="1" applyProtection="1">
      <alignment horizontal="center" vertical="center" wrapText="1"/>
      <protection locked="0"/>
    </xf>
    <xf numFmtId="9" fontId="5" fillId="4" borderId="41" xfId="7" applyNumberFormat="1" applyFont="1" applyFill="1" applyBorder="1" applyAlignment="1" applyProtection="1">
      <alignment horizontal="center" vertical="center" wrapText="1"/>
      <protection locked="0"/>
    </xf>
    <xf numFmtId="14" fontId="5" fillId="4" borderId="42" xfId="7" applyNumberFormat="1" applyFont="1" applyFill="1" applyBorder="1" applyAlignment="1" applyProtection="1">
      <alignment horizontal="center" vertical="center" wrapText="1"/>
      <protection locked="0"/>
    </xf>
    <xf numFmtId="14" fontId="5" fillId="4" borderId="176" xfId="7" applyNumberFormat="1" applyFont="1" applyFill="1" applyBorder="1" applyAlignment="1" applyProtection="1">
      <alignment horizontal="center" vertical="center" wrapText="1"/>
      <protection locked="0"/>
    </xf>
    <xf numFmtId="14" fontId="5" fillId="4" borderId="10" xfId="7" applyNumberFormat="1" applyFont="1" applyFill="1" applyBorder="1" applyAlignment="1" applyProtection="1">
      <alignment horizontal="center" vertical="center" wrapText="1"/>
      <protection locked="0"/>
    </xf>
    <xf numFmtId="14" fontId="5" fillId="4" borderId="35" xfId="7" applyNumberFormat="1" applyFont="1" applyFill="1" applyBorder="1" applyAlignment="1" applyProtection="1">
      <alignment horizontal="center" vertical="center" wrapText="1"/>
      <protection locked="0"/>
    </xf>
    <xf numFmtId="14" fontId="5" fillId="4" borderId="44" xfId="7" applyNumberFormat="1" applyFont="1" applyFill="1" applyBorder="1" applyAlignment="1" applyProtection="1">
      <alignment horizontal="center" vertical="center" wrapText="1"/>
      <protection locked="0"/>
    </xf>
    <xf numFmtId="14" fontId="5" fillId="4" borderId="177" xfId="7" applyNumberFormat="1" applyFont="1" applyFill="1" applyBorder="1" applyAlignment="1" applyProtection="1">
      <alignment horizontal="center" vertical="center" wrapText="1"/>
      <protection locked="0"/>
    </xf>
    <xf numFmtId="0" fontId="57" fillId="0" borderId="8" xfId="3" applyFont="1" applyBorder="1" applyAlignment="1" applyProtection="1">
      <alignment vertical="center" wrapText="1"/>
      <protection locked="0"/>
    </xf>
    <xf numFmtId="0" fontId="57" fillId="0" borderId="118" xfId="3" applyFont="1" applyBorder="1" applyAlignment="1" applyProtection="1">
      <alignment vertical="center" wrapText="1"/>
      <protection locked="0"/>
    </xf>
    <xf numFmtId="0" fontId="57" fillId="0" borderId="7" xfId="3" applyFont="1" applyBorder="1" applyAlignment="1" applyProtection="1">
      <alignment vertical="center" wrapText="1"/>
      <protection locked="0"/>
    </xf>
    <xf numFmtId="0" fontId="57" fillId="0" borderId="62" xfId="3" applyFont="1" applyBorder="1" applyAlignment="1" applyProtection="1">
      <alignment vertical="center" wrapText="1"/>
      <protection locked="0"/>
    </xf>
    <xf numFmtId="0" fontId="57" fillId="0" borderId="8" xfId="3" applyFont="1" applyBorder="1" applyAlignment="1" applyProtection="1">
      <alignment vertical="top" wrapText="1"/>
      <protection locked="0"/>
    </xf>
    <xf numFmtId="0" fontId="57" fillId="0" borderId="118" xfId="3" applyFont="1" applyBorder="1" applyAlignment="1" applyProtection="1">
      <alignment vertical="top" wrapText="1"/>
      <protection locked="0"/>
    </xf>
    <xf numFmtId="0" fontId="57" fillId="0" borderId="7" xfId="3" applyFont="1" applyBorder="1" applyAlignment="1" applyProtection="1">
      <alignment vertical="top" wrapText="1"/>
      <protection locked="0"/>
    </xf>
    <xf numFmtId="0" fontId="57" fillId="0" borderId="62" xfId="3" applyFont="1" applyBorder="1" applyAlignment="1" applyProtection="1">
      <alignment vertical="top" wrapText="1"/>
      <protection locked="0"/>
    </xf>
    <xf numFmtId="0" fontId="1" fillId="0" borderId="8" xfId="3" applyFont="1" applyBorder="1" applyAlignment="1" applyProtection="1">
      <alignment vertical="center" wrapText="1"/>
      <protection locked="0"/>
    </xf>
    <xf numFmtId="49" fontId="11" fillId="0" borderId="8" xfId="3" applyNumberFormat="1" applyFont="1" applyFill="1" applyBorder="1" applyAlignment="1" applyProtection="1">
      <alignment horizontal="left" vertical="top" wrapText="1"/>
      <protection locked="0"/>
    </xf>
    <xf numFmtId="49" fontId="11" fillId="0" borderId="118" xfId="3" applyNumberFormat="1" applyFont="1" applyFill="1" applyBorder="1" applyAlignment="1" applyProtection="1">
      <alignment horizontal="left" vertical="top" wrapText="1"/>
      <protection locked="0"/>
    </xf>
    <xf numFmtId="49" fontId="11" fillId="0" borderId="7" xfId="3" applyNumberFormat="1" applyFont="1" applyFill="1" applyBorder="1" applyAlignment="1" applyProtection="1">
      <alignment horizontal="left" vertical="top" wrapText="1"/>
      <protection locked="0"/>
    </xf>
    <xf numFmtId="49" fontId="11" fillId="0" borderId="62" xfId="3" applyNumberFormat="1" applyFont="1" applyFill="1" applyBorder="1" applyAlignment="1" applyProtection="1">
      <alignment horizontal="left" vertical="top" wrapText="1"/>
      <protection locked="0"/>
    </xf>
    <xf numFmtId="0" fontId="58" fillId="0" borderId="8" xfId="3" applyFont="1" applyFill="1" applyBorder="1" applyAlignment="1" applyProtection="1">
      <alignment horizontal="left" vertical="top" wrapText="1"/>
      <protection locked="0"/>
    </xf>
    <xf numFmtId="0" fontId="58" fillId="0" borderId="118" xfId="3" applyFont="1" applyFill="1" applyBorder="1" applyAlignment="1" applyProtection="1">
      <alignment horizontal="left" vertical="top" wrapText="1"/>
      <protection locked="0"/>
    </xf>
    <xf numFmtId="0" fontId="58" fillId="0" borderId="7" xfId="3" applyFont="1" applyFill="1" applyBorder="1" applyAlignment="1" applyProtection="1">
      <alignment horizontal="left" vertical="top" wrapText="1"/>
      <protection locked="0"/>
    </xf>
    <xf numFmtId="0" fontId="58" fillId="0" borderId="62" xfId="3" applyFont="1" applyFill="1" applyBorder="1" applyAlignment="1" applyProtection="1">
      <alignment horizontal="left" vertical="top" wrapText="1"/>
      <protection locked="0"/>
    </xf>
    <xf numFmtId="0" fontId="33" fillId="4" borderId="56" xfId="7" applyFont="1" applyFill="1" applyBorder="1" applyAlignment="1" applyProtection="1">
      <alignment horizontal="left" vertical="top" wrapText="1"/>
      <protection locked="0"/>
    </xf>
    <xf numFmtId="0" fontId="33" fillId="4" borderId="35" xfId="7" applyFont="1" applyFill="1" applyBorder="1" applyAlignment="1" applyProtection="1">
      <alignment horizontal="left" vertical="top" wrapText="1"/>
      <protection locked="0"/>
    </xf>
    <xf numFmtId="14" fontId="33" fillId="4" borderId="51" xfId="7" applyNumberFormat="1" applyFont="1" applyFill="1" applyBorder="1" applyAlignment="1" applyProtection="1">
      <alignment horizontal="left" vertical="top" wrapText="1"/>
      <protection locked="0"/>
    </xf>
    <xf numFmtId="0" fontId="33" fillId="4" borderId="51" xfId="7" applyFont="1" applyFill="1" applyBorder="1" applyAlignment="1" applyProtection="1">
      <alignment horizontal="left" vertical="top" wrapText="1"/>
      <protection locked="0"/>
    </xf>
    <xf numFmtId="0" fontId="5" fillId="4" borderId="139" xfId="7" applyFont="1" applyFill="1" applyBorder="1" applyAlignment="1" applyProtection="1">
      <alignment horizontal="left" vertical="top" wrapText="1"/>
      <protection locked="0"/>
    </xf>
    <xf numFmtId="14" fontId="5" fillId="4" borderId="90" xfId="7" applyNumberFormat="1" applyFont="1" applyFill="1" applyBorder="1" applyAlignment="1" applyProtection="1">
      <alignment horizontal="left" vertical="top" wrapText="1"/>
      <protection locked="0"/>
    </xf>
    <xf numFmtId="0" fontId="5" fillId="0" borderId="7" xfId="0" applyFont="1" applyBorder="1" applyAlignment="1" applyProtection="1">
      <alignment horizontal="left" wrapText="1"/>
    </xf>
    <xf numFmtId="0" fontId="5" fillId="3" borderId="114" xfId="0" applyFont="1" applyFill="1" applyBorder="1" applyAlignment="1" applyProtection="1">
      <alignment vertical="top" wrapText="1"/>
      <protection locked="0"/>
    </xf>
    <xf numFmtId="0" fontId="5" fillId="3" borderId="67" xfId="0" applyFont="1" applyFill="1" applyBorder="1" applyAlignment="1" applyProtection="1">
      <alignment vertical="top" wrapText="1"/>
      <protection locked="0"/>
    </xf>
    <xf numFmtId="0" fontId="5" fillId="3" borderId="140" xfId="0" applyFont="1" applyFill="1" applyBorder="1" applyAlignment="1" applyProtection="1">
      <alignment vertical="top" wrapText="1"/>
      <protection locked="0"/>
    </xf>
    <xf numFmtId="14" fontId="5" fillId="4" borderId="88" xfId="7" applyNumberFormat="1" applyFont="1" applyFill="1" applyBorder="1" applyAlignment="1" applyProtection="1">
      <alignment horizontal="center" vertical="center" wrapText="1"/>
      <protection locked="0"/>
    </xf>
    <xf numFmtId="0" fontId="5" fillId="4" borderId="137" xfId="7" applyFont="1" applyFill="1" applyBorder="1" applyAlignment="1" applyProtection="1">
      <alignment horizontal="center" vertical="center" wrapText="1"/>
      <protection locked="0"/>
    </xf>
    <xf numFmtId="0" fontId="7" fillId="0" borderId="104" xfId="0" applyFont="1" applyBorder="1" applyAlignment="1">
      <alignment horizontal="center" vertical="center"/>
    </xf>
    <xf numFmtId="0" fontId="7" fillId="0" borderId="45" xfId="0" applyFont="1" applyBorder="1" applyAlignment="1">
      <alignment horizontal="center" vertical="center"/>
    </xf>
    <xf numFmtId="0" fontId="7" fillId="0" borderId="128" xfId="0" applyFont="1" applyBorder="1" applyAlignment="1">
      <alignment horizontal="center" vertical="center"/>
    </xf>
    <xf numFmtId="0" fontId="5" fillId="4" borderId="68" xfId="7" applyFont="1" applyFill="1" applyBorder="1" applyAlignment="1" applyProtection="1">
      <alignment horizontal="center" vertical="top" wrapText="1"/>
      <protection locked="0"/>
    </xf>
    <xf numFmtId="0" fontId="5" fillId="4" borderId="73" xfId="7" applyFont="1" applyFill="1" applyBorder="1" applyAlignment="1" applyProtection="1">
      <alignment horizontal="center" vertical="top" wrapText="1"/>
      <protection locked="0"/>
    </xf>
    <xf numFmtId="49" fontId="37" fillId="2" borderId="35" xfId="0" applyNumberFormat="1" applyFont="1" applyFill="1" applyBorder="1" applyAlignment="1" applyProtection="1">
      <alignment horizontal="center" vertical="center" textRotation="90"/>
    </xf>
    <xf numFmtId="0" fontId="5" fillId="6" borderId="0" xfId="0" applyFont="1" applyFill="1" applyBorder="1" applyAlignment="1" applyProtection="1"/>
    <xf numFmtId="0" fontId="5" fillId="7" borderId="0" xfId="0" applyFont="1" applyFill="1" applyBorder="1" applyAlignment="1" applyProtection="1">
      <alignment horizontal="center"/>
    </xf>
    <xf numFmtId="0" fontId="5" fillId="8" borderId="0" xfId="0" applyFont="1" applyFill="1" applyBorder="1" applyAlignment="1" applyProtection="1">
      <alignment horizontal="center"/>
    </xf>
    <xf numFmtId="0" fontId="57" fillId="0" borderId="8" xfId="3" applyFont="1" applyFill="1" applyBorder="1" applyAlignment="1" applyProtection="1">
      <alignment horizontal="left" vertical="center" wrapText="1"/>
      <protection locked="0"/>
    </xf>
    <xf numFmtId="0" fontId="57" fillId="0" borderId="118" xfId="3" applyFont="1" applyFill="1" applyBorder="1" applyAlignment="1" applyProtection="1">
      <alignment horizontal="left" vertical="center" wrapText="1"/>
      <protection locked="0"/>
    </xf>
    <xf numFmtId="0" fontId="57" fillId="0" borderId="7" xfId="3" applyFont="1" applyFill="1" applyBorder="1" applyAlignment="1" applyProtection="1">
      <alignment horizontal="left" vertical="center" wrapText="1"/>
      <protection locked="0"/>
    </xf>
    <xf numFmtId="0" fontId="57" fillId="0" borderId="62" xfId="3" applyFont="1" applyFill="1" applyBorder="1" applyAlignment="1" applyProtection="1">
      <alignment horizontal="left" vertical="center" wrapText="1"/>
      <protection locked="0"/>
    </xf>
    <xf numFmtId="0" fontId="54" fillId="0" borderId="0" xfId="11" applyFont="1" applyBorder="1" applyAlignment="1">
      <alignment horizontal="left" vertical="center" wrapText="1"/>
    </xf>
    <xf numFmtId="0" fontId="52" fillId="0" borderId="165" xfId="13" applyFont="1" applyBorder="1" applyAlignment="1">
      <alignment horizontal="center" vertical="center"/>
    </xf>
    <xf numFmtId="0" fontId="52" fillId="0" borderId="166" xfId="13" applyFont="1" applyBorder="1" applyAlignment="1">
      <alignment horizontal="center" vertical="center"/>
    </xf>
    <xf numFmtId="0" fontId="52" fillId="0" borderId="164" xfId="13" applyFont="1" applyBorder="1" applyAlignment="1">
      <alignment horizontal="center" vertical="center"/>
    </xf>
    <xf numFmtId="0" fontId="5" fillId="2" borderId="0" xfId="0" applyFont="1" applyFill="1" applyBorder="1" applyAlignment="1" applyProtection="1">
      <alignment horizontal="left" vertical="top" wrapText="1"/>
      <protection locked="0"/>
    </xf>
    <xf numFmtId="0" fontId="5" fillId="2" borderId="50" xfId="0" applyFont="1" applyFill="1" applyBorder="1" applyAlignment="1" applyProtection="1">
      <alignment horizontal="left" vertical="top" wrapText="1"/>
      <protection locked="0"/>
    </xf>
    <xf numFmtId="0" fontId="5" fillId="2" borderId="51" xfId="0" applyFont="1" applyFill="1" applyBorder="1" applyAlignment="1" applyProtection="1">
      <alignment horizontal="left" vertical="top" wrapText="1"/>
      <protection locked="0"/>
    </xf>
  </cellXfs>
  <cellStyles count="14">
    <cellStyle name="Euro" xfId="4"/>
    <cellStyle name="Euro 2" xfId="9"/>
    <cellStyle name="Hyperlink" xfId="1" builtinId="8"/>
    <cellStyle name="Moneda_110331_Berechnungsblatt_Risikobewertung_01_EN" xfId="12"/>
    <cellStyle name="Normal" xfId="0" builtinId="0"/>
    <cellStyle name="Normal 2" xfId="5"/>
    <cellStyle name="Normál 2" xfId="13"/>
    <cellStyle name="Normal 4" xfId="2"/>
    <cellStyle name="Normal_110331_Berechnungsblatt_Risikobewertung_01_EN" xfId="11"/>
    <cellStyle name="Prozent 2" xfId="6"/>
    <cellStyle name="Standard 2" xfId="3"/>
    <cellStyle name="Standard 2 2" xfId="7"/>
    <cellStyle name="Standard 3" xfId="8"/>
    <cellStyle name="Standard 4" xfId="10"/>
  </cellStyles>
  <dxfs count="115">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s>
  <tableStyles count="0" defaultTableStyle="TableStyleMedium9" defaultPivotStyle="PivotStyleLight16"/>
  <colors>
    <mruColors>
      <color rgb="FFFFFFCC"/>
      <color rgb="FFFFFF99"/>
      <color rgb="FFEAED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customXml" Target="../customXml/item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ctrlProps/ctrlProp1.xml><?xml version="1.0" encoding="utf-8"?>
<formControlPr xmlns="http://schemas.microsoft.com/office/spreadsheetml/2009/9/main" objectType="Drop" dropLines="15" dropStyle="combo" dx="16" fmlaRange="$G$1:$G$15" sel="4"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28</xdr:col>
      <xdr:colOff>402804</xdr:colOff>
      <xdr:row>75</xdr:row>
      <xdr:rowOff>43889</xdr:rowOff>
    </xdr:from>
    <xdr:to>
      <xdr:col>41</xdr:col>
      <xdr:colOff>263105</xdr:colOff>
      <xdr:row>75</xdr:row>
      <xdr:rowOff>43890</xdr:rowOff>
    </xdr:to>
    <xdr:sp macro="" textlink="">
      <xdr:nvSpPr>
        <xdr:cNvPr id="42" name="Line 49">
          <a:extLst>
            <a:ext uri="{FF2B5EF4-FFF2-40B4-BE49-F238E27FC236}">
              <a16:creationId xmlns:a16="http://schemas.microsoft.com/office/drawing/2014/main" id="{00000000-0008-0000-0000-00002A000000}"/>
            </a:ext>
          </a:extLst>
        </xdr:cNvPr>
        <xdr:cNvSpPr>
          <a:spLocks noChangeShapeType="1"/>
        </xdr:cNvSpPr>
      </xdr:nvSpPr>
      <xdr:spPr bwMode="auto">
        <a:xfrm>
          <a:off x="12774098" y="9770595"/>
          <a:ext cx="9329272" cy="1"/>
        </a:xfrm>
        <a:prstGeom prst="line">
          <a:avLst/>
        </a:prstGeom>
        <a:noFill/>
        <a:ln w="31750">
          <a:solidFill>
            <a:schemeClr val="tx1"/>
          </a:solidFill>
          <a:round/>
          <a:headEnd/>
          <a:tailEnd type="triangle" w="lg" len="lg"/>
        </a:ln>
        <a:effectLst/>
      </xdr:spPr>
      <xdr:txBody>
        <a:bodyPr wrap="square" anchor="ctr"/>
        <a:lstStyle>
          <a:defPPr>
            <a:defRPr lang="de-DE"/>
          </a:defPPr>
          <a:lvl1pPr algn="l" rtl="0" eaLnBrk="0" fontAlgn="base" hangingPunct="0">
            <a:spcBef>
              <a:spcPct val="0"/>
            </a:spcBef>
            <a:spcAft>
              <a:spcPct val="0"/>
            </a:spcAft>
            <a:defRPr kern="1200">
              <a:solidFill>
                <a:schemeClr val="tx1"/>
              </a:solidFill>
              <a:latin typeface="Bosch Office Sans" pitchFamily="34" charset="0"/>
              <a:ea typeface="+mn-ea"/>
              <a:cs typeface="+mn-cs"/>
            </a:defRPr>
          </a:lvl1pPr>
          <a:lvl2pPr marL="457200" algn="l" rtl="0" eaLnBrk="0" fontAlgn="base" hangingPunct="0">
            <a:spcBef>
              <a:spcPct val="0"/>
            </a:spcBef>
            <a:spcAft>
              <a:spcPct val="0"/>
            </a:spcAft>
            <a:defRPr kern="1200">
              <a:solidFill>
                <a:schemeClr val="tx1"/>
              </a:solidFill>
              <a:latin typeface="Bosch Office Sans" pitchFamily="34" charset="0"/>
              <a:ea typeface="+mn-ea"/>
              <a:cs typeface="+mn-cs"/>
            </a:defRPr>
          </a:lvl2pPr>
          <a:lvl3pPr marL="914400" algn="l" rtl="0" eaLnBrk="0" fontAlgn="base" hangingPunct="0">
            <a:spcBef>
              <a:spcPct val="0"/>
            </a:spcBef>
            <a:spcAft>
              <a:spcPct val="0"/>
            </a:spcAft>
            <a:defRPr kern="1200">
              <a:solidFill>
                <a:schemeClr val="tx1"/>
              </a:solidFill>
              <a:latin typeface="Bosch Office Sans" pitchFamily="34" charset="0"/>
              <a:ea typeface="+mn-ea"/>
              <a:cs typeface="+mn-cs"/>
            </a:defRPr>
          </a:lvl3pPr>
          <a:lvl4pPr marL="1371600" algn="l" rtl="0" eaLnBrk="0" fontAlgn="base" hangingPunct="0">
            <a:spcBef>
              <a:spcPct val="0"/>
            </a:spcBef>
            <a:spcAft>
              <a:spcPct val="0"/>
            </a:spcAft>
            <a:defRPr kern="1200">
              <a:solidFill>
                <a:schemeClr val="tx1"/>
              </a:solidFill>
              <a:latin typeface="Bosch Office Sans" pitchFamily="34" charset="0"/>
              <a:ea typeface="+mn-ea"/>
              <a:cs typeface="+mn-cs"/>
            </a:defRPr>
          </a:lvl4pPr>
          <a:lvl5pPr marL="1828800" algn="l" rtl="0" eaLnBrk="0" fontAlgn="base" hangingPunct="0">
            <a:spcBef>
              <a:spcPct val="0"/>
            </a:spcBef>
            <a:spcAft>
              <a:spcPct val="0"/>
            </a:spcAft>
            <a:defRPr kern="1200">
              <a:solidFill>
                <a:schemeClr val="tx1"/>
              </a:solidFill>
              <a:latin typeface="Bosch Office Sans" pitchFamily="34" charset="0"/>
              <a:ea typeface="+mn-ea"/>
              <a:cs typeface="+mn-cs"/>
            </a:defRPr>
          </a:lvl5pPr>
          <a:lvl6pPr marL="2286000" algn="l" defTabSz="914400" rtl="0" eaLnBrk="1" latinLnBrk="0" hangingPunct="1">
            <a:defRPr kern="1200">
              <a:solidFill>
                <a:schemeClr val="tx1"/>
              </a:solidFill>
              <a:latin typeface="Bosch Office Sans" pitchFamily="34" charset="0"/>
              <a:ea typeface="+mn-ea"/>
              <a:cs typeface="+mn-cs"/>
            </a:defRPr>
          </a:lvl6pPr>
          <a:lvl7pPr marL="2743200" algn="l" defTabSz="914400" rtl="0" eaLnBrk="1" latinLnBrk="0" hangingPunct="1">
            <a:defRPr kern="1200">
              <a:solidFill>
                <a:schemeClr val="tx1"/>
              </a:solidFill>
              <a:latin typeface="Bosch Office Sans" pitchFamily="34" charset="0"/>
              <a:ea typeface="+mn-ea"/>
              <a:cs typeface="+mn-cs"/>
            </a:defRPr>
          </a:lvl7pPr>
          <a:lvl8pPr marL="3200400" algn="l" defTabSz="914400" rtl="0" eaLnBrk="1" latinLnBrk="0" hangingPunct="1">
            <a:defRPr kern="1200">
              <a:solidFill>
                <a:schemeClr val="tx1"/>
              </a:solidFill>
              <a:latin typeface="Bosch Office Sans" pitchFamily="34" charset="0"/>
              <a:ea typeface="+mn-ea"/>
              <a:cs typeface="+mn-cs"/>
            </a:defRPr>
          </a:lvl8pPr>
          <a:lvl9pPr marL="3657600" algn="l" defTabSz="914400" rtl="0" eaLnBrk="1" latinLnBrk="0" hangingPunct="1">
            <a:defRPr kern="1200">
              <a:solidFill>
                <a:schemeClr val="tx1"/>
              </a:solidFill>
              <a:latin typeface="Bosch Office Sans" pitchFamily="34" charset="0"/>
              <a:ea typeface="+mn-ea"/>
              <a:cs typeface="+mn-cs"/>
            </a:defRPr>
          </a:lvl9pPr>
        </a:lstStyle>
        <a:p>
          <a:endParaRPr lang="de-DE"/>
        </a:p>
      </xdr:txBody>
    </xdr:sp>
    <xdr:clientData/>
  </xdr:twoCellAnchor>
  <xdr:twoCellAnchor>
    <xdr:from>
      <xdr:col>30</xdr:col>
      <xdr:colOff>190500</xdr:colOff>
      <xdr:row>74</xdr:row>
      <xdr:rowOff>0</xdr:rowOff>
    </xdr:from>
    <xdr:to>
      <xdr:col>30</xdr:col>
      <xdr:colOff>392206</xdr:colOff>
      <xdr:row>75</xdr:row>
      <xdr:rowOff>33618</xdr:rowOff>
    </xdr:to>
    <xdr:cxnSp macro="">
      <xdr:nvCxnSpPr>
        <xdr:cNvPr id="43" name="Gerade Verbindung mit Pfeil 58">
          <a:extLst>
            <a:ext uri="{FF2B5EF4-FFF2-40B4-BE49-F238E27FC236}">
              <a16:creationId xmlns:a16="http://schemas.microsoft.com/office/drawing/2014/main" id="{00000000-0008-0000-0000-00002B000000}"/>
            </a:ext>
          </a:extLst>
        </xdr:cNvPr>
        <xdr:cNvCxnSpPr/>
      </xdr:nvCxnSpPr>
      <xdr:spPr>
        <a:xfrm>
          <a:off x="14018559" y="9233647"/>
          <a:ext cx="201706" cy="52667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178593</xdr:colOff>
      <xdr:row>74</xdr:row>
      <xdr:rowOff>11906</xdr:rowOff>
    </xdr:from>
    <xdr:to>
      <xdr:col>35</xdr:col>
      <xdr:colOff>308043</xdr:colOff>
      <xdr:row>75</xdr:row>
      <xdr:rowOff>40532</xdr:rowOff>
    </xdr:to>
    <xdr:cxnSp macro="">
      <xdr:nvCxnSpPr>
        <xdr:cNvPr id="44" name="Gerade Verbindung mit Pfeil 59">
          <a:extLst>
            <a:ext uri="{FF2B5EF4-FFF2-40B4-BE49-F238E27FC236}">
              <a16:creationId xmlns:a16="http://schemas.microsoft.com/office/drawing/2014/main" id="{00000000-0008-0000-0000-00002C000000}"/>
            </a:ext>
          </a:extLst>
        </xdr:cNvPr>
        <xdr:cNvCxnSpPr/>
      </xdr:nvCxnSpPr>
      <xdr:spPr>
        <a:xfrm>
          <a:off x="17518146" y="9423417"/>
          <a:ext cx="129450" cy="523115"/>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178593</xdr:colOff>
      <xdr:row>74</xdr:row>
      <xdr:rowOff>11905</xdr:rowOff>
    </xdr:from>
    <xdr:to>
      <xdr:col>40</xdr:col>
      <xdr:colOff>316149</xdr:colOff>
      <xdr:row>75</xdr:row>
      <xdr:rowOff>56745</xdr:rowOff>
    </xdr:to>
    <xdr:cxnSp macro="">
      <xdr:nvCxnSpPr>
        <xdr:cNvPr id="45" name="Gerade Verbindung mit Pfeil 60">
          <a:extLst>
            <a:ext uri="{FF2B5EF4-FFF2-40B4-BE49-F238E27FC236}">
              <a16:creationId xmlns:a16="http://schemas.microsoft.com/office/drawing/2014/main" id="{00000000-0008-0000-0000-00002D000000}"/>
            </a:ext>
          </a:extLst>
        </xdr:cNvPr>
        <xdr:cNvCxnSpPr/>
      </xdr:nvCxnSpPr>
      <xdr:spPr>
        <a:xfrm>
          <a:off x="21145753" y="9423416"/>
          <a:ext cx="137556" cy="539329"/>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190500</xdr:colOff>
      <xdr:row>75</xdr:row>
      <xdr:rowOff>48638</xdr:rowOff>
    </xdr:from>
    <xdr:to>
      <xdr:col>30</xdr:col>
      <xdr:colOff>385053</xdr:colOff>
      <xdr:row>78</xdr:row>
      <xdr:rowOff>154782</xdr:rowOff>
    </xdr:to>
    <xdr:cxnSp macro="">
      <xdr:nvCxnSpPr>
        <xdr:cNvPr id="46" name="Gerade Verbindung mit Pfeil 61">
          <a:extLst>
            <a:ext uri="{FF2B5EF4-FFF2-40B4-BE49-F238E27FC236}">
              <a16:creationId xmlns:a16="http://schemas.microsoft.com/office/drawing/2014/main" id="{00000000-0008-0000-0000-00002E000000}"/>
            </a:ext>
          </a:extLst>
        </xdr:cNvPr>
        <xdr:cNvCxnSpPr/>
      </xdr:nvCxnSpPr>
      <xdr:spPr>
        <a:xfrm flipV="1">
          <a:off x="13902447" y="9954638"/>
          <a:ext cx="194553" cy="59252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166687</xdr:colOff>
      <xdr:row>75</xdr:row>
      <xdr:rowOff>56745</xdr:rowOff>
    </xdr:from>
    <xdr:to>
      <xdr:col>35</xdr:col>
      <xdr:colOff>299936</xdr:colOff>
      <xdr:row>78</xdr:row>
      <xdr:rowOff>142873</xdr:rowOff>
    </xdr:to>
    <xdr:cxnSp macro="">
      <xdr:nvCxnSpPr>
        <xdr:cNvPr id="47" name="Gerade Verbindung mit Pfeil 62">
          <a:extLst>
            <a:ext uri="{FF2B5EF4-FFF2-40B4-BE49-F238E27FC236}">
              <a16:creationId xmlns:a16="http://schemas.microsoft.com/office/drawing/2014/main" id="{00000000-0008-0000-0000-00002F000000}"/>
            </a:ext>
          </a:extLst>
        </xdr:cNvPr>
        <xdr:cNvCxnSpPr/>
      </xdr:nvCxnSpPr>
      <xdr:spPr>
        <a:xfrm flipV="1">
          <a:off x="17506240" y="9962745"/>
          <a:ext cx="133249" cy="572511"/>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166687</xdr:colOff>
      <xdr:row>75</xdr:row>
      <xdr:rowOff>60798</xdr:rowOff>
    </xdr:from>
    <xdr:to>
      <xdr:col>40</xdr:col>
      <xdr:colOff>303989</xdr:colOff>
      <xdr:row>78</xdr:row>
      <xdr:rowOff>154779</xdr:rowOff>
    </xdr:to>
    <xdr:cxnSp macro="">
      <xdr:nvCxnSpPr>
        <xdr:cNvPr id="48" name="Gerade Verbindung mit Pfeil 63">
          <a:extLst>
            <a:ext uri="{FF2B5EF4-FFF2-40B4-BE49-F238E27FC236}">
              <a16:creationId xmlns:a16="http://schemas.microsoft.com/office/drawing/2014/main" id="{00000000-0008-0000-0000-000030000000}"/>
            </a:ext>
          </a:extLst>
        </xdr:cNvPr>
        <xdr:cNvCxnSpPr/>
      </xdr:nvCxnSpPr>
      <xdr:spPr>
        <a:xfrm flipV="1">
          <a:off x="21133847" y="9966798"/>
          <a:ext cx="137302" cy="580364"/>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662609</xdr:colOff>
      <xdr:row>93</xdr:row>
      <xdr:rowOff>82827</xdr:rowOff>
    </xdr:from>
    <xdr:to>
      <xdr:col>14</xdr:col>
      <xdr:colOff>400326</xdr:colOff>
      <xdr:row>93</xdr:row>
      <xdr:rowOff>82827</xdr:rowOff>
    </xdr:to>
    <xdr:cxnSp macro="">
      <xdr:nvCxnSpPr>
        <xdr:cNvPr id="5" name="Egyenes összekötő nyíllal 4">
          <a:extLst>
            <a:ext uri="{FF2B5EF4-FFF2-40B4-BE49-F238E27FC236}">
              <a16:creationId xmlns:a16="http://schemas.microsoft.com/office/drawing/2014/main" id="{00000000-0008-0000-0000-000005000000}"/>
            </a:ext>
          </a:extLst>
        </xdr:cNvPr>
        <xdr:cNvCxnSpPr/>
      </xdr:nvCxnSpPr>
      <xdr:spPr>
        <a:xfrm>
          <a:off x="4845326" y="12879457"/>
          <a:ext cx="173934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105</xdr:row>
          <xdr:rowOff>9525</xdr:rowOff>
        </xdr:from>
        <xdr:to>
          <xdr:col>5</xdr:col>
          <xdr:colOff>0</xdr:colOff>
          <xdr:row>106</xdr:row>
          <xdr:rowOff>66675</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51954</xdr:colOff>
      <xdr:row>17</xdr:row>
      <xdr:rowOff>69272</xdr:rowOff>
    </xdr:from>
    <xdr:to>
      <xdr:col>6</xdr:col>
      <xdr:colOff>374449</xdr:colOff>
      <xdr:row>23</xdr:row>
      <xdr:rowOff>155863</xdr:rowOff>
    </xdr:to>
    <xdr:pic>
      <xdr:nvPicPr>
        <xdr:cNvPr id="11" name="Grafik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225136" y="865908"/>
          <a:ext cx="2954858" cy="1021773"/>
        </a:xfrm>
        <a:prstGeom prst="rect">
          <a:avLst/>
        </a:prstGeom>
      </xdr:spPr>
    </xdr:pic>
    <xdr:clientData/>
  </xdr:twoCellAnchor>
  <xdr:twoCellAnchor editAs="oneCell">
    <xdr:from>
      <xdr:col>28</xdr:col>
      <xdr:colOff>200024</xdr:colOff>
      <xdr:row>24</xdr:row>
      <xdr:rowOff>123825</xdr:rowOff>
    </xdr:from>
    <xdr:to>
      <xdr:col>32</xdr:col>
      <xdr:colOff>556683</xdr:colOff>
      <xdr:row>39</xdr:row>
      <xdr:rowOff>161925</xdr:rowOff>
    </xdr:to>
    <xdr:pic>
      <xdr:nvPicPr>
        <xdr:cNvPr id="12" name="Picture 11">
          <a:extLst>
            <a:ext uri="{FF2B5EF4-FFF2-40B4-BE49-F238E27FC236}">
              <a16:creationId xmlns:a16="http://schemas.microsoft.com/office/drawing/2014/main" id="{54FE9CAD-E97C-2B64-F8D6-D1734B19E6DB}"/>
            </a:ext>
          </a:extLst>
        </xdr:cNvPr>
        <xdr:cNvPicPr>
          <a:picLocks noChangeAspect="1"/>
        </xdr:cNvPicPr>
      </xdr:nvPicPr>
      <xdr:blipFill>
        <a:blip xmlns:r="http://schemas.openxmlformats.org/officeDocument/2006/relationships" r:embed="rId2"/>
        <a:srcRect l="8393" t="6151" r="61981" b="23809"/>
        <a:stretch/>
      </xdr:blipFill>
      <xdr:spPr>
        <a:xfrm>
          <a:off x="12782549" y="2038350"/>
          <a:ext cx="3252259" cy="2857500"/>
        </a:xfrm>
        <a:prstGeom prst="rect">
          <a:avLst/>
        </a:prstGeom>
      </xdr:spPr>
    </xdr:pic>
    <xdr:clientData/>
  </xdr:twoCellAnchor>
  <xdr:twoCellAnchor editAs="oneCell">
    <xdr:from>
      <xdr:col>35</xdr:col>
      <xdr:colOff>19049</xdr:colOff>
      <xdr:row>24</xdr:row>
      <xdr:rowOff>94863</xdr:rowOff>
    </xdr:from>
    <xdr:to>
      <xdr:col>39</xdr:col>
      <xdr:colOff>152400</xdr:colOff>
      <xdr:row>40</xdr:row>
      <xdr:rowOff>135816</xdr:rowOff>
    </xdr:to>
    <xdr:pic>
      <xdr:nvPicPr>
        <xdr:cNvPr id="14" name="Picture 13">
          <a:extLst>
            <a:ext uri="{FF2B5EF4-FFF2-40B4-BE49-F238E27FC236}">
              <a16:creationId xmlns:a16="http://schemas.microsoft.com/office/drawing/2014/main" id="{A7CFC12E-C21B-BE7B-0B59-3F4F95DE2349}"/>
            </a:ext>
          </a:extLst>
        </xdr:cNvPr>
        <xdr:cNvPicPr>
          <a:picLocks noChangeAspect="1"/>
        </xdr:cNvPicPr>
      </xdr:nvPicPr>
      <xdr:blipFill>
        <a:blip xmlns:r="http://schemas.openxmlformats.org/officeDocument/2006/relationships" r:embed="rId2"/>
        <a:srcRect l="43298" t="6151" r="32346" b="28254"/>
        <a:stretch/>
      </xdr:blipFill>
      <xdr:spPr>
        <a:xfrm>
          <a:off x="17668874" y="2009388"/>
          <a:ext cx="3028951" cy="3031803"/>
        </a:xfrm>
        <a:prstGeom prst="rect">
          <a:avLst/>
        </a:prstGeom>
      </xdr:spPr>
    </xdr:pic>
    <xdr:clientData/>
  </xdr:twoCellAnchor>
  <xdr:twoCellAnchor>
    <xdr:from>
      <xdr:col>28</xdr:col>
      <xdr:colOff>0</xdr:colOff>
      <xdr:row>43</xdr:row>
      <xdr:rowOff>114300</xdr:rowOff>
    </xdr:from>
    <xdr:to>
      <xdr:col>31</xdr:col>
      <xdr:colOff>57150</xdr:colOff>
      <xdr:row>46</xdr:row>
      <xdr:rowOff>101946</xdr:rowOff>
    </xdr:to>
    <xdr:sp macro="" textlink="">
      <xdr:nvSpPr>
        <xdr:cNvPr id="15" name="TextBox 11">
          <a:extLst>
            <a:ext uri="{FF2B5EF4-FFF2-40B4-BE49-F238E27FC236}">
              <a16:creationId xmlns:a16="http://schemas.microsoft.com/office/drawing/2014/main" id="{F8934F0D-92A0-AD95-2EAB-7A0800FCDA52}"/>
            </a:ext>
          </a:extLst>
        </xdr:cNvPr>
        <xdr:cNvSpPr txBox="1"/>
      </xdr:nvSpPr>
      <xdr:spPr>
        <a:xfrm>
          <a:off x="12582525" y="5505450"/>
          <a:ext cx="2228850" cy="31149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t>Copper rich Grade (OK)</a:t>
          </a:r>
        </a:p>
      </xdr:txBody>
    </xdr:sp>
    <xdr:clientData/>
  </xdr:twoCellAnchor>
  <xdr:twoCellAnchor>
    <xdr:from>
      <xdr:col>34</xdr:col>
      <xdr:colOff>0</xdr:colOff>
      <xdr:row>45</xdr:row>
      <xdr:rowOff>0</xdr:rowOff>
    </xdr:from>
    <xdr:to>
      <xdr:col>37</xdr:col>
      <xdr:colOff>619125</xdr:colOff>
      <xdr:row>47</xdr:row>
      <xdr:rowOff>18936</xdr:rowOff>
    </xdr:to>
    <xdr:sp macro="" textlink="">
      <xdr:nvSpPr>
        <xdr:cNvPr id="16" name="TextBox 12">
          <a:extLst>
            <a:ext uri="{FF2B5EF4-FFF2-40B4-BE49-F238E27FC236}">
              <a16:creationId xmlns:a16="http://schemas.microsoft.com/office/drawing/2014/main" id="{75D63F67-887C-C4FB-424B-C96397655D5F}"/>
            </a:ext>
          </a:extLst>
        </xdr:cNvPr>
        <xdr:cNvSpPr txBox="1"/>
      </xdr:nvSpPr>
      <xdr:spPr>
        <a:xfrm>
          <a:off x="16925925" y="5553075"/>
          <a:ext cx="2790825" cy="3427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a:t>  Graphite rich Grade (NOK)</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24</xdr:col>
      <xdr:colOff>515349</xdr:colOff>
      <xdr:row>21</xdr:row>
      <xdr:rowOff>95250</xdr:rowOff>
    </xdr:to>
    <xdr:pic>
      <xdr:nvPicPr>
        <xdr:cNvPr id="2" name="Kép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9625" y="1714500"/>
          <a:ext cx="6611349" cy="327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udi-NeueRegelen-Stand281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BC_Musterstadt(D)_17_10_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ites.inside-share.bosch.com/Users/cae4wa1/Desktop/VDA_63_Auditbericht_V2_4.d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ites.inside-share.bosch.com/Users/cae4wa1/Local%20Settings/Temporary%20Internet%20Files/Content.Outlook/9J4PZQIK/VDA63_Process_Audit_Edition2-Deutsch.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e24999\zqf$\neue_Vorlagen_fuer_Besuch_Prozessaudit\Erstellung_Prozessaudit_neu\Vorlage%20Prozessaudit_Bueh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09\3-2009\klink-3-2009-2\prozesse\05_8-D\05.16_Methoden\Qualit&#228;tsmessung\AE_8D_Bewertung_Toyota-Checkliste\2008\8D_Quality_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ites.inside-share.bosch.com/Dokumente%20und%20Einstellungen/riering/Desktop/Marx/VDA%2063%20Auditbericht%20Version%20R8_P1_inter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09\3-2009\klink-3-2009-2\daten\users\DE_jap4rt\explorer_cache\drop_dow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DRAFT_Supplier%208D%20template.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10_Sxx_Audit_report_VDA6%203_E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gabeMaske"/>
      <sheetName val="Deckblatt_Bosch"/>
      <sheetName val="Fragen"/>
      <sheetName val="Massnahmenplan"/>
      <sheetName val="Bedingungen"/>
      <sheetName val="Bewertungsmatrix"/>
      <sheetName val="3x5xWhy"/>
      <sheetName val="PrGr1"/>
      <sheetName val="PrGr2"/>
      <sheetName val="PrGr3"/>
      <sheetName val="PrGr4"/>
      <sheetName val="Deckblatt Q-Fähigk "/>
      <sheetName val="Proz-BalkenMatrix"/>
      <sheetName val="Änderungshistorie"/>
    </sheetNames>
    <sheetDataSet>
      <sheetData sheetId="0">
        <row r="18">
          <cell r="C18">
            <v>11</v>
          </cell>
        </row>
        <row r="19">
          <cell r="C19" t="str">
            <v>Land W</v>
          </cell>
        </row>
        <row r="20">
          <cell r="C20" t="str">
            <v>Lieferant 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nCDQ0704"/>
      <sheetName val="vonAHP"/>
      <sheetName val="VorschlagTSC9"/>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s>
    <sheetDataSet>
      <sheetData sheetId="0"/>
      <sheetData sheetId="1"/>
      <sheetData sheetId="2"/>
      <sheetData sheetId="3"/>
      <sheetData sheetId="4">
        <row r="20">
          <cell r="C20" t="str">
            <v xml:space="preserve"> </v>
          </cell>
        </row>
        <row r="21">
          <cell r="C21" t="str">
            <v xml:space="preserve"> </v>
          </cell>
        </row>
        <row r="53">
          <cell r="C53" t="str">
            <v>eins</v>
          </cell>
        </row>
        <row r="54">
          <cell r="C54" t="str">
            <v>zwei</v>
          </cell>
        </row>
        <row r="55">
          <cell r="C55" t="str">
            <v>drei</v>
          </cell>
        </row>
        <row r="56">
          <cell r="C56" t="str">
            <v>vier</v>
          </cell>
        </row>
        <row r="57">
          <cell r="C57" t="str">
            <v>fünf</v>
          </cell>
        </row>
        <row r="58">
          <cell r="C58" t="str">
            <v>sechs</v>
          </cell>
        </row>
        <row r="59">
          <cell r="C59" t="str">
            <v>sieben</v>
          </cell>
        </row>
        <row r="60">
          <cell r="C60" t="str">
            <v>acht</v>
          </cell>
        </row>
        <row r="61">
          <cell r="C61" t="str">
            <v>neun</v>
          </cell>
        </row>
        <row r="62">
          <cell r="C62" t="str">
            <v>zehn</v>
          </cell>
        </row>
      </sheetData>
      <sheetData sheetId="5">
        <row r="8">
          <cell r="AM8">
            <v>0.77</v>
          </cell>
        </row>
        <row r="14">
          <cell r="P14">
            <v>0.76</v>
          </cell>
          <cell r="AF14" t="str">
            <v>n.b.</v>
          </cell>
          <cell r="AM14">
            <v>0.76</v>
          </cell>
        </row>
        <row r="21">
          <cell r="P21">
            <v>0.84</v>
          </cell>
          <cell r="AF21">
            <v>0.8</v>
          </cell>
          <cell r="AM21">
            <v>0.82</v>
          </cell>
        </row>
        <row r="25">
          <cell r="AM25">
            <v>0.77</v>
          </cell>
        </row>
        <row r="55">
          <cell r="AM55">
            <v>0.83</v>
          </cell>
        </row>
      </sheetData>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aire Process"/>
      <sheetName val="Results Process"/>
      <sheetName val="Cover Sheet Intern"/>
      <sheetName val="Cover Sheet Extern"/>
      <sheetName val="Presentation Process"/>
      <sheetName val="Anex_D"/>
      <sheetName val="Anex_E"/>
      <sheetName val="Sprache_GUI"/>
      <sheetName val="Sprache_Fragen_Prozess"/>
      <sheetName val="Welcome"/>
      <sheetName val="DialogDruck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 val="Änderungshistor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8D Report"/>
      <sheetName val="2 - Ishikawa"/>
      <sheetName val="3 - 5Why"/>
      <sheetName val="4 - 8D checklist"/>
      <sheetName val="5 - 8D self assessment"/>
      <sheetName val="Tabelle1"/>
      <sheetName val="8D self assessment"/>
    </sheetNames>
    <sheetDataSet>
      <sheetData sheetId="0" refreshError="1"/>
      <sheetData sheetId="1" refreshError="1"/>
      <sheetData sheetId="2"/>
      <sheetData sheetId="3"/>
      <sheetData sheetId="4" refreshError="1"/>
      <sheetData sheetId="5" refreshError="1"/>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ditions"/>
      <sheetName val="assessment matrix"/>
      <sheetName val="questionary"/>
      <sheetName val="3x5xWhy"/>
    </sheetNames>
    <sheetDataSet>
      <sheetData sheetId="0" refreshError="1"/>
      <sheetData sheetId="1" refreshError="1"/>
      <sheetData sheetId="2" refreshError="1"/>
      <sheetData sheetId="3">
        <row r="14">
          <cell r="AC14">
            <v>0</v>
          </cell>
        </row>
        <row r="15">
          <cell r="AC15">
            <v>4</v>
          </cell>
        </row>
        <row r="16">
          <cell r="AC16">
            <v>6</v>
          </cell>
        </row>
        <row r="17">
          <cell r="AC17">
            <v>8</v>
          </cell>
        </row>
        <row r="18">
          <cell r="AC18">
            <v>10</v>
          </cell>
        </row>
        <row r="19">
          <cell r="AC19" t="str">
            <v>na</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c.selvam@avocarbon.com" TargetMode="External"/><Relationship Id="rId13" Type="http://schemas.openxmlformats.org/officeDocument/2006/relationships/vmlDrawing" Target="../drawings/vmlDrawing1.vml"/><Relationship Id="rId3" Type="http://schemas.openxmlformats.org/officeDocument/2006/relationships/hyperlink" Target="mailto:gayathti.n@avocarbon.com" TargetMode="External"/><Relationship Id="rId7" Type="http://schemas.openxmlformats.org/officeDocument/2006/relationships/hyperlink" Target="mailto:sundaresan.r@avocarbon.com" TargetMode="External"/><Relationship Id="rId12" Type="http://schemas.openxmlformats.org/officeDocument/2006/relationships/drawing" Target="../drawings/drawing1.xml"/><Relationship Id="rId2" Type="http://schemas.openxmlformats.org/officeDocument/2006/relationships/hyperlink" Target="mailto:gayathri.n@avocarbon.com" TargetMode="External"/><Relationship Id="rId1" Type="http://schemas.openxmlformats.org/officeDocument/2006/relationships/hyperlink" Target="mailto:Ithal.Raghavendra@seg-automotive.com" TargetMode="External"/><Relationship Id="rId6" Type="http://schemas.openxmlformats.org/officeDocument/2006/relationships/hyperlink" Target="mailto:eipe.thomas@avocarbon.com" TargetMode="External"/><Relationship Id="rId11" Type="http://schemas.openxmlformats.org/officeDocument/2006/relationships/printerSettings" Target="../printerSettings/printerSettings1.bin"/><Relationship Id="rId5" Type="http://schemas.openxmlformats.org/officeDocument/2006/relationships/hyperlink" Target="mailto:sundaresan.r@avocarbon.com" TargetMode="External"/><Relationship Id="rId10" Type="http://schemas.openxmlformats.org/officeDocument/2006/relationships/hyperlink" Target="mailto:baskar.r@avocarbon.com" TargetMode="External"/><Relationship Id="rId4" Type="http://schemas.openxmlformats.org/officeDocument/2006/relationships/hyperlink" Target="mailto:suresh.p@avocarbon.com" TargetMode="External"/><Relationship Id="rId9" Type="http://schemas.openxmlformats.org/officeDocument/2006/relationships/hyperlink" Target="mailto:suresh.p@avocarbon.com" TargetMode="External"/><Relationship Id="rId1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Munka11"/>
  <dimension ref="A1:EC180"/>
  <sheetViews>
    <sheetView showGridLines="0" tabSelected="1" view="pageBreakPreview" topLeftCell="A130" zoomScaleNormal="100" zoomScaleSheetLayoutView="100" workbookViewId="0">
      <selection activeCell="E50" sqref="E50:Y50"/>
    </sheetView>
  </sheetViews>
  <sheetFormatPr defaultColWidth="4.5703125" defaultRowHeight="12.75"/>
  <cols>
    <col min="1" max="1" width="2.7109375" style="10" customWidth="1"/>
    <col min="2" max="2" width="6.28515625" style="11" customWidth="1"/>
    <col min="3" max="4" width="6.140625" style="11" customWidth="1"/>
    <col min="5" max="5" width="12.85546875" style="11" customWidth="1"/>
    <col min="6" max="6" width="7.85546875" style="11" customWidth="1"/>
    <col min="7" max="10" width="6.140625" style="11" customWidth="1"/>
    <col min="11" max="11" width="10.5703125" style="11" customWidth="1"/>
    <col min="12" max="13" width="6.140625" style="11" customWidth="1"/>
    <col min="14" max="14" width="7" style="11" customWidth="1"/>
    <col min="15" max="15" width="8.28515625" style="11" customWidth="1"/>
    <col min="16" max="16" width="6.140625" style="11" customWidth="1"/>
    <col min="17" max="17" width="6.7109375" style="11" customWidth="1"/>
    <col min="18" max="22" width="6.140625" style="11" customWidth="1"/>
    <col min="23" max="23" width="6.5703125" style="11" customWidth="1"/>
    <col min="24" max="24" width="6.140625" style="11" customWidth="1"/>
    <col min="25" max="25" width="6.140625" style="10" customWidth="1"/>
    <col min="26" max="26" width="6.140625" style="11" customWidth="1"/>
    <col min="27" max="27" width="4.5703125" style="12" customWidth="1"/>
    <col min="28" max="41" width="10.85546875" style="11" customWidth="1"/>
    <col min="42" max="240" width="4.5703125" style="11"/>
    <col min="241" max="242" width="2.7109375" style="11" customWidth="1"/>
    <col min="243" max="243" width="4.28515625" style="11" customWidth="1"/>
    <col min="244" max="271" width="4.5703125" style="11" customWidth="1"/>
    <col min="272" max="496" width="4.5703125" style="11"/>
    <col min="497" max="498" width="2.7109375" style="11" customWidth="1"/>
    <col min="499" max="499" width="4.28515625" style="11" customWidth="1"/>
    <col min="500" max="527" width="4.5703125" style="11" customWidth="1"/>
    <col min="528" max="752" width="4.5703125" style="11"/>
    <col min="753" max="754" width="2.7109375" style="11" customWidth="1"/>
    <col min="755" max="755" width="4.28515625" style="11" customWidth="1"/>
    <col min="756" max="783" width="4.5703125" style="11" customWidth="1"/>
    <col min="784" max="1008" width="4.5703125" style="11"/>
    <col min="1009" max="1010" width="2.7109375" style="11" customWidth="1"/>
    <col min="1011" max="1011" width="4.28515625" style="11" customWidth="1"/>
    <col min="1012" max="1039" width="4.5703125" style="11" customWidth="1"/>
    <col min="1040" max="1264" width="4.5703125" style="11"/>
    <col min="1265" max="1266" width="2.7109375" style="11" customWidth="1"/>
    <col min="1267" max="1267" width="4.28515625" style="11" customWidth="1"/>
    <col min="1268" max="1295" width="4.5703125" style="11" customWidth="1"/>
    <col min="1296" max="1520" width="4.5703125" style="11"/>
    <col min="1521" max="1522" width="2.7109375" style="11" customWidth="1"/>
    <col min="1523" max="1523" width="4.28515625" style="11" customWidth="1"/>
    <col min="1524" max="1551" width="4.5703125" style="11" customWidth="1"/>
    <col min="1552" max="1776" width="4.5703125" style="11"/>
    <col min="1777" max="1778" width="2.7109375" style="11" customWidth="1"/>
    <col min="1779" max="1779" width="4.28515625" style="11" customWidth="1"/>
    <col min="1780" max="1807" width="4.5703125" style="11" customWidth="1"/>
    <col min="1808" max="2032" width="4.5703125" style="11"/>
    <col min="2033" max="2034" width="2.7109375" style="11" customWidth="1"/>
    <col min="2035" max="2035" width="4.28515625" style="11" customWidth="1"/>
    <col min="2036" max="2063" width="4.5703125" style="11" customWidth="1"/>
    <col min="2064" max="2288" width="4.5703125" style="11"/>
    <col min="2289" max="2290" width="2.7109375" style="11" customWidth="1"/>
    <col min="2291" max="2291" width="4.28515625" style="11" customWidth="1"/>
    <col min="2292" max="2319" width="4.5703125" style="11" customWidth="1"/>
    <col min="2320" max="2544" width="4.5703125" style="11"/>
    <col min="2545" max="2546" width="2.7109375" style="11" customWidth="1"/>
    <col min="2547" max="2547" width="4.28515625" style="11" customWidth="1"/>
    <col min="2548" max="2575" width="4.5703125" style="11" customWidth="1"/>
    <col min="2576" max="2800" width="4.5703125" style="11"/>
    <col min="2801" max="2802" width="2.7109375" style="11" customWidth="1"/>
    <col min="2803" max="2803" width="4.28515625" style="11" customWidth="1"/>
    <col min="2804" max="2831" width="4.5703125" style="11" customWidth="1"/>
    <col min="2832" max="3056" width="4.5703125" style="11"/>
    <col min="3057" max="3058" width="2.7109375" style="11" customWidth="1"/>
    <col min="3059" max="3059" width="4.28515625" style="11" customWidth="1"/>
    <col min="3060" max="3087" width="4.5703125" style="11" customWidth="1"/>
    <col min="3088" max="3312" width="4.5703125" style="11"/>
    <col min="3313" max="3314" width="2.7109375" style="11" customWidth="1"/>
    <col min="3315" max="3315" width="4.28515625" style="11" customWidth="1"/>
    <col min="3316" max="3343" width="4.5703125" style="11" customWidth="1"/>
    <col min="3344" max="3568" width="4.5703125" style="11"/>
    <col min="3569" max="3570" width="2.7109375" style="11" customWidth="1"/>
    <col min="3571" max="3571" width="4.28515625" style="11" customWidth="1"/>
    <col min="3572" max="3599" width="4.5703125" style="11" customWidth="1"/>
    <col min="3600" max="3824" width="4.5703125" style="11"/>
    <col min="3825" max="3826" width="2.7109375" style="11" customWidth="1"/>
    <col min="3827" max="3827" width="4.28515625" style="11" customWidth="1"/>
    <col min="3828" max="3855" width="4.5703125" style="11" customWidth="1"/>
    <col min="3856" max="4080" width="4.5703125" style="11"/>
    <col min="4081" max="4082" width="2.7109375" style="11" customWidth="1"/>
    <col min="4083" max="4083" width="4.28515625" style="11" customWidth="1"/>
    <col min="4084" max="4111" width="4.5703125" style="11" customWidth="1"/>
    <col min="4112" max="4336" width="4.5703125" style="11"/>
    <col min="4337" max="4338" width="2.7109375" style="11" customWidth="1"/>
    <col min="4339" max="4339" width="4.28515625" style="11" customWidth="1"/>
    <col min="4340" max="4367" width="4.5703125" style="11" customWidth="1"/>
    <col min="4368" max="4592" width="4.5703125" style="11"/>
    <col min="4593" max="4594" width="2.7109375" style="11" customWidth="1"/>
    <col min="4595" max="4595" width="4.28515625" style="11" customWidth="1"/>
    <col min="4596" max="4623" width="4.5703125" style="11" customWidth="1"/>
    <col min="4624" max="4848" width="4.5703125" style="11"/>
    <col min="4849" max="4850" width="2.7109375" style="11" customWidth="1"/>
    <col min="4851" max="4851" width="4.28515625" style="11" customWidth="1"/>
    <col min="4852" max="4879" width="4.5703125" style="11" customWidth="1"/>
    <col min="4880" max="5104" width="4.5703125" style="11"/>
    <col min="5105" max="5106" width="2.7109375" style="11" customWidth="1"/>
    <col min="5107" max="5107" width="4.28515625" style="11" customWidth="1"/>
    <col min="5108" max="5135" width="4.5703125" style="11" customWidth="1"/>
    <col min="5136" max="5360" width="4.5703125" style="11"/>
    <col min="5361" max="5362" width="2.7109375" style="11" customWidth="1"/>
    <col min="5363" max="5363" width="4.28515625" style="11" customWidth="1"/>
    <col min="5364" max="5391" width="4.5703125" style="11" customWidth="1"/>
    <col min="5392" max="5616" width="4.5703125" style="11"/>
    <col min="5617" max="5618" width="2.7109375" style="11" customWidth="1"/>
    <col min="5619" max="5619" width="4.28515625" style="11" customWidth="1"/>
    <col min="5620" max="5647" width="4.5703125" style="11" customWidth="1"/>
    <col min="5648" max="5872" width="4.5703125" style="11"/>
    <col min="5873" max="5874" width="2.7109375" style="11" customWidth="1"/>
    <col min="5875" max="5875" width="4.28515625" style="11" customWidth="1"/>
    <col min="5876" max="5903" width="4.5703125" style="11" customWidth="1"/>
    <col min="5904" max="6128" width="4.5703125" style="11"/>
    <col min="6129" max="6130" width="2.7109375" style="11" customWidth="1"/>
    <col min="6131" max="6131" width="4.28515625" style="11" customWidth="1"/>
    <col min="6132" max="6159" width="4.5703125" style="11" customWidth="1"/>
    <col min="6160" max="6384" width="4.5703125" style="11"/>
    <col min="6385" max="6386" width="2.7109375" style="11" customWidth="1"/>
    <col min="6387" max="6387" width="4.28515625" style="11" customWidth="1"/>
    <col min="6388" max="6415" width="4.5703125" style="11" customWidth="1"/>
    <col min="6416" max="6640" width="4.5703125" style="11"/>
    <col min="6641" max="6642" width="2.7109375" style="11" customWidth="1"/>
    <col min="6643" max="6643" width="4.28515625" style="11" customWidth="1"/>
    <col min="6644" max="6671" width="4.5703125" style="11" customWidth="1"/>
    <col min="6672" max="6896" width="4.5703125" style="11"/>
    <col min="6897" max="6898" width="2.7109375" style="11" customWidth="1"/>
    <col min="6899" max="6899" width="4.28515625" style="11" customWidth="1"/>
    <col min="6900" max="6927" width="4.5703125" style="11" customWidth="1"/>
    <col min="6928" max="7152" width="4.5703125" style="11"/>
    <col min="7153" max="7154" width="2.7109375" style="11" customWidth="1"/>
    <col min="7155" max="7155" width="4.28515625" style="11" customWidth="1"/>
    <col min="7156" max="7183" width="4.5703125" style="11" customWidth="1"/>
    <col min="7184" max="7408" width="4.5703125" style="11"/>
    <col min="7409" max="7410" width="2.7109375" style="11" customWidth="1"/>
    <col min="7411" max="7411" width="4.28515625" style="11" customWidth="1"/>
    <col min="7412" max="7439" width="4.5703125" style="11" customWidth="1"/>
    <col min="7440" max="7664" width="4.5703125" style="11"/>
    <col min="7665" max="7666" width="2.7109375" style="11" customWidth="1"/>
    <col min="7667" max="7667" width="4.28515625" style="11" customWidth="1"/>
    <col min="7668" max="7695" width="4.5703125" style="11" customWidth="1"/>
    <col min="7696" max="7920" width="4.5703125" style="11"/>
    <col min="7921" max="7922" width="2.7109375" style="11" customWidth="1"/>
    <col min="7923" max="7923" width="4.28515625" style="11" customWidth="1"/>
    <col min="7924" max="7951" width="4.5703125" style="11" customWidth="1"/>
    <col min="7952" max="8176" width="4.5703125" style="11"/>
    <col min="8177" max="8178" width="2.7109375" style="11" customWidth="1"/>
    <col min="8179" max="8179" width="4.28515625" style="11" customWidth="1"/>
    <col min="8180" max="8207" width="4.5703125" style="11" customWidth="1"/>
    <col min="8208" max="8432" width="4.5703125" style="11"/>
    <col min="8433" max="8434" width="2.7109375" style="11" customWidth="1"/>
    <col min="8435" max="8435" width="4.28515625" style="11" customWidth="1"/>
    <col min="8436" max="8463" width="4.5703125" style="11" customWidth="1"/>
    <col min="8464" max="8688" width="4.5703125" style="11"/>
    <col min="8689" max="8690" width="2.7109375" style="11" customWidth="1"/>
    <col min="8691" max="8691" width="4.28515625" style="11" customWidth="1"/>
    <col min="8692" max="8719" width="4.5703125" style="11" customWidth="1"/>
    <col min="8720" max="8944" width="4.5703125" style="11"/>
    <col min="8945" max="8946" width="2.7109375" style="11" customWidth="1"/>
    <col min="8947" max="8947" width="4.28515625" style="11" customWidth="1"/>
    <col min="8948" max="8975" width="4.5703125" style="11" customWidth="1"/>
    <col min="8976" max="9200" width="4.5703125" style="11"/>
    <col min="9201" max="9202" width="2.7109375" style="11" customWidth="1"/>
    <col min="9203" max="9203" width="4.28515625" style="11" customWidth="1"/>
    <col min="9204" max="9231" width="4.5703125" style="11" customWidth="1"/>
    <col min="9232" max="9456" width="4.5703125" style="11"/>
    <col min="9457" max="9458" width="2.7109375" style="11" customWidth="1"/>
    <col min="9459" max="9459" width="4.28515625" style="11" customWidth="1"/>
    <col min="9460" max="9487" width="4.5703125" style="11" customWidth="1"/>
    <col min="9488" max="9712" width="4.5703125" style="11"/>
    <col min="9713" max="9714" width="2.7109375" style="11" customWidth="1"/>
    <col min="9715" max="9715" width="4.28515625" style="11" customWidth="1"/>
    <col min="9716" max="9743" width="4.5703125" style="11" customWidth="1"/>
    <col min="9744" max="9968" width="4.5703125" style="11"/>
    <col min="9969" max="9970" width="2.7109375" style="11" customWidth="1"/>
    <col min="9971" max="9971" width="4.28515625" style="11" customWidth="1"/>
    <col min="9972" max="9999" width="4.5703125" style="11" customWidth="1"/>
    <col min="10000" max="10224" width="4.5703125" style="11"/>
    <col min="10225" max="10226" width="2.7109375" style="11" customWidth="1"/>
    <col min="10227" max="10227" width="4.28515625" style="11" customWidth="1"/>
    <col min="10228" max="10255" width="4.5703125" style="11" customWidth="1"/>
    <col min="10256" max="10480" width="4.5703125" style="11"/>
    <col min="10481" max="10482" width="2.7109375" style="11" customWidth="1"/>
    <col min="10483" max="10483" width="4.28515625" style="11" customWidth="1"/>
    <col min="10484" max="10511" width="4.5703125" style="11" customWidth="1"/>
    <col min="10512" max="10736" width="4.5703125" style="11"/>
    <col min="10737" max="10738" width="2.7109375" style="11" customWidth="1"/>
    <col min="10739" max="10739" width="4.28515625" style="11" customWidth="1"/>
    <col min="10740" max="10767" width="4.5703125" style="11" customWidth="1"/>
    <col min="10768" max="10992" width="4.5703125" style="11"/>
    <col min="10993" max="10994" width="2.7109375" style="11" customWidth="1"/>
    <col min="10995" max="10995" width="4.28515625" style="11" customWidth="1"/>
    <col min="10996" max="11023" width="4.5703125" style="11" customWidth="1"/>
    <col min="11024" max="11248" width="4.5703125" style="11"/>
    <col min="11249" max="11250" width="2.7109375" style="11" customWidth="1"/>
    <col min="11251" max="11251" width="4.28515625" style="11" customWidth="1"/>
    <col min="11252" max="11279" width="4.5703125" style="11" customWidth="1"/>
    <col min="11280" max="11504" width="4.5703125" style="11"/>
    <col min="11505" max="11506" width="2.7109375" style="11" customWidth="1"/>
    <col min="11507" max="11507" width="4.28515625" style="11" customWidth="1"/>
    <col min="11508" max="11535" width="4.5703125" style="11" customWidth="1"/>
    <col min="11536" max="11760" width="4.5703125" style="11"/>
    <col min="11761" max="11762" width="2.7109375" style="11" customWidth="1"/>
    <col min="11763" max="11763" width="4.28515625" style="11" customWidth="1"/>
    <col min="11764" max="11791" width="4.5703125" style="11" customWidth="1"/>
    <col min="11792" max="12016" width="4.5703125" style="11"/>
    <col min="12017" max="12018" width="2.7109375" style="11" customWidth="1"/>
    <col min="12019" max="12019" width="4.28515625" style="11" customWidth="1"/>
    <col min="12020" max="12047" width="4.5703125" style="11" customWidth="1"/>
    <col min="12048" max="12272" width="4.5703125" style="11"/>
    <col min="12273" max="12274" width="2.7109375" style="11" customWidth="1"/>
    <col min="12275" max="12275" width="4.28515625" style="11" customWidth="1"/>
    <col min="12276" max="12303" width="4.5703125" style="11" customWidth="1"/>
    <col min="12304" max="12528" width="4.5703125" style="11"/>
    <col min="12529" max="12530" width="2.7109375" style="11" customWidth="1"/>
    <col min="12531" max="12531" width="4.28515625" style="11" customWidth="1"/>
    <col min="12532" max="12559" width="4.5703125" style="11" customWidth="1"/>
    <col min="12560" max="12784" width="4.5703125" style="11"/>
    <col min="12785" max="12786" width="2.7109375" style="11" customWidth="1"/>
    <col min="12787" max="12787" width="4.28515625" style="11" customWidth="1"/>
    <col min="12788" max="12815" width="4.5703125" style="11" customWidth="1"/>
    <col min="12816" max="13040" width="4.5703125" style="11"/>
    <col min="13041" max="13042" width="2.7109375" style="11" customWidth="1"/>
    <col min="13043" max="13043" width="4.28515625" style="11" customWidth="1"/>
    <col min="13044" max="13071" width="4.5703125" style="11" customWidth="1"/>
    <col min="13072" max="13296" width="4.5703125" style="11"/>
    <col min="13297" max="13298" width="2.7109375" style="11" customWidth="1"/>
    <col min="13299" max="13299" width="4.28515625" style="11" customWidth="1"/>
    <col min="13300" max="13327" width="4.5703125" style="11" customWidth="1"/>
    <col min="13328" max="13552" width="4.5703125" style="11"/>
    <col min="13553" max="13554" width="2.7109375" style="11" customWidth="1"/>
    <col min="13555" max="13555" width="4.28515625" style="11" customWidth="1"/>
    <col min="13556" max="13583" width="4.5703125" style="11" customWidth="1"/>
    <col min="13584" max="13808" width="4.5703125" style="11"/>
    <col min="13809" max="13810" width="2.7109375" style="11" customWidth="1"/>
    <col min="13811" max="13811" width="4.28515625" style="11" customWidth="1"/>
    <col min="13812" max="13839" width="4.5703125" style="11" customWidth="1"/>
    <col min="13840" max="14064" width="4.5703125" style="11"/>
    <col min="14065" max="14066" width="2.7109375" style="11" customWidth="1"/>
    <col min="14067" max="14067" width="4.28515625" style="11" customWidth="1"/>
    <col min="14068" max="14095" width="4.5703125" style="11" customWidth="1"/>
    <col min="14096" max="14320" width="4.5703125" style="11"/>
    <col min="14321" max="14322" width="2.7109375" style="11" customWidth="1"/>
    <col min="14323" max="14323" width="4.28515625" style="11" customWidth="1"/>
    <col min="14324" max="14351" width="4.5703125" style="11" customWidth="1"/>
    <col min="14352" max="14576" width="4.5703125" style="11"/>
    <col min="14577" max="14578" width="2.7109375" style="11" customWidth="1"/>
    <col min="14579" max="14579" width="4.28515625" style="11" customWidth="1"/>
    <col min="14580" max="14607" width="4.5703125" style="11" customWidth="1"/>
    <col min="14608" max="14832" width="4.5703125" style="11"/>
    <col min="14833" max="14834" width="2.7109375" style="11" customWidth="1"/>
    <col min="14835" max="14835" width="4.28515625" style="11" customWidth="1"/>
    <col min="14836" max="14863" width="4.5703125" style="11" customWidth="1"/>
    <col min="14864" max="15088" width="4.5703125" style="11"/>
    <col min="15089" max="15090" width="2.7109375" style="11" customWidth="1"/>
    <col min="15091" max="15091" width="4.28515625" style="11" customWidth="1"/>
    <col min="15092" max="15119" width="4.5703125" style="11" customWidth="1"/>
    <col min="15120" max="15344" width="4.5703125" style="11"/>
    <col min="15345" max="15346" width="2.7109375" style="11" customWidth="1"/>
    <col min="15347" max="15347" width="4.28515625" style="11" customWidth="1"/>
    <col min="15348" max="15375" width="4.5703125" style="11" customWidth="1"/>
    <col min="15376" max="15600" width="4.5703125" style="11"/>
    <col min="15601" max="15602" width="2.7109375" style="11" customWidth="1"/>
    <col min="15603" max="15603" width="4.28515625" style="11" customWidth="1"/>
    <col min="15604" max="15631" width="4.5703125" style="11" customWidth="1"/>
    <col min="15632" max="15856" width="4.5703125" style="11"/>
    <col min="15857" max="15858" width="2.7109375" style="11" customWidth="1"/>
    <col min="15859" max="15859" width="4.28515625" style="11" customWidth="1"/>
    <col min="15860" max="15887" width="4.5703125" style="11" customWidth="1"/>
    <col min="15888" max="16112" width="4.5703125" style="11"/>
    <col min="16113" max="16114" width="2.7109375" style="11" customWidth="1"/>
    <col min="16115" max="16115" width="4.28515625" style="11" customWidth="1"/>
    <col min="16116" max="16143" width="4.5703125" style="11" customWidth="1"/>
    <col min="16144" max="16384" width="4.5703125" style="11"/>
  </cols>
  <sheetData>
    <row r="1" spans="2:7" hidden="1"/>
    <row r="2" spans="2:7" ht="15" hidden="1">
      <c r="G2" s="159" t="s">
        <v>241</v>
      </c>
    </row>
    <row r="3" spans="2:7" ht="15" hidden="1">
      <c r="G3" s="159" t="s">
        <v>242</v>
      </c>
    </row>
    <row r="4" spans="2:7" ht="15" hidden="1">
      <c r="G4" s="159" t="s">
        <v>116</v>
      </c>
    </row>
    <row r="5" spans="2:7" ht="15" hidden="1">
      <c r="G5" s="159" t="s">
        <v>117</v>
      </c>
    </row>
    <row r="6" spans="2:7" ht="15" hidden="1">
      <c r="G6" s="159" t="s">
        <v>118</v>
      </c>
    </row>
    <row r="7" spans="2:7" ht="15" hidden="1">
      <c r="G7" s="159" t="s">
        <v>119</v>
      </c>
    </row>
    <row r="8" spans="2:7" ht="15" hidden="1">
      <c r="G8" s="159" t="s">
        <v>120</v>
      </c>
    </row>
    <row r="9" spans="2:7" ht="15" hidden="1">
      <c r="G9" s="159" t="s">
        <v>121</v>
      </c>
    </row>
    <row r="10" spans="2:7" ht="15" hidden="1">
      <c r="G10" s="159" t="s">
        <v>122</v>
      </c>
    </row>
    <row r="11" spans="2:7" ht="15" hidden="1">
      <c r="G11" s="159" t="s">
        <v>123</v>
      </c>
    </row>
    <row r="12" spans="2:7" ht="15" hidden="1">
      <c r="G12" s="159" t="s">
        <v>124</v>
      </c>
    </row>
    <row r="13" spans="2:7" ht="15" hidden="1">
      <c r="G13" s="159" t="s">
        <v>125</v>
      </c>
    </row>
    <row r="14" spans="2:7" ht="15" hidden="1">
      <c r="G14" s="159" t="s">
        <v>126</v>
      </c>
    </row>
    <row r="15" spans="2:7" ht="15" hidden="1">
      <c r="G15" s="159" t="s">
        <v>243</v>
      </c>
    </row>
    <row r="16" spans="2:7">
      <c r="B16" s="220" t="s">
        <v>155</v>
      </c>
    </row>
    <row r="17" spans="2:43" ht="51" customHeight="1">
      <c r="B17" s="688" t="s">
        <v>239</v>
      </c>
      <c r="C17" s="688"/>
      <c r="D17" s="688"/>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row>
    <row r="18" spans="2:43" ht="12" customHeight="1">
      <c r="B18" s="489"/>
      <c r="C18" s="490"/>
      <c r="D18" s="490"/>
      <c r="E18" s="490"/>
      <c r="F18" s="490"/>
      <c r="G18" s="491"/>
      <c r="H18" s="585" t="s">
        <v>70</v>
      </c>
      <c r="I18" s="586"/>
      <c r="J18" s="586"/>
      <c r="K18" s="586"/>
      <c r="L18" s="586"/>
      <c r="M18" s="586"/>
      <c r="N18" s="586"/>
      <c r="O18" s="586"/>
      <c r="P18" s="586"/>
      <c r="Q18" s="586"/>
      <c r="R18" s="586"/>
      <c r="S18" s="586"/>
      <c r="T18" s="586"/>
      <c r="U18" s="586"/>
      <c r="V18" s="586"/>
      <c r="W18" s="587"/>
      <c r="X18" s="568" t="s">
        <v>154</v>
      </c>
      <c r="Y18" s="569"/>
      <c r="Z18" s="570"/>
      <c r="AA18" s="634" t="s">
        <v>109</v>
      </c>
      <c r="AB18" s="635"/>
      <c r="AC18" s="635"/>
      <c r="AD18" s="635"/>
      <c r="AE18" s="635"/>
      <c r="AF18" s="635"/>
      <c r="AG18" s="635"/>
      <c r="AH18" s="635"/>
      <c r="AI18" s="635"/>
      <c r="AJ18" s="635"/>
      <c r="AK18" s="635"/>
      <c r="AL18" s="635"/>
      <c r="AM18" s="635"/>
      <c r="AN18" s="635"/>
      <c r="AO18" s="635"/>
      <c r="AP18" s="635"/>
      <c r="AQ18" s="636"/>
    </row>
    <row r="19" spans="2:43" ht="12" customHeight="1">
      <c r="B19" s="492"/>
      <c r="C19" s="493"/>
      <c r="D19" s="493"/>
      <c r="E19" s="493"/>
      <c r="F19" s="493"/>
      <c r="G19" s="494"/>
      <c r="H19" s="588"/>
      <c r="I19" s="589"/>
      <c r="J19" s="589"/>
      <c r="K19" s="589"/>
      <c r="L19" s="589"/>
      <c r="M19" s="589"/>
      <c r="N19" s="589"/>
      <c r="O19" s="589"/>
      <c r="P19" s="589"/>
      <c r="Q19" s="589"/>
      <c r="R19" s="589"/>
      <c r="S19" s="589"/>
      <c r="T19" s="589"/>
      <c r="U19" s="589"/>
      <c r="V19" s="589"/>
      <c r="W19" s="590"/>
      <c r="X19" s="571"/>
      <c r="Y19" s="572"/>
      <c r="Z19" s="573"/>
      <c r="AA19" s="393"/>
      <c r="AB19" s="394"/>
      <c r="AC19" s="394"/>
      <c r="AD19" s="394"/>
      <c r="AE19" s="394"/>
      <c r="AF19" s="394"/>
      <c r="AG19" s="394"/>
      <c r="AH19" s="394"/>
      <c r="AI19" s="394"/>
      <c r="AJ19" s="394"/>
      <c r="AK19" s="394"/>
      <c r="AL19" s="394"/>
      <c r="AM19" s="394"/>
      <c r="AN19" s="394"/>
      <c r="AO19" s="394"/>
      <c r="AP19" s="394"/>
      <c r="AQ19" s="395"/>
    </row>
    <row r="20" spans="2:43" ht="12" customHeight="1">
      <c r="B20" s="492"/>
      <c r="C20" s="493"/>
      <c r="D20" s="493"/>
      <c r="E20" s="493"/>
      <c r="F20" s="493"/>
      <c r="G20" s="494"/>
      <c r="H20" s="588"/>
      <c r="I20" s="589"/>
      <c r="J20" s="589"/>
      <c r="K20" s="589"/>
      <c r="L20" s="589"/>
      <c r="M20" s="589"/>
      <c r="N20" s="589"/>
      <c r="O20" s="589"/>
      <c r="P20" s="589"/>
      <c r="Q20" s="589"/>
      <c r="R20" s="589"/>
      <c r="S20" s="589"/>
      <c r="T20" s="589"/>
      <c r="U20" s="589"/>
      <c r="V20" s="589"/>
      <c r="W20" s="590"/>
      <c r="X20" s="571"/>
      <c r="Y20" s="572"/>
      <c r="Z20" s="573"/>
      <c r="AA20" s="393"/>
      <c r="AB20" s="394"/>
      <c r="AC20" s="394"/>
      <c r="AD20" s="394"/>
      <c r="AE20" s="394"/>
      <c r="AF20" s="394"/>
      <c r="AG20" s="394"/>
      <c r="AH20" s="394"/>
      <c r="AI20" s="394"/>
      <c r="AJ20" s="394"/>
      <c r="AK20" s="394"/>
      <c r="AL20" s="394"/>
      <c r="AM20" s="394"/>
      <c r="AN20" s="394"/>
      <c r="AO20" s="394"/>
      <c r="AP20" s="394"/>
      <c r="AQ20" s="395"/>
    </row>
    <row r="21" spans="2:43" ht="12" customHeight="1">
      <c r="B21" s="492"/>
      <c r="C21" s="493"/>
      <c r="D21" s="493"/>
      <c r="E21" s="493"/>
      <c r="F21" s="493"/>
      <c r="G21" s="494"/>
      <c r="H21" s="588"/>
      <c r="I21" s="589"/>
      <c r="J21" s="589"/>
      <c r="K21" s="589"/>
      <c r="L21" s="589"/>
      <c r="M21" s="589"/>
      <c r="N21" s="589"/>
      <c r="O21" s="589"/>
      <c r="P21" s="589"/>
      <c r="Q21" s="589"/>
      <c r="R21" s="589"/>
      <c r="S21" s="589"/>
      <c r="T21" s="589"/>
      <c r="U21" s="589"/>
      <c r="V21" s="589"/>
      <c r="W21" s="590"/>
      <c r="X21" s="571"/>
      <c r="Y21" s="572"/>
      <c r="Z21" s="573"/>
      <c r="AA21" s="694"/>
      <c r="AB21" s="695"/>
      <c r="AC21" s="695"/>
      <c r="AD21" s="695"/>
      <c r="AE21" s="695"/>
      <c r="AF21" s="695"/>
      <c r="AG21" s="695"/>
      <c r="AH21" s="695"/>
      <c r="AI21" s="695"/>
      <c r="AJ21" s="695"/>
      <c r="AK21" s="695"/>
      <c r="AL21" s="695"/>
      <c r="AM21" s="695"/>
      <c r="AN21" s="695"/>
      <c r="AO21" s="695"/>
      <c r="AP21" s="695"/>
      <c r="AQ21" s="696"/>
    </row>
    <row r="22" spans="2:43" ht="12" customHeight="1" thickBot="1">
      <c r="B22" s="492"/>
      <c r="C22" s="493"/>
      <c r="D22" s="493"/>
      <c r="E22" s="493"/>
      <c r="F22" s="493"/>
      <c r="G22" s="494"/>
      <c r="H22" s="588"/>
      <c r="I22" s="589"/>
      <c r="J22" s="589"/>
      <c r="K22" s="589"/>
      <c r="L22" s="589"/>
      <c r="M22" s="589"/>
      <c r="N22" s="589"/>
      <c r="O22" s="589"/>
      <c r="P22" s="589"/>
      <c r="Q22" s="589"/>
      <c r="R22" s="589"/>
      <c r="S22" s="589"/>
      <c r="T22" s="589"/>
      <c r="U22" s="589"/>
      <c r="V22" s="589"/>
      <c r="W22" s="590"/>
      <c r="X22" s="571"/>
      <c r="Y22" s="572"/>
      <c r="Z22" s="573"/>
      <c r="AA22" s="128"/>
      <c r="AQ22" s="129"/>
    </row>
    <row r="23" spans="2:43" ht="12" customHeight="1">
      <c r="B23" s="492"/>
      <c r="C23" s="493"/>
      <c r="D23" s="493"/>
      <c r="E23" s="493"/>
      <c r="F23" s="493"/>
      <c r="G23" s="494"/>
      <c r="H23" s="591" t="s">
        <v>140</v>
      </c>
      <c r="I23" s="592"/>
      <c r="J23" s="592"/>
      <c r="K23" s="592"/>
      <c r="L23" s="592"/>
      <c r="M23" s="592"/>
      <c r="N23" s="592"/>
      <c r="O23" s="592"/>
      <c r="P23" s="592"/>
      <c r="Q23" s="592"/>
      <c r="R23" s="592"/>
      <c r="S23" s="592"/>
      <c r="T23" s="592"/>
      <c r="U23" s="592"/>
      <c r="V23" s="592"/>
      <c r="W23" s="593"/>
      <c r="X23" s="571"/>
      <c r="Y23" s="572"/>
      <c r="Z23" s="573"/>
      <c r="AA23" s="128"/>
      <c r="AB23" s="2"/>
      <c r="AC23" s="3"/>
      <c r="AD23" s="3"/>
      <c r="AE23" s="3"/>
      <c r="AF23" s="3"/>
      <c r="AG23" s="3"/>
      <c r="AH23" s="3"/>
      <c r="AI23" s="3"/>
      <c r="AJ23" s="3"/>
      <c r="AK23" s="3"/>
      <c r="AL23" s="3"/>
      <c r="AM23" s="3"/>
      <c r="AN23" s="3"/>
      <c r="AO23" s="4"/>
      <c r="AQ23" s="129"/>
    </row>
    <row r="24" spans="2:43" ht="15" customHeight="1" thickBot="1">
      <c r="B24" s="492"/>
      <c r="C24" s="493"/>
      <c r="D24" s="493"/>
      <c r="E24" s="493"/>
      <c r="F24" s="493"/>
      <c r="G24" s="494"/>
      <c r="H24" s="594"/>
      <c r="I24" s="595"/>
      <c r="J24" s="595"/>
      <c r="K24" s="595"/>
      <c r="L24" s="595"/>
      <c r="M24" s="595"/>
      <c r="N24" s="595"/>
      <c r="O24" s="595"/>
      <c r="P24" s="595"/>
      <c r="Q24" s="595"/>
      <c r="R24" s="595"/>
      <c r="S24" s="595"/>
      <c r="T24" s="595"/>
      <c r="U24" s="595"/>
      <c r="V24" s="595"/>
      <c r="W24" s="596"/>
      <c r="X24" s="574"/>
      <c r="Y24" s="575"/>
      <c r="Z24" s="576"/>
      <c r="AA24" s="128"/>
      <c r="AB24" s="5"/>
      <c r="AC24" s="1"/>
      <c r="AD24" s="1"/>
      <c r="AE24" s="1"/>
      <c r="AF24" s="1"/>
      <c r="AG24" s="1"/>
      <c r="AH24" s="1"/>
      <c r="AI24" s="1"/>
      <c r="AJ24" s="1"/>
      <c r="AK24" s="1"/>
      <c r="AL24" s="1"/>
      <c r="AM24" s="1"/>
      <c r="AN24" s="1"/>
      <c r="AO24" s="6"/>
      <c r="AQ24" s="129"/>
    </row>
    <row r="25" spans="2:43" ht="14.25" customHeight="1" thickTop="1">
      <c r="B25" s="492"/>
      <c r="C25" s="493"/>
      <c r="D25" s="493"/>
      <c r="E25" s="493"/>
      <c r="F25" s="493"/>
      <c r="G25" s="494"/>
      <c r="H25" s="577"/>
      <c r="I25" s="578"/>
      <c r="J25" s="578"/>
      <c r="K25" s="578"/>
      <c r="L25" s="578"/>
      <c r="M25" s="578"/>
      <c r="N25" s="578"/>
      <c r="O25" s="578"/>
      <c r="P25" s="578"/>
      <c r="Q25" s="578"/>
      <c r="R25" s="579"/>
      <c r="S25" s="86"/>
      <c r="T25" s="177"/>
      <c r="U25" s="70" t="s">
        <v>75</v>
      </c>
      <c r="V25" s="486">
        <v>45652</v>
      </c>
      <c r="W25" s="487"/>
      <c r="X25" s="487"/>
      <c r="Y25" s="487"/>
      <c r="Z25" s="580" t="s">
        <v>108</v>
      </c>
      <c r="AA25" s="128"/>
      <c r="AB25" s="5"/>
      <c r="AC25" s="384" t="s">
        <v>89</v>
      </c>
      <c r="AD25" s="385"/>
      <c r="AE25" s="385"/>
      <c r="AF25" s="385"/>
      <c r="AG25" s="386"/>
      <c r="AH25" s="383"/>
      <c r="AI25" s="374" t="s">
        <v>88</v>
      </c>
      <c r="AJ25" s="375"/>
      <c r="AK25" s="375"/>
      <c r="AL25" s="375"/>
      <c r="AM25" s="375"/>
      <c r="AN25" s="376"/>
      <c r="AO25" s="6"/>
      <c r="AQ25" s="129"/>
    </row>
    <row r="26" spans="2:43" ht="14.25" customHeight="1">
      <c r="B26" s="492"/>
      <c r="C26" s="493"/>
      <c r="D26" s="493"/>
      <c r="E26" s="493"/>
      <c r="F26" s="493"/>
      <c r="G26" s="494"/>
      <c r="H26" s="175"/>
      <c r="I26" s="176"/>
      <c r="J26" s="162" t="s">
        <v>85</v>
      </c>
      <c r="K26" s="583" t="s">
        <v>248</v>
      </c>
      <c r="L26" s="584"/>
      <c r="M26" s="584"/>
      <c r="N26" s="584"/>
      <c r="O26" s="584"/>
      <c r="P26" s="584"/>
      <c r="Q26" s="42"/>
      <c r="R26" s="43"/>
      <c r="S26" s="86"/>
      <c r="T26" s="178"/>
      <c r="U26" s="162" t="s">
        <v>25</v>
      </c>
      <c r="V26" s="486">
        <v>45664</v>
      </c>
      <c r="W26" s="487"/>
      <c r="X26" s="487"/>
      <c r="Y26" s="487"/>
      <c r="Z26" s="581" t="s">
        <v>24</v>
      </c>
      <c r="AA26" s="128"/>
      <c r="AB26" s="5"/>
      <c r="AC26" s="387"/>
      <c r="AD26" s="388"/>
      <c r="AE26" s="388"/>
      <c r="AF26" s="388"/>
      <c r="AG26" s="389"/>
      <c r="AH26" s="383"/>
      <c r="AI26" s="377"/>
      <c r="AJ26" s="378"/>
      <c r="AK26" s="378"/>
      <c r="AL26" s="378"/>
      <c r="AM26" s="378"/>
      <c r="AN26" s="379"/>
      <c r="AO26" s="6"/>
      <c r="AQ26" s="129"/>
    </row>
    <row r="27" spans="2:43" ht="14.25" customHeight="1">
      <c r="B27" s="492"/>
      <c r="C27" s="493"/>
      <c r="D27" s="493"/>
      <c r="E27" s="493"/>
      <c r="F27" s="493"/>
      <c r="G27" s="494"/>
      <c r="H27" s="175"/>
      <c r="I27" s="176"/>
      <c r="J27" s="162" t="s">
        <v>26</v>
      </c>
      <c r="K27" s="584"/>
      <c r="L27" s="584"/>
      <c r="M27" s="584"/>
      <c r="N27" s="584"/>
      <c r="O27" s="584"/>
      <c r="P27" s="584"/>
      <c r="Q27" s="23"/>
      <c r="R27" s="23"/>
      <c r="S27" s="86"/>
      <c r="T27" s="178"/>
      <c r="U27" s="162" t="s">
        <v>27</v>
      </c>
      <c r="V27" s="486">
        <v>45668</v>
      </c>
      <c r="W27" s="487"/>
      <c r="X27" s="487"/>
      <c r="Y27" s="487"/>
      <c r="Z27" s="581"/>
      <c r="AA27" s="128"/>
      <c r="AB27" s="5"/>
      <c r="AC27" s="387"/>
      <c r="AD27" s="388"/>
      <c r="AE27" s="388"/>
      <c r="AF27" s="388"/>
      <c r="AG27" s="389"/>
      <c r="AH27" s="383"/>
      <c r="AI27" s="377"/>
      <c r="AJ27" s="378"/>
      <c r="AK27" s="378"/>
      <c r="AL27" s="378"/>
      <c r="AM27" s="378"/>
      <c r="AN27" s="379"/>
      <c r="AO27" s="6"/>
      <c r="AQ27" s="129"/>
    </row>
    <row r="28" spans="2:43" ht="14.25" customHeight="1">
      <c r="B28" s="495"/>
      <c r="C28" s="496"/>
      <c r="D28" s="496"/>
      <c r="E28" s="496"/>
      <c r="F28" s="496"/>
      <c r="G28" s="497"/>
      <c r="H28" s="53"/>
      <c r="I28" s="23"/>
      <c r="J28" s="23"/>
      <c r="K28" s="603"/>
      <c r="L28" s="603"/>
      <c r="M28" s="603"/>
      <c r="N28" s="603"/>
      <c r="O28" s="603"/>
      <c r="P28" s="54"/>
      <c r="Q28" s="23"/>
      <c r="R28" s="55"/>
      <c r="S28" s="86"/>
      <c r="T28" s="29"/>
      <c r="U28" s="29"/>
      <c r="V28" s="23"/>
      <c r="W28" s="600"/>
      <c r="X28" s="601"/>
      <c r="Y28" s="602"/>
      <c r="Z28" s="582"/>
      <c r="AA28" s="128"/>
      <c r="AB28" s="5"/>
      <c r="AC28" s="387"/>
      <c r="AD28" s="388"/>
      <c r="AE28" s="388"/>
      <c r="AF28" s="388"/>
      <c r="AG28" s="389"/>
      <c r="AH28" s="383"/>
      <c r="AI28" s="377"/>
      <c r="AJ28" s="378"/>
      <c r="AK28" s="378"/>
      <c r="AL28" s="378"/>
      <c r="AM28" s="378"/>
      <c r="AN28" s="379"/>
      <c r="AO28" s="6"/>
      <c r="AQ28" s="129"/>
    </row>
    <row r="29" spans="2:43" ht="12.75" customHeight="1">
      <c r="B29" s="88" t="s">
        <v>8</v>
      </c>
      <c r="C29" s="77"/>
      <c r="D29" s="78"/>
      <c r="E29" s="78"/>
      <c r="F29" s="78"/>
      <c r="G29" s="78"/>
      <c r="H29" s="79"/>
      <c r="I29" s="80"/>
      <c r="J29" s="80"/>
      <c r="K29" s="79"/>
      <c r="L29" s="79"/>
      <c r="M29" s="79"/>
      <c r="N29" s="79"/>
      <c r="O29" s="79"/>
      <c r="P29" s="79"/>
      <c r="Q29" s="80"/>
      <c r="R29" s="80"/>
      <c r="S29" s="80"/>
      <c r="T29" s="80"/>
      <c r="U29" s="80"/>
      <c r="V29" s="80"/>
      <c r="W29" s="81"/>
      <c r="X29" s="79"/>
      <c r="Y29" s="79"/>
      <c r="Z29" s="89"/>
      <c r="AA29" s="128"/>
      <c r="AB29" s="5"/>
      <c r="AC29" s="387"/>
      <c r="AD29" s="388"/>
      <c r="AE29" s="388"/>
      <c r="AF29" s="388"/>
      <c r="AG29" s="389"/>
      <c r="AH29" s="383"/>
      <c r="AI29" s="377"/>
      <c r="AJ29" s="378"/>
      <c r="AK29" s="378"/>
      <c r="AL29" s="378"/>
      <c r="AM29" s="378"/>
      <c r="AN29" s="379"/>
      <c r="AO29" s="6"/>
      <c r="AQ29" s="129"/>
    </row>
    <row r="30" spans="2:43" ht="12.75" customHeight="1">
      <c r="B30" s="179" t="s">
        <v>28</v>
      </c>
      <c r="C30" s="180"/>
      <c r="D30" s="180"/>
      <c r="E30" s="180"/>
      <c r="F30" s="498" t="s">
        <v>361</v>
      </c>
      <c r="G30" s="498"/>
      <c r="H30" s="498"/>
      <c r="I30" s="498"/>
      <c r="J30" s="498"/>
      <c r="K30" s="498"/>
      <c r="L30" s="498"/>
      <c r="M30" s="498"/>
      <c r="N30" s="180" t="s">
        <v>97</v>
      </c>
      <c r="O30" s="180"/>
      <c r="P30" s="180"/>
      <c r="Q30" s="180"/>
      <c r="R30" s="344" t="s">
        <v>250</v>
      </c>
      <c r="S30" s="498"/>
      <c r="T30" s="498"/>
      <c r="U30" s="498"/>
      <c r="V30" s="498"/>
      <c r="W30" s="498"/>
      <c r="X30" s="498"/>
      <c r="Y30" s="498"/>
      <c r="Z30" s="90"/>
      <c r="AA30" s="128"/>
      <c r="AB30" s="5"/>
      <c r="AC30" s="387"/>
      <c r="AD30" s="388"/>
      <c r="AE30" s="388"/>
      <c r="AF30" s="388"/>
      <c r="AG30" s="389"/>
      <c r="AH30" s="383"/>
      <c r="AI30" s="377"/>
      <c r="AJ30" s="378"/>
      <c r="AK30" s="378"/>
      <c r="AL30" s="378"/>
      <c r="AM30" s="378"/>
      <c r="AN30" s="379"/>
      <c r="AO30" s="6"/>
      <c r="AQ30" s="129"/>
    </row>
    <row r="31" spans="2:43" ht="25.5" customHeight="1">
      <c r="B31" s="293" t="s">
        <v>245</v>
      </c>
      <c r="C31" s="294"/>
      <c r="D31" s="294"/>
      <c r="E31" s="294"/>
      <c r="F31" s="498" t="s">
        <v>62</v>
      </c>
      <c r="G31" s="498"/>
      <c r="H31" s="498"/>
      <c r="I31" s="498"/>
      <c r="J31" s="498"/>
      <c r="K31" s="498"/>
      <c r="L31" s="498"/>
      <c r="M31" s="498"/>
      <c r="N31" s="180" t="s">
        <v>98</v>
      </c>
      <c r="O31" s="180"/>
      <c r="P31" s="180"/>
      <c r="Q31" s="180"/>
      <c r="R31" s="498" t="s">
        <v>251</v>
      </c>
      <c r="S31" s="498"/>
      <c r="T31" s="498"/>
      <c r="U31" s="498"/>
      <c r="V31" s="498"/>
      <c r="W31" s="498"/>
      <c r="X31" s="498"/>
      <c r="Y31" s="498"/>
      <c r="Z31" s="90"/>
      <c r="AA31" s="128"/>
      <c r="AB31" s="5"/>
      <c r="AC31" s="387"/>
      <c r="AD31" s="388"/>
      <c r="AE31" s="388"/>
      <c r="AF31" s="388"/>
      <c r="AG31" s="389"/>
      <c r="AH31" s="383"/>
      <c r="AI31" s="377"/>
      <c r="AJ31" s="378"/>
      <c r="AK31" s="378"/>
      <c r="AL31" s="378"/>
      <c r="AM31" s="378"/>
      <c r="AN31" s="379"/>
      <c r="AO31" s="6"/>
      <c r="AQ31" s="129"/>
    </row>
    <row r="32" spans="2:43" ht="12.75" customHeight="1">
      <c r="B32" s="181" t="s">
        <v>29</v>
      </c>
      <c r="C32" s="182"/>
      <c r="D32" s="182"/>
      <c r="E32" s="180"/>
      <c r="F32" s="498"/>
      <c r="G32" s="498"/>
      <c r="H32" s="498"/>
      <c r="I32" s="498"/>
      <c r="J32" s="498"/>
      <c r="K32" s="498"/>
      <c r="L32" s="498"/>
      <c r="M32" s="498"/>
      <c r="N32" s="182" t="s">
        <v>99</v>
      </c>
      <c r="O32" s="180"/>
      <c r="P32" s="180"/>
      <c r="Q32" s="180"/>
      <c r="R32" s="498" t="s">
        <v>252</v>
      </c>
      <c r="S32" s="498"/>
      <c r="T32" s="498"/>
      <c r="U32" s="498"/>
      <c r="V32" s="498"/>
      <c r="W32" s="498"/>
      <c r="X32" s="498"/>
      <c r="Y32" s="498"/>
      <c r="Z32" s="90"/>
      <c r="AA32" s="128"/>
      <c r="AB32" s="5"/>
      <c r="AC32" s="387"/>
      <c r="AD32" s="388"/>
      <c r="AE32" s="388"/>
      <c r="AF32" s="388"/>
      <c r="AG32" s="389"/>
      <c r="AH32" s="383"/>
      <c r="AI32" s="377"/>
      <c r="AJ32" s="378"/>
      <c r="AK32" s="378"/>
      <c r="AL32" s="378"/>
      <c r="AM32" s="378"/>
      <c r="AN32" s="379"/>
      <c r="AO32" s="6"/>
      <c r="AQ32" s="129"/>
    </row>
    <row r="33" spans="2:43" ht="24.75" customHeight="1">
      <c r="B33" s="183" t="s">
        <v>30</v>
      </c>
      <c r="C33" s="184"/>
      <c r="D33" s="184"/>
      <c r="E33" s="185"/>
      <c r="F33" s="488" t="s">
        <v>249</v>
      </c>
      <c r="G33" s="488"/>
      <c r="H33" s="488"/>
      <c r="I33" s="488"/>
      <c r="J33" s="488"/>
      <c r="K33" s="488"/>
      <c r="L33" s="488"/>
      <c r="M33" s="488"/>
      <c r="N33" s="485" t="s">
        <v>100</v>
      </c>
      <c r="O33" s="485"/>
      <c r="P33" s="485"/>
      <c r="Q33" s="485"/>
      <c r="R33" s="604" t="s">
        <v>253</v>
      </c>
      <c r="S33" s="488"/>
      <c r="T33" s="488"/>
      <c r="U33" s="488"/>
      <c r="V33" s="488"/>
      <c r="W33" s="488"/>
      <c r="X33" s="488"/>
      <c r="Y33" s="605"/>
      <c r="Z33" s="90"/>
      <c r="AA33" s="128"/>
      <c r="AB33" s="5"/>
      <c r="AC33" s="387"/>
      <c r="AD33" s="388"/>
      <c r="AE33" s="388"/>
      <c r="AF33" s="388"/>
      <c r="AG33" s="389"/>
      <c r="AH33" s="383"/>
      <c r="AI33" s="377"/>
      <c r="AJ33" s="378"/>
      <c r="AK33" s="378"/>
      <c r="AL33" s="378"/>
      <c r="AM33" s="378"/>
      <c r="AN33" s="379"/>
      <c r="AO33" s="6"/>
      <c r="AQ33" s="129"/>
    </row>
    <row r="34" spans="2:43" ht="12.75" customHeight="1">
      <c r="B34" s="181" t="s">
        <v>152</v>
      </c>
      <c r="C34" s="28"/>
      <c r="D34" s="28"/>
      <c r="E34" s="28"/>
      <c r="F34" s="28"/>
      <c r="G34" s="28"/>
      <c r="H34" s="334" t="s">
        <v>254</v>
      </c>
      <c r="I34" s="334"/>
      <c r="J34" s="334"/>
      <c r="K34" s="334"/>
      <c r="L34" s="334"/>
      <c r="M34" s="334"/>
      <c r="N34" s="334"/>
      <c r="O34" s="334"/>
      <c r="P34" s="334"/>
      <c r="Q34" s="334"/>
      <c r="R34" s="334"/>
      <c r="S34" s="334"/>
      <c r="T34" s="28"/>
      <c r="U34" s="186" t="s">
        <v>31</v>
      </c>
      <c r="V34" s="501" t="s">
        <v>258</v>
      </c>
      <c r="W34" s="501"/>
      <c r="X34" s="501"/>
      <c r="Y34" s="502"/>
      <c r="Z34" s="90"/>
      <c r="AA34" s="130"/>
      <c r="AB34" s="5"/>
      <c r="AC34" s="387"/>
      <c r="AD34" s="388"/>
      <c r="AE34" s="388"/>
      <c r="AF34" s="388"/>
      <c r="AG34" s="389"/>
      <c r="AH34" s="383"/>
      <c r="AI34" s="377"/>
      <c r="AJ34" s="378"/>
      <c r="AK34" s="378"/>
      <c r="AL34" s="378"/>
      <c r="AM34" s="378"/>
      <c r="AN34" s="379"/>
      <c r="AO34" s="6"/>
      <c r="AQ34" s="129"/>
    </row>
    <row r="35" spans="2:43" ht="12.75" customHeight="1">
      <c r="B35" s="183" t="s">
        <v>32</v>
      </c>
      <c r="C35" s="82"/>
      <c r="D35" s="82"/>
      <c r="E35" s="82"/>
      <c r="F35" s="82"/>
      <c r="G35" s="82"/>
      <c r="H35" s="610" t="s">
        <v>255</v>
      </c>
      <c r="I35" s="344"/>
      <c r="J35" s="344"/>
      <c r="K35" s="344"/>
      <c r="L35" s="344"/>
      <c r="M35" s="344"/>
      <c r="N35" s="344"/>
      <c r="O35" s="344"/>
      <c r="P35" s="344"/>
      <c r="Q35" s="344"/>
      <c r="R35" s="344"/>
      <c r="S35" s="344"/>
      <c r="T35" s="82"/>
      <c r="U35" s="187" t="s">
        <v>33</v>
      </c>
      <c r="V35" s="616" t="s">
        <v>259</v>
      </c>
      <c r="W35" s="617"/>
      <c r="X35" s="617"/>
      <c r="Y35" s="618"/>
      <c r="Z35" s="90"/>
      <c r="AA35" s="130"/>
      <c r="AB35" s="5"/>
      <c r="AC35" s="387"/>
      <c r="AD35" s="388"/>
      <c r="AE35" s="388"/>
      <c r="AF35" s="388"/>
      <c r="AG35" s="389"/>
      <c r="AH35" s="383"/>
      <c r="AI35" s="377"/>
      <c r="AJ35" s="378"/>
      <c r="AK35" s="378"/>
      <c r="AL35" s="378"/>
      <c r="AM35" s="378"/>
      <c r="AN35" s="379"/>
      <c r="AO35" s="6"/>
      <c r="AQ35" s="129"/>
    </row>
    <row r="36" spans="2:43" ht="12.75" customHeight="1">
      <c r="B36" s="181" t="s">
        <v>34</v>
      </c>
      <c r="C36" s="29"/>
      <c r="D36" s="29"/>
      <c r="E36" s="23"/>
      <c r="F36" s="30"/>
      <c r="G36" s="30"/>
      <c r="H36" s="334" t="s">
        <v>256</v>
      </c>
      <c r="I36" s="334"/>
      <c r="J36" s="334"/>
      <c r="K36" s="334"/>
      <c r="L36" s="334"/>
      <c r="M36" s="334"/>
      <c r="N36" s="334"/>
      <c r="O36" s="334"/>
      <c r="P36" s="334"/>
      <c r="Q36" s="334"/>
      <c r="R36" s="334"/>
      <c r="S36" s="334"/>
      <c r="T36" s="30"/>
      <c r="U36" s="162" t="s">
        <v>31</v>
      </c>
      <c r="V36" s="521" t="s">
        <v>260</v>
      </c>
      <c r="W36" s="521"/>
      <c r="X36" s="521"/>
      <c r="Y36" s="522"/>
      <c r="Z36" s="90"/>
      <c r="AA36" s="128"/>
      <c r="AB36" s="5"/>
      <c r="AC36" s="387"/>
      <c r="AD36" s="388"/>
      <c r="AE36" s="388"/>
      <c r="AF36" s="388"/>
      <c r="AG36" s="389"/>
      <c r="AH36" s="383"/>
      <c r="AI36" s="377"/>
      <c r="AJ36" s="378"/>
      <c r="AK36" s="378"/>
      <c r="AL36" s="378"/>
      <c r="AM36" s="378"/>
      <c r="AN36" s="379"/>
      <c r="AO36" s="6"/>
      <c r="AQ36" s="129"/>
    </row>
    <row r="37" spans="2:43" ht="12.75" customHeight="1">
      <c r="B37" s="181" t="s">
        <v>32</v>
      </c>
      <c r="C37" s="29"/>
      <c r="D37" s="29"/>
      <c r="E37" s="23"/>
      <c r="F37" s="30"/>
      <c r="G37" s="30"/>
      <c r="H37" s="331" t="s">
        <v>257</v>
      </c>
      <c r="I37" s="331"/>
      <c r="J37" s="331"/>
      <c r="K37" s="331"/>
      <c r="L37" s="331"/>
      <c r="M37" s="331"/>
      <c r="N37" s="331"/>
      <c r="O37" s="331"/>
      <c r="P37" s="331"/>
      <c r="Q37" s="331"/>
      <c r="R37" s="331"/>
      <c r="S37" s="331"/>
      <c r="T37" s="30"/>
      <c r="U37" s="162" t="s">
        <v>33</v>
      </c>
      <c r="V37" s="611" t="s">
        <v>261</v>
      </c>
      <c r="W37" s="523"/>
      <c r="X37" s="523"/>
      <c r="Y37" s="523"/>
      <c r="Z37" s="90"/>
      <c r="AA37" s="128"/>
      <c r="AB37" s="5"/>
      <c r="AC37" s="387"/>
      <c r="AD37" s="388"/>
      <c r="AE37" s="388"/>
      <c r="AF37" s="388"/>
      <c r="AG37" s="389"/>
      <c r="AH37" s="383"/>
      <c r="AI37" s="377"/>
      <c r="AJ37" s="378"/>
      <c r="AK37" s="378"/>
      <c r="AL37" s="378"/>
      <c r="AM37" s="378"/>
      <c r="AN37" s="379"/>
      <c r="AO37" s="6"/>
      <c r="AQ37" s="129"/>
    </row>
    <row r="38" spans="2:43" ht="12.75" customHeight="1">
      <c r="B38" s="221" t="s">
        <v>10</v>
      </c>
      <c r="C38" s="215" t="s">
        <v>11</v>
      </c>
      <c r="D38" s="216"/>
      <c r="E38" s="216"/>
      <c r="F38" s="216"/>
      <c r="G38" s="222"/>
      <c r="H38" s="222"/>
      <c r="I38" s="222"/>
      <c r="J38" s="222"/>
      <c r="K38" s="216"/>
      <c r="L38" s="216"/>
      <c r="M38" s="216"/>
      <c r="N38" s="216"/>
      <c r="O38" s="217"/>
      <c r="P38" s="613"/>
      <c r="Q38" s="613"/>
      <c r="R38" s="613"/>
      <c r="S38" s="613"/>
      <c r="T38" s="613"/>
      <c r="U38" s="613"/>
      <c r="V38" s="613"/>
      <c r="W38" s="613"/>
      <c r="X38" s="613"/>
      <c r="Y38" s="614"/>
      <c r="Z38" s="93"/>
      <c r="AA38" s="131"/>
      <c r="AB38" s="5"/>
      <c r="AC38" s="387"/>
      <c r="AD38" s="388"/>
      <c r="AE38" s="388"/>
      <c r="AF38" s="388"/>
      <c r="AG38" s="389"/>
      <c r="AH38" s="383"/>
      <c r="AI38" s="377"/>
      <c r="AJ38" s="378"/>
      <c r="AK38" s="378"/>
      <c r="AL38" s="378"/>
      <c r="AM38" s="378"/>
      <c r="AN38" s="379"/>
      <c r="AO38" s="6"/>
      <c r="AQ38" s="129"/>
    </row>
    <row r="39" spans="2:43" s="13" customFormat="1" ht="12.75" customHeight="1">
      <c r="B39" s="188" t="s">
        <v>61</v>
      </c>
      <c r="C39" s="33"/>
      <c r="D39" s="612" t="s">
        <v>262</v>
      </c>
      <c r="E39" s="612"/>
      <c r="F39" s="612"/>
      <c r="G39" s="612"/>
      <c r="H39" s="612"/>
      <c r="I39" s="17" t="s">
        <v>62</v>
      </c>
      <c r="J39" s="524" t="s">
        <v>263</v>
      </c>
      <c r="K39" s="511"/>
      <c r="L39" s="511"/>
      <c r="M39" s="511"/>
      <c r="N39" s="17" t="s">
        <v>63</v>
      </c>
      <c r="O39" s="633" t="s">
        <v>270</v>
      </c>
      <c r="P39" s="633"/>
      <c r="Q39" s="633"/>
      <c r="R39" s="633"/>
      <c r="S39" s="711" t="s">
        <v>314</v>
      </c>
      <c r="T39" s="711"/>
      <c r="U39" s="711"/>
      <c r="V39" s="525" t="s">
        <v>274</v>
      </c>
      <c r="W39" s="525"/>
      <c r="X39" s="525"/>
      <c r="Y39" s="525"/>
      <c r="Z39" s="94"/>
      <c r="AA39" s="132"/>
      <c r="AB39" s="5"/>
      <c r="AC39" s="387"/>
      <c r="AD39" s="388"/>
      <c r="AE39" s="388"/>
      <c r="AF39" s="388"/>
      <c r="AG39" s="389"/>
      <c r="AH39" s="383"/>
      <c r="AI39" s="377"/>
      <c r="AJ39" s="378"/>
      <c r="AK39" s="378"/>
      <c r="AL39" s="378"/>
      <c r="AM39" s="378"/>
      <c r="AN39" s="379"/>
      <c r="AO39" s="6"/>
      <c r="AP39" s="25"/>
      <c r="AQ39" s="133"/>
    </row>
    <row r="40" spans="2:43" s="13" customFormat="1" ht="13.5" customHeight="1">
      <c r="B40" s="188" t="s">
        <v>64</v>
      </c>
      <c r="C40" s="23"/>
      <c r="D40" s="344" t="s">
        <v>308</v>
      </c>
      <c r="E40" s="344"/>
      <c r="F40" s="344"/>
      <c r="G40" s="344"/>
      <c r="H40" s="344"/>
      <c r="I40" s="17" t="s">
        <v>62</v>
      </c>
      <c r="J40" s="524" t="s">
        <v>264</v>
      </c>
      <c r="K40" s="511"/>
      <c r="L40" s="511"/>
      <c r="M40" s="511"/>
      <c r="N40" s="17" t="s">
        <v>63</v>
      </c>
      <c r="O40" s="523" t="s">
        <v>260</v>
      </c>
      <c r="P40" s="523"/>
      <c r="Q40" s="523"/>
      <c r="R40" s="523"/>
      <c r="S40" s="711" t="s">
        <v>315</v>
      </c>
      <c r="T40" s="711"/>
      <c r="U40" s="711"/>
      <c r="V40" s="511" t="s">
        <v>275</v>
      </c>
      <c r="W40" s="511"/>
      <c r="X40" s="511"/>
      <c r="Y40" s="511"/>
      <c r="Z40" s="94"/>
      <c r="AA40" s="132"/>
      <c r="AB40" s="5"/>
      <c r="AC40" s="387"/>
      <c r="AD40" s="388"/>
      <c r="AE40" s="388"/>
      <c r="AF40" s="388"/>
      <c r="AG40" s="389"/>
      <c r="AH40" s="383"/>
      <c r="AI40" s="377"/>
      <c r="AJ40" s="378"/>
      <c r="AK40" s="378"/>
      <c r="AL40" s="378"/>
      <c r="AM40" s="378"/>
      <c r="AN40" s="379"/>
      <c r="AO40" s="6"/>
      <c r="AP40" s="25"/>
      <c r="AQ40" s="133"/>
    </row>
    <row r="41" spans="2:43" s="13" customFormat="1" ht="12.75" customHeight="1" thickBot="1">
      <c r="B41" s="179" t="s">
        <v>65</v>
      </c>
      <c r="C41" s="35"/>
      <c r="D41" s="344" t="s">
        <v>309</v>
      </c>
      <c r="E41" s="344"/>
      <c r="F41" s="344"/>
      <c r="G41" s="344"/>
      <c r="H41" s="344"/>
      <c r="I41" s="189" t="s">
        <v>62</v>
      </c>
      <c r="J41" s="524" t="s">
        <v>265</v>
      </c>
      <c r="K41" s="511"/>
      <c r="L41" s="511"/>
      <c r="M41" s="511"/>
      <c r="N41" s="189" t="s">
        <v>63</v>
      </c>
      <c r="O41" s="523" t="s">
        <v>271</v>
      </c>
      <c r="P41" s="523"/>
      <c r="Q41" s="523"/>
      <c r="R41" s="523"/>
      <c r="S41" s="712" t="s">
        <v>316</v>
      </c>
      <c r="T41" s="712"/>
      <c r="U41" s="712"/>
      <c r="V41" s="511" t="s">
        <v>276</v>
      </c>
      <c r="W41" s="511"/>
      <c r="X41" s="511"/>
      <c r="Y41" s="511"/>
      <c r="Z41" s="94"/>
      <c r="AA41" s="132"/>
      <c r="AB41" s="5"/>
      <c r="AC41" s="390"/>
      <c r="AD41" s="391"/>
      <c r="AE41" s="391"/>
      <c r="AF41" s="391"/>
      <c r="AG41" s="392"/>
      <c r="AH41" s="383"/>
      <c r="AI41" s="380"/>
      <c r="AJ41" s="381"/>
      <c r="AK41" s="381"/>
      <c r="AL41" s="381"/>
      <c r="AM41" s="381"/>
      <c r="AN41" s="382"/>
      <c r="AO41" s="6"/>
      <c r="AP41" s="25"/>
      <c r="AQ41" s="133"/>
    </row>
    <row r="42" spans="2:43" s="13" customFormat="1" ht="12.75" customHeight="1" thickTop="1">
      <c r="B42" s="179" t="s">
        <v>65</v>
      </c>
      <c r="C42" s="36"/>
      <c r="D42" s="344" t="s">
        <v>310</v>
      </c>
      <c r="E42" s="344"/>
      <c r="F42" s="344"/>
      <c r="G42" s="344"/>
      <c r="H42" s="344"/>
      <c r="I42" s="190" t="s">
        <v>62</v>
      </c>
      <c r="J42" s="524" t="s">
        <v>266</v>
      </c>
      <c r="K42" s="511"/>
      <c r="L42" s="511"/>
      <c r="M42" s="511"/>
      <c r="N42" s="190" t="s">
        <v>63</v>
      </c>
      <c r="O42" s="523" t="s">
        <v>272</v>
      </c>
      <c r="P42" s="523"/>
      <c r="Q42" s="523"/>
      <c r="R42" s="523"/>
      <c r="S42" s="712" t="s">
        <v>317</v>
      </c>
      <c r="T42" s="712"/>
      <c r="U42" s="712"/>
      <c r="V42" s="511" t="s">
        <v>277</v>
      </c>
      <c r="W42" s="511"/>
      <c r="X42" s="511"/>
      <c r="Y42" s="511"/>
      <c r="Z42" s="94"/>
      <c r="AA42" s="132"/>
      <c r="AB42" s="5"/>
      <c r="AC42" s="121"/>
      <c r="AD42" s="121"/>
      <c r="AE42" s="121"/>
      <c r="AF42" s="121"/>
      <c r="AG42" s="121"/>
      <c r="AH42" s="122"/>
      <c r="AI42" s="123"/>
      <c r="AJ42" s="123"/>
      <c r="AK42" s="123"/>
      <c r="AL42" s="123"/>
      <c r="AM42" s="123"/>
      <c r="AN42" s="123"/>
      <c r="AO42" s="6"/>
      <c r="AP42" s="25"/>
      <c r="AQ42" s="133"/>
    </row>
    <row r="43" spans="2:43" s="13" customFormat="1" ht="12.75" customHeight="1">
      <c r="B43" s="179" t="s">
        <v>65</v>
      </c>
      <c r="C43" s="36"/>
      <c r="D43" s="344" t="s">
        <v>311</v>
      </c>
      <c r="E43" s="344"/>
      <c r="F43" s="344"/>
      <c r="G43" s="344"/>
      <c r="H43" s="344"/>
      <c r="I43" s="190" t="s">
        <v>62</v>
      </c>
      <c r="J43" s="526" t="s">
        <v>267</v>
      </c>
      <c r="K43" s="511"/>
      <c r="L43" s="511"/>
      <c r="M43" s="511"/>
      <c r="N43" s="190" t="s">
        <v>63</v>
      </c>
      <c r="O43" s="523" t="s">
        <v>271</v>
      </c>
      <c r="P43" s="523"/>
      <c r="Q43" s="523"/>
      <c r="R43" s="523"/>
      <c r="S43" s="712" t="s">
        <v>318</v>
      </c>
      <c r="T43" s="712"/>
      <c r="U43" s="712"/>
      <c r="V43" s="511" t="s">
        <v>276</v>
      </c>
      <c r="W43" s="511"/>
      <c r="X43" s="511"/>
      <c r="Y43" s="511"/>
      <c r="Z43" s="94"/>
      <c r="AA43" s="132"/>
      <c r="AB43" s="5"/>
      <c r="AC43" s="417" t="s">
        <v>6</v>
      </c>
      <c r="AD43" s="418"/>
      <c r="AE43" s="418"/>
      <c r="AF43" s="418"/>
      <c r="AG43" s="419"/>
      <c r="AH43" s="420"/>
      <c r="AI43" s="417" t="s">
        <v>7</v>
      </c>
      <c r="AJ43" s="418"/>
      <c r="AK43" s="418"/>
      <c r="AL43" s="418"/>
      <c r="AM43" s="418"/>
      <c r="AN43" s="419"/>
      <c r="AO43" s="6"/>
      <c r="AP43" s="25"/>
      <c r="AQ43" s="133"/>
    </row>
    <row r="44" spans="2:43" s="13" customFormat="1" ht="12.75" customHeight="1">
      <c r="B44" s="179" t="s">
        <v>65</v>
      </c>
      <c r="C44" s="23"/>
      <c r="D44" s="432" t="s">
        <v>312</v>
      </c>
      <c r="E44" s="432"/>
      <c r="F44" s="432"/>
      <c r="G44" s="432"/>
      <c r="H44" s="432"/>
      <c r="I44" s="190" t="s">
        <v>62</v>
      </c>
      <c r="J44" s="526" t="s">
        <v>268</v>
      </c>
      <c r="K44" s="511"/>
      <c r="L44" s="511"/>
      <c r="M44" s="511"/>
      <c r="N44" s="190" t="s">
        <v>63</v>
      </c>
      <c r="O44" s="606" t="s">
        <v>273</v>
      </c>
      <c r="P44" s="606"/>
      <c r="Q44" s="606"/>
      <c r="R44" s="606"/>
      <c r="S44" s="712" t="s">
        <v>319</v>
      </c>
      <c r="T44" s="712"/>
      <c r="U44" s="712"/>
      <c r="V44" s="511" t="s">
        <v>275</v>
      </c>
      <c r="W44" s="511"/>
      <c r="X44" s="511"/>
      <c r="Y44" s="511"/>
      <c r="Z44" s="94"/>
      <c r="AA44" s="132"/>
      <c r="AB44" s="5"/>
      <c r="AC44" s="270"/>
      <c r="AD44" s="271"/>
      <c r="AE44" s="271"/>
      <c r="AF44" s="271"/>
      <c r="AG44" s="272"/>
      <c r="AH44" s="420"/>
      <c r="AI44" s="270"/>
      <c r="AJ44" s="271"/>
      <c r="AK44" s="271"/>
      <c r="AL44" s="271"/>
      <c r="AM44" s="271"/>
      <c r="AN44" s="272"/>
      <c r="AO44" s="6"/>
      <c r="AP44" s="25"/>
      <c r="AQ44" s="133"/>
    </row>
    <row r="45" spans="2:43" s="13" customFormat="1" ht="12.75" customHeight="1">
      <c r="B45" s="179" t="s">
        <v>65</v>
      </c>
      <c r="C45" s="23"/>
      <c r="D45" s="432" t="s">
        <v>355</v>
      </c>
      <c r="E45" s="432"/>
      <c r="F45" s="432"/>
      <c r="G45" s="432"/>
      <c r="H45" s="432"/>
      <c r="I45" s="190" t="s">
        <v>62</v>
      </c>
      <c r="J45" s="619" t="s">
        <v>356</v>
      </c>
      <c r="K45" s="619"/>
      <c r="L45" s="619"/>
      <c r="M45" s="619"/>
      <c r="N45" s="190" t="s">
        <v>63</v>
      </c>
      <c r="O45" s="523" t="s">
        <v>357</v>
      </c>
      <c r="P45" s="523"/>
      <c r="Q45" s="523"/>
      <c r="R45" s="523"/>
      <c r="S45" s="713" t="s">
        <v>358</v>
      </c>
      <c r="T45" s="713"/>
      <c r="U45" s="713"/>
      <c r="V45" s="620" t="s">
        <v>359</v>
      </c>
      <c r="W45" s="620"/>
      <c r="X45" s="620"/>
      <c r="Y45" s="273"/>
      <c r="Z45" s="94"/>
      <c r="AA45" s="132"/>
      <c r="AB45" s="5"/>
      <c r="AC45" s="270"/>
      <c r="AD45" s="271"/>
      <c r="AE45" s="271"/>
      <c r="AF45" s="271"/>
      <c r="AG45" s="272"/>
      <c r="AH45" s="420"/>
      <c r="AI45" s="270"/>
      <c r="AJ45" s="271"/>
      <c r="AK45" s="271"/>
      <c r="AL45" s="271"/>
      <c r="AM45" s="271"/>
      <c r="AN45" s="272"/>
      <c r="AO45" s="6"/>
      <c r="AP45" s="25"/>
      <c r="AQ45" s="133"/>
    </row>
    <row r="46" spans="2:43" s="13" customFormat="1" ht="12.75" customHeight="1">
      <c r="B46" s="179" t="s">
        <v>65</v>
      </c>
      <c r="C46" s="23"/>
      <c r="D46" s="434" t="s">
        <v>313</v>
      </c>
      <c r="E46" s="434"/>
      <c r="F46" s="434"/>
      <c r="G46" s="434"/>
      <c r="H46" s="434"/>
      <c r="I46" s="190" t="s">
        <v>62</v>
      </c>
      <c r="J46" s="526" t="s">
        <v>269</v>
      </c>
      <c r="K46" s="511"/>
      <c r="L46" s="511"/>
      <c r="M46" s="511"/>
      <c r="N46" s="190" t="s">
        <v>63</v>
      </c>
      <c r="O46" s="615" t="s">
        <v>273</v>
      </c>
      <c r="P46" s="615"/>
      <c r="Q46" s="615"/>
      <c r="R46" s="615"/>
      <c r="S46" s="712" t="s">
        <v>319</v>
      </c>
      <c r="T46" s="712"/>
      <c r="U46" s="712"/>
      <c r="V46" s="511" t="s">
        <v>275</v>
      </c>
      <c r="W46" s="511"/>
      <c r="X46" s="511"/>
      <c r="Y46" s="511"/>
      <c r="Z46" s="94"/>
      <c r="AA46" s="132"/>
      <c r="AB46" s="5"/>
      <c r="AC46" s="270"/>
      <c r="AD46" s="271"/>
      <c r="AE46" s="271"/>
      <c r="AF46" s="271"/>
      <c r="AG46" s="272"/>
      <c r="AH46" s="420"/>
      <c r="AI46" s="270"/>
      <c r="AJ46" s="271"/>
      <c r="AK46" s="271"/>
      <c r="AL46" s="271"/>
      <c r="AM46" s="271"/>
      <c r="AN46" s="272"/>
      <c r="AO46" s="6"/>
      <c r="AP46" s="25"/>
      <c r="AQ46" s="133"/>
    </row>
    <row r="47" spans="2:43" s="13" customFormat="1" ht="12.75" customHeight="1">
      <c r="B47" s="91"/>
      <c r="C47" s="37"/>
      <c r="D47" s="37"/>
      <c r="E47" s="38"/>
      <c r="F47" s="39"/>
      <c r="G47" s="40"/>
      <c r="H47" s="40"/>
      <c r="I47" s="40"/>
      <c r="J47" s="40"/>
      <c r="K47" s="40"/>
      <c r="L47" s="40"/>
      <c r="M47" s="40"/>
      <c r="N47" s="40"/>
      <c r="O47" s="40"/>
      <c r="P47" s="40"/>
      <c r="Q47" s="40"/>
      <c r="R47" s="40"/>
      <c r="S47" s="40"/>
      <c r="T47" s="40"/>
      <c r="U47" s="40"/>
      <c r="V47" s="40"/>
      <c r="W47" s="40"/>
      <c r="X47" s="40"/>
      <c r="Y47" s="40"/>
      <c r="Z47" s="95"/>
      <c r="AA47" s="132"/>
      <c r="AB47" s="5"/>
      <c r="AC47" s="411"/>
      <c r="AD47" s="412"/>
      <c r="AE47" s="412"/>
      <c r="AF47" s="412"/>
      <c r="AG47" s="413"/>
      <c r="AH47" s="420"/>
      <c r="AI47" s="411"/>
      <c r="AJ47" s="412"/>
      <c r="AK47" s="412"/>
      <c r="AL47" s="412"/>
      <c r="AM47" s="412"/>
      <c r="AN47" s="413"/>
      <c r="AO47" s="6"/>
      <c r="AP47" s="25"/>
      <c r="AQ47" s="133"/>
    </row>
    <row r="48" spans="2:43" ht="13.5" customHeight="1">
      <c r="B48" s="214" t="s">
        <v>12</v>
      </c>
      <c r="C48" s="215" t="s">
        <v>9</v>
      </c>
      <c r="D48" s="216"/>
      <c r="E48" s="216"/>
      <c r="F48" s="216"/>
      <c r="G48" s="216"/>
      <c r="H48" s="216"/>
      <c r="I48" s="216"/>
      <c r="J48" s="216"/>
      <c r="K48" s="216"/>
      <c r="L48" s="216"/>
      <c r="M48" s="608"/>
      <c r="N48" s="608"/>
      <c r="O48" s="608"/>
      <c r="P48" s="216"/>
      <c r="Q48" s="216"/>
      <c r="R48" s="216"/>
      <c r="S48" s="216"/>
      <c r="T48" s="216"/>
      <c r="U48" s="223"/>
      <c r="V48" s="216"/>
      <c r="W48" s="216"/>
      <c r="X48" s="216"/>
      <c r="Y48" s="224"/>
      <c r="Z48" s="93"/>
      <c r="AA48" s="134"/>
      <c r="AB48" s="5"/>
      <c r="AC48" s="411"/>
      <c r="AD48" s="412"/>
      <c r="AE48" s="412"/>
      <c r="AF48" s="412"/>
      <c r="AG48" s="413"/>
      <c r="AH48" s="420"/>
      <c r="AI48" s="411"/>
      <c r="AJ48" s="412"/>
      <c r="AK48" s="412"/>
      <c r="AL48" s="412"/>
      <c r="AM48" s="412"/>
      <c r="AN48" s="413"/>
      <c r="AO48" s="6"/>
      <c r="AQ48" s="129"/>
    </row>
    <row r="49" spans="1:43" s="17" customFormat="1" ht="12.75" customHeight="1">
      <c r="A49" s="16"/>
      <c r="B49" s="533" t="s">
        <v>101</v>
      </c>
      <c r="C49" s="534"/>
      <c r="D49" s="534"/>
      <c r="E49" s="534"/>
      <c r="F49" s="609"/>
      <c r="G49" s="609"/>
      <c r="H49" s="609"/>
      <c r="I49" s="609"/>
      <c r="J49" s="609"/>
      <c r="K49" s="609"/>
      <c r="L49" s="609"/>
      <c r="M49" s="609"/>
      <c r="N49" s="609"/>
      <c r="O49" s="609"/>
      <c r="P49" s="609"/>
      <c r="Q49" s="609"/>
      <c r="R49" s="609"/>
      <c r="S49" s="609"/>
      <c r="T49" s="609"/>
      <c r="U49" s="609"/>
      <c r="V49" s="609"/>
      <c r="W49" s="609"/>
      <c r="X49" s="609"/>
      <c r="Y49" s="609"/>
      <c r="Z49" s="90"/>
      <c r="AA49" s="135"/>
      <c r="AB49" s="5"/>
      <c r="AC49" s="414"/>
      <c r="AD49" s="415"/>
      <c r="AE49" s="415"/>
      <c r="AF49" s="415"/>
      <c r="AG49" s="416"/>
      <c r="AH49" s="420"/>
      <c r="AI49" s="414"/>
      <c r="AJ49" s="415"/>
      <c r="AK49" s="415"/>
      <c r="AL49" s="415"/>
      <c r="AM49" s="415"/>
      <c r="AN49" s="416"/>
      <c r="AO49" s="6"/>
      <c r="AQ49" s="136"/>
    </row>
    <row r="50" spans="1:43" s="17" customFormat="1" ht="12.75" customHeight="1" thickBot="1">
      <c r="A50" s="16"/>
      <c r="B50" s="507" t="s">
        <v>69</v>
      </c>
      <c r="C50" s="508"/>
      <c r="D50" s="508"/>
      <c r="E50" s="527"/>
      <c r="F50" s="527"/>
      <c r="G50" s="527"/>
      <c r="H50" s="527"/>
      <c r="I50" s="527"/>
      <c r="J50" s="527"/>
      <c r="K50" s="527"/>
      <c r="L50" s="527"/>
      <c r="M50" s="527"/>
      <c r="N50" s="527"/>
      <c r="O50" s="527"/>
      <c r="P50" s="527"/>
      <c r="Q50" s="527"/>
      <c r="R50" s="527"/>
      <c r="S50" s="527"/>
      <c r="T50" s="527"/>
      <c r="U50" s="527"/>
      <c r="V50" s="527"/>
      <c r="W50" s="527"/>
      <c r="X50" s="527"/>
      <c r="Y50" s="527"/>
      <c r="Z50" s="98"/>
      <c r="AA50" s="135"/>
      <c r="AB50" s="7"/>
      <c r="AC50" s="8"/>
      <c r="AD50" s="8"/>
      <c r="AE50" s="8"/>
      <c r="AF50" s="8"/>
      <c r="AG50" s="8"/>
      <c r="AH50" s="8"/>
      <c r="AI50" s="8"/>
      <c r="AJ50" s="8"/>
      <c r="AK50" s="8"/>
      <c r="AL50" s="8"/>
      <c r="AM50" s="8"/>
      <c r="AN50" s="8"/>
      <c r="AO50" s="9"/>
      <c r="AQ50" s="136"/>
    </row>
    <row r="51" spans="1:43" s="17" customFormat="1">
      <c r="A51" s="16"/>
      <c r="B51" s="517" t="s">
        <v>362</v>
      </c>
      <c r="C51" s="518"/>
      <c r="D51" s="518"/>
      <c r="E51" s="518"/>
      <c r="F51" s="518"/>
      <c r="G51" s="518"/>
      <c r="H51" s="518"/>
      <c r="I51" s="518"/>
      <c r="J51" s="518"/>
      <c r="K51" s="518"/>
      <c r="L51" s="518"/>
      <c r="M51" s="518"/>
      <c r="N51" s="518"/>
      <c r="O51" s="518"/>
      <c r="P51" s="518"/>
      <c r="Q51" s="518"/>
      <c r="R51" s="518"/>
      <c r="S51" s="518"/>
      <c r="T51" s="518"/>
      <c r="U51" s="518"/>
      <c r="V51" s="518"/>
      <c r="W51" s="518"/>
      <c r="X51" s="518"/>
      <c r="Y51" s="518"/>
      <c r="Z51" s="98"/>
      <c r="AA51" s="135"/>
      <c r="AQ51" s="136"/>
    </row>
    <row r="52" spans="1:43" s="17" customFormat="1">
      <c r="A52" s="16"/>
      <c r="B52" s="433"/>
      <c r="C52" s="434"/>
      <c r="D52" s="434"/>
      <c r="E52" s="434"/>
      <c r="F52" s="434"/>
      <c r="G52" s="434"/>
      <c r="H52" s="434"/>
      <c r="I52" s="434"/>
      <c r="J52" s="434"/>
      <c r="K52" s="434"/>
      <c r="L52" s="434"/>
      <c r="M52" s="434"/>
      <c r="N52" s="434"/>
      <c r="O52" s="434"/>
      <c r="P52" s="434"/>
      <c r="Q52" s="434"/>
      <c r="R52" s="434"/>
      <c r="S52" s="434"/>
      <c r="T52" s="434"/>
      <c r="U52" s="434"/>
      <c r="V52" s="434"/>
      <c r="W52" s="434"/>
      <c r="X52" s="434"/>
      <c r="Y52" s="434"/>
      <c r="Z52" s="98"/>
      <c r="AA52" s="135"/>
      <c r="AQ52" s="136"/>
    </row>
    <row r="53" spans="1:43" customFormat="1">
      <c r="A53" s="10"/>
      <c r="B53" s="191" t="s">
        <v>83</v>
      </c>
      <c r="C53" s="192"/>
      <c r="D53" s="193"/>
      <c r="E53" s="193"/>
      <c r="F53" s="607">
        <v>45652</v>
      </c>
      <c r="G53" s="344"/>
      <c r="H53" s="344"/>
      <c r="I53" s="344"/>
      <c r="J53" s="344"/>
      <c r="K53" s="344"/>
      <c r="L53" s="344"/>
      <c r="M53" s="344"/>
      <c r="N53" s="344"/>
      <c r="O53" s="344"/>
      <c r="P53" s="344"/>
      <c r="Q53" s="344"/>
      <c r="R53" s="344"/>
      <c r="S53" s="344"/>
      <c r="T53" s="344"/>
      <c r="U53" s="344"/>
      <c r="V53" s="344"/>
      <c r="W53" s="344"/>
      <c r="X53" s="344"/>
      <c r="Y53" s="344"/>
      <c r="Z53" s="97"/>
      <c r="AA53" s="137"/>
      <c r="AB53" s="75"/>
      <c r="AC53" s="75"/>
      <c r="AD53" s="75"/>
      <c r="AE53" s="75"/>
      <c r="AF53" s="75"/>
      <c r="AG53" s="75"/>
      <c r="AH53" s="75"/>
      <c r="AI53" s="75"/>
      <c r="AJ53" s="75"/>
      <c r="AK53" s="75"/>
      <c r="AL53" s="75"/>
      <c r="AM53" s="75"/>
      <c r="AN53" s="75"/>
      <c r="AO53" s="75"/>
      <c r="AP53" s="75"/>
      <c r="AQ53" s="138"/>
    </row>
    <row r="54" spans="1:43" customFormat="1" ht="12" customHeight="1">
      <c r="A54" s="10"/>
      <c r="B54" s="499" t="s">
        <v>68</v>
      </c>
      <c r="C54" s="500"/>
      <c r="D54" s="500"/>
      <c r="E54" s="194"/>
      <c r="F54" s="515" t="s">
        <v>278</v>
      </c>
      <c r="G54" s="515"/>
      <c r="H54" s="515"/>
      <c r="I54" s="515"/>
      <c r="J54" s="515"/>
      <c r="K54" s="515"/>
      <c r="L54" s="515"/>
      <c r="M54" s="515"/>
      <c r="N54" s="515"/>
      <c r="O54" s="515"/>
      <c r="P54" s="515"/>
      <c r="Q54" s="515"/>
      <c r="R54" s="515"/>
      <c r="S54" s="515"/>
      <c r="T54" s="515"/>
      <c r="U54" s="515"/>
      <c r="V54" s="515"/>
      <c r="W54" s="515"/>
      <c r="X54" s="515"/>
      <c r="Y54" s="515"/>
      <c r="Z54" s="97"/>
      <c r="AA54" s="634" t="s">
        <v>107</v>
      </c>
      <c r="AB54" s="635"/>
      <c r="AC54" s="635"/>
      <c r="AD54" s="635"/>
      <c r="AE54" s="635"/>
      <c r="AF54" s="635"/>
      <c r="AG54" s="635"/>
      <c r="AH54" s="635"/>
      <c r="AI54" s="635"/>
      <c r="AJ54" s="635"/>
      <c r="AK54" s="635"/>
      <c r="AL54" s="635"/>
      <c r="AM54" s="635"/>
      <c r="AN54" s="635"/>
      <c r="AO54" s="635"/>
      <c r="AP54" s="635"/>
      <c r="AQ54" s="636"/>
    </row>
    <row r="55" spans="1:43" customFormat="1" ht="12" customHeight="1">
      <c r="A55" s="10"/>
      <c r="B55" s="195" t="s">
        <v>66</v>
      </c>
      <c r="C55" s="192"/>
      <c r="D55" s="193"/>
      <c r="E55" s="193"/>
      <c r="F55" s="515">
        <v>89</v>
      </c>
      <c r="G55" s="515"/>
      <c r="H55" s="515"/>
      <c r="I55" s="515"/>
      <c r="J55" s="515"/>
      <c r="K55" s="515"/>
      <c r="L55" s="515"/>
      <c r="M55" s="515"/>
      <c r="N55" s="515"/>
      <c r="O55" s="515"/>
      <c r="P55" s="515"/>
      <c r="Q55" s="515"/>
      <c r="R55" s="515"/>
      <c r="S55" s="515"/>
      <c r="T55" s="515"/>
      <c r="U55" s="515"/>
      <c r="V55" s="515"/>
      <c r="W55" s="515"/>
      <c r="X55" s="515"/>
      <c r="Y55" s="515"/>
      <c r="Z55" s="97"/>
      <c r="AA55" s="393"/>
      <c r="AB55" s="394"/>
      <c r="AC55" s="394"/>
      <c r="AD55" s="394"/>
      <c r="AE55" s="394"/>
      <c r="AF55" s="394"/>
      <c r="AG55" s="394"/>
      <c r="AH55" s="394"/>
      <c r="AI55" s="394"/>
      <c r="AJ55" s="394"/>
      <c r="AK55" s="394"/>
      <c r="AL55" s="394"/>
      <c r="AM55" s="394"/>
      <c r="AN55" s="394"/>
      <c r="AO55" s="394"/>
      <c r="AP55" s="394"/>
      <c r="AQ55" s="395"/>
    </row>
    <row r="56" spans="1:43" customFormat="1" ht="12" customHeight="1">
      <c r="A56" s="10"/>
      <c r="B56" s="195" t="s">
        <v>87</v>
      </c>
      <c r="C56" s="192"/>
      <c r="D56" s="193"/>
      <c r="E56" s="193"/>
      <c r="F56" s="515">
        <v>4200</v>
      </c>
      <c r="G56" s="515"/>
      <c r="H56" s="515"/>
      <c r="I56" s="515"/>
      <c r="J56" s="515"/>
      <c r="K56" s="515"/>
      <c r="L56" s="515"/>
      <c r="M56" s="515"/>
      <c r="N56" s="515"/>
      <c r="O56" s="515"/>
      <c r="P56" s="515"/>
      <c r="Q56" s="515"/>
      <c r="R56" s="515"/>
      <c r="S56" s="515"/>
      <c r="T56" s="515"/>
      <c r="U56" s="515"/>
      <c r="V56" s="515"/>
      <c r="W56" s="515"/>
      <c r="X56" s="515"/>
      <c r="Y56" s="515"/>
      <c r="Z56" s="97"/>
      <c r="AA56" s="393"/>
      <c r="AB56" s="394"/>
      <c r="AC56" s="394"/>
      <c r="AD56" s="394"/>
      <c r="AE56" s="394"/>
      <c r="AF56" s="394"/>
      <c r="AG56" s="394"/>
      <c r="AH56" s="394"/>
      <c r="AI56" s="394"/>
      <c r="AJ56" s="394"/>
      <c r="AK56" s="394"/>
      <c r="AL56" s="394"/>
      <c r="AM56" s="394"/>
      <c r="AN56" s="394"/>
      <c r="AO56" s="394"/>
      <c r="AP56" s="394"/>
      <c r="AQ56" s="395"/>
    </row>
    <row r="57" spans="1:43" customFormat="1" ht="12" customHeight="1">
      <c r="A57" s="10"/>
      <c r="B57" s="195" t="s">
        <v>67</v>
      </c>
      <c r="C57" s="192"/>
      <c r="D57" s="193"/>
      <c r="E57" s="193"/>
      <c r="F57" s="515">
        <v>4800</v>
      </c>
      <c r="G57" s="515"/>
      <c r="H57" s="515"/>
      <c r="I57" s="515"/>
      <c r="J57" s="515"/>
      <c r="K57" s="515"/>
      <c r="L57" s="515"/>
      <c r="M57" s="515"/>
      <c r="N57" s="515"/>
      <c r="O57" s="515"/>
      <c r="P57" s="515"/>
      <c r="Q57" s="515"/>
      <c r="R57" s="515"/>
      <c r="S57" s="515"/>
      <c r="T57" s="515"/>
      <c r="U57" s="515"/>
      <c r="V57" s="515"/>
      <c r="W57" s="515"/>
      <c r="X57" s="515"/>
      <c r="Y57" s="515"/>
      <c r="Z57" s="97"/>
      <c r="AA57" s="637"/>
      <c r="AB57" s="638"/>
      <c r="AC57" s="638"/>
      <c r="AD57" s="638"/>
      <c r="AE57" s="638"/>
      <c r="AF57" s="638"/>
      <c r="AG57" s="638"/>
      <c r="AH57" s="638"/>
      <c r="AI57" s="638"/>
      <c r="AJ57" s="638"/>
      <c r="AK57" s="638"/>
      <c r="AL57" s="638"/>
      <c r="AM57" s="638"/>
      <c r="AN57" s="638"/>
      <c r="AO57" s="638"/>
      <c r="AP57" s="638"/>
      <c r="AQ57" s="639"/>
    </row>
    <row r="58" spans="1:43" customFormat="1" ht="12" customHeight="1" thickBot="1">
      <c r="A58" s="10"/>
      <c r="B58" s="195" t="s">
        <v>153</v>
      </c>
      <c r="C58" s="192"/>
      <c r="D58" s="193"/>
      <c r="E58" s="193"/>
      <c r="F58" s="516" t="s">
        <v>304</v>
      </c>
      <c r="G58" s="515"/>
      <c r="H58" s="515"/>
      <c r="I58" s="515"/>
      <c r="J58" s="515"/>
      <c r="K58" s="515"/>
      <c r="L58" s="515"/>
      <c r="M58" s="515"/>
      <c r="N58" s="515"/>
      <c r="O58" s="515"/>
      <c r="P58" s="515"/>
      <c r="Q58" s="515"/>
      <c r="R58" s="515"/>
      <c r="S58" s="515"/>
      <c r="T58" s="515"/>
      <c r="U58" s="515"/>
      <c r="V58" s="515"/>
      <c r="W58" s="515"/>
      <c r="X58" s="515"/>
      <c r="Y58" s="515"/>
      <c r="Z58" s="97"/>
      <c r="AA58" s="393"/>
      <c r="AB58" s="394"/>
      <c r="AC58" s="394"/>
      <c r="AD58" s="394"/>
      <c r="AE58" s="394"/>
      <c r="AF58" s="394"/>
      <c r="AG58" s="394"/>
      <c r="AH58" s="394"/>
      <c r="AI58" s="394"/>
      <c r="AJ58" s="394"/>
      <c r="AK58" s="394"/>
      <c r="AL58" s="394"/>
      <c r="AM58" s="394"/>
      <c r="AN58" s="394"/>
      <c r="AO58" s="394"/>
      <c r="AP58" s="394"/>
      <c r="AQ58" s="395"/>
    </row>
    <row r="59" spans="1:43" s="17" customFormat="1" ht="12.75" customHeight="1">
      <c r="A59" s="16"/>
      <c r="B59" s="597" t="s">
        <v>102</v>
      </c>
      <c r="C59" s="598"/>
      <c r="D59" s="598"/>
      <c r="E59" s="598"/>
      <c r="F59" s="598"/>
      <c r="G59" s="598"/>
      <c r="H59" s="598"/>
      <c r="I59" s="598"/>
      <c r="J59" s="598"/>
      <c r="K59" s="598"/>
      <c r="L59" s="598"/>
      <c r="M59" s="598"/>
      <c r="N59" s="598"/>
      <c r="O59" s="598"/>
      <c r="P59" s="598"/>
      <c r="Q59" s="598"/>
      <c r="R59" s="598"/>
      <c r="S59" s="598"/>
      <c r="T59" s="598"/>
      <c r="U59" s="598"/>
      <c r="V59" s="598"/>
      <c r="W59" s="598"/>
      <c r="X59" s="598"/>
      <c r="Y59" s="599"/>
      <c r="Z59" s="98"/>
      <c r="AA59" s="135"/>
      <c r="AB59" s="621" t="s">
        <v>246</v>
      </c>
      <c r="AC59" s="621"/>
      <c r="AD59" s="622"/>
      <c r="AE59" s="396" t="s">
        <v>90</v>
      </c>
      <c r="AF59" s="143"/>
      <c r="AG59" s="421" t="s">
        <v>144</v>
      </c>
      <c r="AH59" s="421"/>
      <c r="AI59" s="422"/>
      <c r="AJ59" s="396" t="s">
        <v>91</v>
      </c>
      <c r="AK59" s="143"/>
      <c r="AL59" s="421" t="s">
        <v>145</v>
      </c>
      <c r="AM59" s="421"/>
      <c r="AN59" s="422"/>
      <c r="AO59" s="396" t="s">
        <v>92</v>
      </c>
      <c r="AP59" s="143"/>
      <c r="AQ59" s="699" t="s">
        <v>298</v>
      </c>
    </row>
    <row r="60" spans="1:43" s="17" customFormat="1" ht="12.75" customHeight="1">
      <c r="A60" s="16"/>
      <c r="B60" s="517" t="s">
        <v>305</v>
      </c>
      <c r="C60" s="518"/>
      <c r="D60" s="518"/>
      <c r="E60" s="518"/>
      <c r="F60" s="518"/>
      <c r="G60" s="518"/>
      <c r="H60" s="518"/>
      <c r="I60" s="518"/>
      <c r="J60" s="518"/>
      <c r="K60" s="518"/>
      <c r="L60" s="518"/>
      <c r="M60" s="518"/>
      <c r="N60" s="518"/>
      <c r="O60" s="518"/>
      <c r="P60" s="518"/>
      <c r="Q60" s="518"/>
      <c r="R60" s="518"/>
      <c r="S60" s="518"/>
      <c r="T60" s="518"/>
      <c r="U60" s="518"/>
      <c r="V60" s="518"/>
      <c r="W60" s="518"/>
      <c r="X60" s="518"/>
      <c r="Y60" s="518"/>
      <c r="Z60" s="98"/>
      <c r="AA60" s="135"/>
      <c r="AB60" s="623"/>
      <c r="AC60" s="623"/>
      <c r="AD60" s="624"/>
      <c r="AE60" s="397"/>
      <c r="AF60" s="143"/>
      <c r="AG60" s="423"/>
      <c r="AH60" s="423"/>
      <c r="AI60" s="424"/>
      <c r="AJ60" s="397"/>
      <c r="AK60" s="143"/>
      <c r="AL60" s="423"/>
      <c r="AM60" s="423"/>
      <c r="AN60" s="424"/>
      <c r="AO60" s="397"/>
      <c r="AP60" s="143"/>
      <c r="AQ60" s="699"/>
    </row>
    <row r="61" spans="1:43" s="17" customFormat="1" ht="12.75" customHeight="1">
      <c r="A61" s="16"/>
      <c r="B61" s="433"/>
      <c r="C61" s="434"/>
      <c r="D61" s="434"/>
      <c r="E61" s="434"/>
      <c r="F61" s="434"/>
      <c r="G61" s="434"/>
      <c r="H61" s="434"/>
      <c r="I61" s="434"/>
      <c r="J61" s="434"/>
      <c r="K61" s="434"/>
      <c r="L61" s="434"/>
      <c r="M61" s="434"/>
      <c r="N61" s="434"/>
      <c r="O61" s="434"/>
      <c r="P61" s="434"/>
      <c r="Q61" s="434"/>
      <c r="R61" s="434"/>
      <c r="S61" s="434"/>
      <c r="T61" s="434"/>
      <c r="U61" s="434"/>
      <c r="V61" s="434"/>
      <c r="W61" s="434"/>
      <c r="X61" s="434"/>
      <c r="Y61" s="434"/>
      <c r="Z61" s="98"/>
      <c r="AA61" s="135"/>
      <c r="AB61" s="403" t="s">
        <v>288</v>
      </c>
      <c r="AC61" s="403"/>
      <c r="AD61" s="404"/>
      <c r="AE61" s="397"/>
      <c r="AF61" s="143"/>
      <c r="AG61" s="407" t="s">
        <v>290</v>
      </c>
      <c r="AH61" s="407"/>
      <c r="AI61" s="408"/>
      <c r="AJ61" s="397"/>
      <c r="AK61" s="143"/>
      <c r="AL61" s="625" t="s">
        <v>297</v>
      </c>
      <c r="AM61" s="625"/>
      <c r="AN61" s="626"/>
      <c r="AO61" s="397"/>
      <c r="AP61" s="143"/>
      <c r="AQ61" s="699"/>
    </row>
    <row r="62" spans="1:43" s="17" customFormat="1" ht="12.75" customHeight="1">
      <c r="A62" s="16"/>
      <c r="B62" s="642"/>
      <c r="C62" s="643"/>
      <c r="D62" s="643"/>
      <c r="E62" s="643"/>
      <c r="F62" s="643"/>
      <c r="G62" s="643"/>
      <c r="H62" s="643"/>
      <c r="I62" s="643"/>
      <c r="J62" s="643"/>
      <c r="K62" s="643"/>
      <c r="L62" s="643"/>
      <c r="M62" s="643"/>
      <c r="N62" s="643"/>
      <c r="O62" s="643"/>
      <c r="P62" s="643"/>
      <c r="Q62" s="643"/>
      <c r="R62" s="643"/>
      <c r="S62" s="643"/>
      <c r="T62" s="643"/>
      <c r="U62" s="643"/>
      <c r="V62" s="643"/>
      <c r="W62" s="643"/>
      <c r="X62" s="643"/>
      <c r="Y62" s="643"/>
      <c r="Z62" s="90"/>
      <c r="AA62" s="135"/>
      <c r="AB62" s="405"/>
      <c r="AC62" s="405"/>
      <c r="AD62" s="406"/>
      <c r="AE62" s="397"/>
      <c r="AF62" s="143"/>
      <c r="AG62" s="409"/>
      <c r="AH62" s="409"/>
      <c r="AI62" s="410"/>
      <c r="AJ62" s="397"/>
      <c r="AK62" s="143"/>
      <c r="AL62" s="627"/>
      <c r="AM62" s="627"/>
      <c r="AN62" s="628"/>
      <c r="AO62" s="397"/>
      <c r="AP62" s="143"/>
      <c r="AQ62" s="699"/>
    </row>
    <row r="63" spans="1:43" s="17" customFormat="1" ht="12.75" customHeight="1">
      <c r="A63" s="16"/>
      <c r="B63" s="503" t="s">
        <v>22</v>
      </c>
      <c r="C63" s="504"/>
      <c r="D63" s="504"/>
      <c r="E63" s="504"/>
      <c r="F63" s="295"/>
      <c r="G63" s="295"/>
      <c r="H63" s="295"/>
      <c r="I63" s="295"/>
      <c r="J63" s="295"/>
      <c r="K63" s="295"/>
      <c r="L63" s="295"/>
      <c r="M63" s="295"/>
      <c r="N63" s="295"/>
      <c r="O63" s="295"/>
      <c r="P63" s="295"/>
      <c r="Q63" s="295"/>
      <c r="R63" s="295"/>
      <c r="S63" s="295"/>
      <c r="T63" s="295"/>
      <c r="U63" s="295"/>
      <c r="V63" s="295"/>
      <c r="W63" s="295"/>
      <c r="X63" s="295"/>
      <c r="Y63" s="295"/>
      <c r="Z63" s="90"/>
      <c r="AA63" s="135"/>
      <c r="AB63" s="629" t="s">
        <v>287</v>
      </c>
      <c r="AC63" s="629"/>
      <c r="AD63" s="630"/>
      <c r="AE63" s="397"/>
      <c r="AF63" s="143"/>
      <c r="AG63" s="407" t="s">
        <v>291</v>
      </c>
      <c r="AH63" s="407"/>
      <c r="AI63" s="408"/>
      <c r="AJ63" s="397"/>
      <c r="AK63" s="143"/>
      <c r="AL63" s="669" t="s">
        <v>322</v>
      </c>
      <c r="AM63" s="669"/>
      <c r="AN63" s="670"/>
      <c r="AO63" s="397"/>
      <c r="AP63" s="143"/>
      <c r="AQ63" s="699"/>
    </row>
    <row r="64" spans="1:43" s="17" customFormat="1">
      <c r="A64" s="16"/>
      <c r="B64" s="640" t="s">
        <v>103</v>
      </c>
      <c r="C64" s="641"/>
      <c r="D64" s="641"/>
      <c r="E64" s="641"/>
      <c r="F64" s="641"/>
      <c r="G64" s="641"/>
      <c r="H64" s="641"/>
      <c r="I64" s="641"/>
      <c r="J64" s="641"/>
      <c r="K64" s="641"/>
      <c r="L64" s="641"/>
      <c r="M64" s="641"/>
      <c r="N64" s="641"/>
      <c r="O64" s="641"/>
      <c r="P64" s="641"/>
      <c r="Q64" s="641"/>
      <c r="R64" s="641"/>
      <c r="S64" s="641"/>
      <c r="T64" s="641"/>
      <c r="U64" s="641"/>
      <c r="V64" s="641"/>
      <c r="W64" s="641"/>
      <c r="X64" s="641"/>
      <c r="Y64" s="641"/>
      <c r="Z64" s="98"/>
      <c r="AA64" s="135"/>
      <c r="AB64" s="631"/>
      <c r="AC64" s="631"/>
      <c r="AD64" s="632"/>
      <c r="AE64" s="397"/>
      <c r="AF64" s="143"/>
      <c r="AG64" s="409"/>
      <c r="AH64" s="409"/>
      <c r="AI64" s="410"/>
      <c r="AJ64" s="397"/>
      <c r="AK64" s="143"/>
      <c r="AL64" s="671"/>
      <c r="AM64" s="671"/>
      <c r="AN64" s="672"/>
      <c r="AO64" s="397"/>
      <c r="AP64" s="143"/>
      <c r="AQ64" s="699"/>
    </row>
    <row r="65" spans="1:92" s="17" customFormat="1" ht="12.75" customHeight="1">
      <c r="A65" s="16"/>
      <c r="B65" s="517" t="s">
        <v>363</v>
      </c>
      <c r="C65" s="518"/>
      <c r="D65" s="518"/>
      <c r="E65" s="518"/>
      <c r="F65" s="518"/>
      <c r="G65" s="518"/>
      <c r="H65" s="518"/>
      <c r="I65" s="518"/>
      <c r="J65" s="518"/>
      <c r="K65" s="518"/>
      <c r="L65" s="518"/>
      <c r="M65" s="518"/>
      <c r="N65" s="518"/>
      <c r="O65" s="518"/>
      <c r="P65" s="518"/>
      <c r="Q65" s="518"/>
      <c r="R65" s="518"/>
      <c r="S65" s="518"/>
      <c r="T65" s="518"/>
      <c r="U65" s="518"/>
      <c r="V65" s="518"/>
      <c r="W65" s="518"/>
      <c r="X65" s="518"/>
      <c r="Y65" s="518"/>
      <c r="Z65" s="98"/>
      <c r="AA65" s="135"/>
      <c r="AB65" s="403" t="s">
        <v>289</v>
      </c>
      <c r="AC65" s="403"/>
      <c r="AD65" s="404"/>
      <c r="AE65" s="397"/>
      <c r="AF65" s="143"/>
      <c r="AG65" s="407" t="s">
        <v>292</v>
      </c>
      <c r="AH65" s="407"/>
      <c r="AI65" s="408"/>
      <c r="AJ65" s="397"/>
      <c r="AK65" s="143"/>
      <c r="AL65" s="673"/>
      <c r="AM65" s="399"/>
      <c r="AN65" s="400"/>
      <c r="AO65" s="397"/>
      <c r="AP65" s="143"/>
      <c r="AQ65" s="699"/>
    </row>
    <row r="66" spans="1:92" s="17" customFormat="1">
      <c r="A66" s="16"/>
      <c r="B66" s="433"/>
      <c r="C66" s="434"/>
      <c r="D66" s="434"/>
      <c r="E66" s="434"/>
      <c r="F66" s="434"/>
      <c r="G66" s="434"/>
      <c r="H66" s="434"/>
      <c r="I66" s="434"/>
      <c r="J66" s="434"/>
      <c r="K66" s="434"/>
      <c r="L66" s="434"/>
      <c r="M66" s="434"/>
      <c r="N66" s="434"/>
      <c r="O66" s="434"/>
      <c r="P66" s="434"/>
      <c r="Q66" s="434"/>
      <c r="R66" s="434"/>
      <c r="S66" s="434"/>
      <c r="T66" s="434"/>
      <c r="U66" s="434"/>
      <c r="V66" s="434"/>
      <c r="W66" s="434"/>
      <c r="X66" s="434"/>
      <c r="Y66" s="434"/>
      <c r="Z66" s="98"/>
      <c r="AA66" s="135"/>
      <c r="AB66" s="405"/>
      <c r="AC66" s="405"/>
      <c r="AD66" s="406"/>
      <c r="AE66" s="397"/>
      <c r="AF66" s="143"/>
      <c r="AG66" s="409"/>
      <c r="AH66" s="409"/>
      <c r="AI66" s="410"/>
      <c r="AJ66" s="397"/>
      <c r="AK66" s="143"/>
      <c r="AL66" s="401"/>
      <c r="AM66" s="401"/>
      <c r="AN66" s="402"/>
      <c r="AO66" s="397"/>
      <c r="AP66" s="143"/>
      <c r="AQ66" s="699"/>
    </row>
    <row r="67" spans="1:92" s="17" customFormat="1">
      <c r="A67" s="16"/>
      <c r="B67" s="99"/>
      <c r="C67" s="87"/>
      <c r="D67" s="87"/>
      <c r="E67" s="87"/>
      <c r="F67" s="87"/>
      <c r="G67" s="87"/>
      <c r="H67" s="87"/>
      <c r="I67" s="87"/>
      <c r="J67" s="87"/>
      <c r="K67" s="87"/>
      <c r="L67" s="87"/>
      <c r="M67" s="87"/>
      <c r="N67" s="87"/>
      <c r="O67" s="87"/>
      <c r="P67" s="87"/>
      <c r="Q67" s="87"/>
      <c r="R67" s="87"/>
      <c r="S67" s="87"/>
      <c r="T67" s="87"/>
      <c r="U67" s="87"/>
      <c r="V67" s="87"/>
      <c r="W67" s="87"/>
      <c r="X67" s="87"/>
      <c r="Y67" s="87"/>
      <c r="Z67" s="98"/>
      <c r="AA67" s="135"/>
      <c r="AB67" s="674"/>
      <c r="AC67" s="674"/>
      <c r="AD67" s="675"/>
      <c r="AE67" s="397"/>
      <c r="AF67" s="143"/>
      <c r="AG67" s="407" t="s">
        <v>323</v>
      </c>
      <c r="AH67" s="407"/>
      <c r="AI67" s="408"/>
      <c r="AJ67" s="397"/>
      <c r="AK67" s="143"/>
      <c r="AL67" s="399"/>
      <c r="AM67" s="399"/>
      <c r="AN67" s="400"/>
      <c r="AO67" s="397"/>
      <c r="AP67" s="143"/>
      <c r="AQ67" s="699"/>
    </row>
    <row r="68" spans="1:92" s="14" customFormat="1" ht="12.75" customHeight="1">
      <c r="B68" s="293" t="s">
        <v>150</v>
      </c>
      <c r="C68" s="294"/>
      <c r="D68" s="294"/>
      <c r="E68" s="294"/>
      <c r="F68" s="294"/>
      <c r="G68" s="83" t="s">
        <v>364</v>
      </c>
      <c r="H68" s="343" t="s">
        <v>104</v>
      </c>
      <c r="I68" s="343"/>
      <c r="J68" s="343"/>
      <c r="K68" s="344" t="s">
        <v>373</v>
      </c>
      <c r="L68" s="344"/>
      <c r="M68" s="344"/>
      <c r="N68" s="344"/>
      <c r="O68" s="344"/>
      <c r="P68" s="344"/>
      <c r="Q68" s="344"/>
      <c r="R68" s="344"/>
      <c r="S68" s="344"/>
      <c r="T68" s="344"/>
      <c r="U68" s="344"/>
      <c r="V68" s="344"/>
      <c r="W68" s="344"/>
      <c r="X68" s="344"/>
      <c r="Y68" s="344"/>
      <c r="Z68" s="100"/>
      <c r="AA68" s="139"/>
      <c r="AB68" s="676"/>
      <c r="AC68" s="676"/>
      <c r="AD68" s="677"/>
      <c r="AE68" s="397"/>
      <c r="AF68" s="143"/>
      <c r="AG68" s="409"/>
      <c r="AH68" s="409"/>
      <c r="AI68" s="410"/>
      <c r="AJ68" s="397"/>
      <c r="AK68" s="143"/>
      <c r="AL68" s="401"/>
      <c r="AM68" s="401"/>
      <c r="AN68" s="402"/>
      <c r="AO68" s="397"/>
      <c r="AP68" s="143"/>
      <c r="AQ68" s="699"/>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row>
    <row r="69" spans="1:92" s="14" customFormat="1" ht="12.75" customHeight="1">
      <c r="B69" s="293" t="s">
        <v>151</v>
      </c>
      <c r="C69" s="294"/>
      <c r="D69" s="294"/>
      <c r="E69" s="294"/>
      <c r="F69" s="294"/>
      <c r="G69" s="83" t="s">
        <v>279</v>
      </c>
      <c r="H69" s="343" t="s">
        <v>104</v>
      </c>
      <c r="I69" s="343"/>
      <c r="J69" s="343"/>
      <c r="K69" s="344"/>
      <c r="L69" s="344"/>
      <c r="M69" s="344"/>
      <c r="N69" s="344"/>
      <c r="O69" s="344"/>
      <c r="P69" s="344"/>
      <c r="Q69" s="344"/>
      <c r="R69" s="344"/>
      <c r="S69" s="344"/>
      <c r="T69" s="344"/>
      <c r="U69" s="344"/>
      <c r="V69" s="344"/>
      <c r="W69" s="344"/>
      <c r="X69" s="344"/>
      <c r="Y69" s="344"/>
      <c r="Z69" s="100"/>
      <c r="AA69" s="139"/>
      <c r="AB69" s="399"/>
      <c r="AC69" s="399"/>
      <c r="AD69" s="400"/>
      <c r="AE69" s="397"/>
      <c r="AF69" s="143"/>
      <c r="AG69" s="678" t="s">
        <v>293</v>
      </c>
      <c r="AH69" s="678"/>
      <c r="AI69" s="679"/>
      <c r="AJ69" s="397"/>
      <c r="AK69" s="143"/>
      <c r="AL69" s="399"/>
      <c r="AM69" s="399"/>
      <c r="AN69" s="400"/>
      <c r="AO69" s="397"/>
      <c r="AP69" s="143"/>
      <c r="AQ69" s="699"/>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row>
    <row r="70" spans="1:92" s="17" customFormat="1">
      <c r="A70" s="16"/>
      <c r="B70" s="101"/>
      <c r="C70" s="85"/>
      <c r="D70" s="85"/>
      <c r="E70" s="85"/>
      <c r="F70" s="85"/>
      <c r="G70" s="85"/>
      <c r="H70" s="85"/>
      <c r="I70" s="85"/>
      <c r="J70" s="85"/>
      <c r="K70" s="85"/>
      <c r="L70" s="85"/>
      <c r="M70" s="85"/>
      <c r="N70" s="85"/>
      <c r="O70" s="85"/>
      <c r="P70" s="85"/>
      <c r="Q70" s="85"/>
      <c r="R70" s="85"/>
      <c r="S70" s="85"/>
      <c r="T70" s="85"/>
      <c r="U70" s="85"/>
      <c r="V70" s="85"/>
      <c r="W70" s="85"/>
      <c r="X70" s="85"/>
      <c r="Y70" s="85"/>
      <c r="Z70" s="98"/>
      <c r="AA70" s="135"/>
      <c r="AB70" s="401"/>
      <c r="AC70" s="401"/>
      <c r="AD70" s="402"/>
      <c r="AE70" s="397"/>
      <c r="AF70" s="143"/>
      <c r="AG70" s="680"/>
      <c r="AH70" s="680"/>
      <c r="AI70" s="681"/>
      <c r="AJ70" s="397"/>
      <c r="AK70" s="143"/>
      <c r="AL70" s="401"/>
      <c r="AM70" s="401"/>
      <c r="AN70" s="402"/>
      <c r="AO70" s="397"/>
      <c r="AP70" s="143"/>
      <c r="AQ70" s="699"/>
    </row>
    <row r="71" spans="1:92" s="13" customFormat="1" ht="12.75" customHeight="1">
      <c r="B71" s="505" t="s">
        <v>96</v>
      </c>
      <c r="C71" s="506"/>
      <c r="D71" s="506"/>
      <c r="E71" s="506"/>
      <c r="F71" s="506"/>
      <c r="G71" s="506"/>
      <c r="H71" s="535" t="s">
        <v>247</v>
      </c>
      <c r="I71" s="535"/>
      <c r="J71" s="535"/>
      <c r="K71" s="535"/>
      <c r="L71" s="535"/>
      <c r="M71" s="535"/>
      <c r="N71" s="535"/>
      <c r="O71" s="535"/>
      <c r="P71" s="535"/>
      <c r="Q71" s="535"/>
      <c r="R71" s="535"/>
      <c r="S71" s="535"/>
      <c r="T71" s="535"/>
      <c r="U71" s="535"/>
      <c r="V71" s="535"/>
      <c r="W71" s="535"/>
      <c r="X71" s="535"/>
      <c r="Y71" s="536"/>
      <c r="Z71" s="94"/>
      <c r="AA71" s="132"/>
      <c r="AB71" s="399"/>
      <c r="AC71" s="399"/>
      <c r="AD71" s="400"/>
      <c r="AE71" s="397"/>
      <c r="AF71" s="143"/>
      <c r="AG71" s="703" t="s">
        <v>321</v>
      </c>
      <c r="AH71" s="703"/>
      <c r="AI71" s="704"/>
      <c r="AJ71" s="397"/>
      <c r="AK71" s="143"/>
      <c r="AL71" s="399"/>
      <c r="AM71" s="399"/>
      <c r="AN71" s="400"/>
      <c r="AO71" s="397"/>
      <c r="AP71" s="143"/>
      <c r="AQ71" s="699"/>
    </row>
    <row r="72" spans="1:92" ht="12.75" customHeight="1">
      <c r="B72" s="102" t="s">
        <v>13</v>
      </c>
      <c r="C72" s="44" t="s">
        <v>79</v>
      </c>
      <c r="D72" s="45"/>
      <c r="E72" s="45"/>
      <c r="F72" s="45"/>
      <c r="G72" s="45"/>
      <c r="H72" s="45"/>
      <c r="I72" s="45"/>
      <c r="J72" s="45"/>
      <c r="K72" s="45"/>
      <c r="L72" s="45"/>
      <c r="M72" s="45"/>
      <c r="N72" s="45"/>
      <c r="O72" s="45"/>
      <c r="P72" s="45"/>
      <c r="Q72" s="45"/>
      <c r="R72" s="45"/>
      <c r="S72" s="45"/>
      <c r="T72" s="45"/>
      <c r="U72" s="45"/>
      <c r="V72" s="45"/>
      <c r="W72" s="45"/>
      <c r="X72" s="45"/>
      <c r="Y72" s="45"/>
      <c r="Z72" s="93"/>
      <c r="AA72" s="140"/>
      <c r="AB72" s="401"/>
      <c r="AC72" s="401"/>
      <c r="AD72" s="402"/>
      <c r="AE72" s="397"/>
      <c r="AF72" s="143"/>
      <c r="AG72" s="705"/>
      <c r="AH72" s="705"/>
      <c r="AI72" s="706"/>
      <c r="AJ72" s="397"/>
      <c r="AK72" s="143"/>
      <c r="AL72" s="401"/>
      <c r="AM72" s="401"/>
      <c r="AN72" s="402"/>
      <c r="AO72" s="397"/>
      <c r="AP72" s="143"/>
      <c r="AQ72" s="699"/>
    </row>
    <row r="73" spans="1:92">
      <c r="B73" s="345"/>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s="98"/>
      <c r="AA73" s="128"/>
      <c r="AB73" s="399"/>
      <c r="AC73" s="399"/>
      <c r="AD73" s="400"/>
      <c r="AE73" s="397"/>
      <c r="AF73" s="143"/>
      <c r="AG73" s="399"/>
      <c r="AH73" s="399"/>
      <c r="AI73" s="400"/>
      <c r="AJ73" s="397"/>
      <c r="AK73" s="143"/>
      <c r="AL73" s="399"/>
      <c r="AM73" s="399"/>
      <c r="AN73" s="400"/>
      <c r="AO73" s="397"/>
      <c r="AP73" s="143"/>
      <c r="AQ73" s="699"/>
    </row>
    <row r="74" spans="1:92" ht="13.5" thickBot="1">
      <c r="B74" s="512"/>
      <c r="C74" s="513"/>
      <c r="D74" s="513"/>
      <c r="E74" s="513"/>
      <c r="F74" s="513"/>
      <c r="G74" s="513"/>
      <c r="H74" s="513"/>
      <c r="I74" s="513"/>
      <c r="J74" s="513"/>
      <c r="K74" s="513"/>
      <c r="L74" s="513"/>
      <c r="M74" s="513"/>
      <c r="N74" s="513"/>
      <c r="O74" s="513"/>
      <c r="P74" s="513"/>
      <c r="Q74" s="513"/>
      <c r="R74" s="513"/>
      <c r="S74" s="513"/>
      <c r="T74" s="513"/>
      <c r="U74" s="513"/>
      <c r="V74" s="513"/>
      <c r="W74" s="513"/>
      <c r="X74" s="513"/>
      <c r="Y74" s="513"/>
      <c r="Z74" s="98"/>
      <c r="AA74" s="128"/>
      <c r="AB74" s="401"/>
      <c r="AC74" s="401"/>
      <c r="AD74" s="402"/>
      <c r="AE74" s="398"/>
      <c r="AF74" s="143"/>
      <c r="AG74" s="401"/>
      <c r="AH74" s="401"/>
      <c r="AI74" s="402"/>
      <c r="AJ74" s="398"/>
      <c r="AK74" s="143"/>
      <c r="AL74" s="401"/>
      <c r="AM74" s="401"/>
      <c r="AN74" s="402"/>
      <c r="AO74" s="398"/>
      <c r="AP74" s="143"/>
      <c r="AQ74" s="699"/>
    </row>
    <row r="75" spans="1:92" s="19" customFormat="1" ht="39" customHeight="1">
      <c r="A75" s="18"/>
      <c r="B75" s="196" t="s">
        <v>0</v>
      </c>
      <c r="C75" s="351" t="s">
        <v>60</v>
      </c>
      <c r="D75" s="538"/>
      <c r="E75" s="351" t="s">
        <v>72</v>
      </c>
      <c r="F75" s="538"/>
      <c r="G75" s="351" t="s">
        <v>44</v>
      </c>
      <c r="H75" s="537"/>
      <c r="I75" s="538"/>
      <c r="J75" s="539" t="s">
        <v>45</v>
      </c>
      <c r="K75" s="539"/>
      <c r="L75" s="540" t="s">
        <v>80</v>
      </c>
      <c r="M75" s="541"/>
      <c r="N75" s="540" t="s">
        <v>71</v>
      </c>
      <c r="O75" s="541"/>
      <c r="P75" s="540" t="s">
        <v>106</v>
      </c>
      <c r="Q75" s="541"/>
      <c r="R75" s="350" t="s">
        <v>86</v>
      </c>
      <c r="S75" s="350"/>
      <c r="T75" s="350" t="s">
        <v>82</v>
      </c>
      <c r="U75" s="350"/>
      <c r="V75" s="350" t="s">
        <v>46</v>
      </c>
      <c r="W75" s="350"/>
      <c r="X75" s="350" t="s">
        <v>47</v>
      </c>
      <c r="Y75" s="351"/>
      <c r="Z75" s="103"/>
      <c r="AA75" s="141"/>
      <c r="AB75" s="144"/>
      <c r="AC75" s="144"/>
      <c r="AD75" s="144"/>
      <c r="AE75" s="143"/>
      <c r="AF75" s="143"/>
      <c r="AG75" s="144"/>
      <c r="AH75" s="144"/>
      <c r="AI75" s="144"/>
      <c r="AJ75" s="143"/>
      <c r="AK75" s="143"/>
      <c r="AL75" s="143"/>
      <c r="AM75" s="143"/>
      <c r="AN75" s="143"/>
      <c r="AO75" s="143"/>
      <c r="AP75" s="145"/>
      <c r="AQ75" s="699"/>
    </row>
    <row r="76" spans="1:92" ht="24.95" customHeight="1">
      <c r="B76" s="197" t="s">
        <v>50</v>
      </c>
      <c r="C76" s="358" t="s">
        <v>280</v>
      </c>
      <c r="D76" s="348"/>
      <c r="E76" s="348" t="s">
        <v>320</v>
      </c>
      <c r="F76" s="348"/>
      <c r="G76" s="528" t="s">
        <v>282</v>
      </c>
      <c r="H76" s="529"/>
      <c r="I76" s="530"/>
      <c r="J76" s="348" t="s">
        <v>281</v>
      </c>
      <c r="K76" s="348"/>
      <c r="L76" s="514">
        <v>45655</v>
      </c>
      <c r="M76" s="348"/>
      <c r="N76" s="348" t="s">
        <v>283</v>
      </c>
      <c r="O76" s="348"/>
      <c r="P76" s="348" t="s">
        <v>284</v>
      </c>
      <c r="Q76" s="348"/>
      <c r="R76" s="347">
        <v>1</v>
      </c>
      <c r="S76" s="348"/>
      <c r="T76" s="348">
        <v>500</v>
      </c>
      <c r="U76" s="348"/>
      <c r="V76" s="348">
        <v>500</v>
      </c>
      <c r="W76" s="348"/>
      <c r="X76" s="348" t="s">
        <v>286</v>
      </c>
      <c r="Y76" s="349"/>
      <c r="Z76" s="98"/>
      <c r="AA76" s="128"/>
      <c r="AB76" s="146"/>
      <c r="AC76" s="146"/>
      <c r="AD76" s="146"/>
      <c r="AE76" s="143"/>
      <c r="AF76" s="143"/>
      <c r="AG76" s="146"/>
      <c r="AH76" s="146"/>
      <c r="AI76" s="146"/>
      <c r="AJ76" s="143"/>
      <c r="AK76" s="143"/>
      <c r="AL76" s="143"/>
      <c r="AM76" s="143"/>
      <c r="AN76" s="143"/>
      <c r="AO76" s="147"/>
      <c r="AP76" s="148"/>
      <c r="AQ76" s="699"/>
    </row>
    <row r="77" spans="1:92" ht="24.95" customHeight="1">
      <c r="B77" s="198" t="s">
        <v>51</v>
      </c>
      <c r="C77" s="358" t="s">
        <v>280</v>
      </c>
      <c r="D77" s="348"/>
      <c r="E77" s="354" t="s">
        <v>285</v>
      </c>
      <c r="F77" s="354"/>
      <c r="G77" s="528" t="s">
        <v>282</v>
      </c>
      <c r="H77" s="529"/>
      <c r="I77" s="530"/>
      <c r="J77" s="354" t="s">
        <v>281</v>
      </c>
      <c r="K77" s="354"/>
      <c r="L77" s="542">
        <v>45656</v>
      </c>
      <c r="M77" s="354"/>
      <c r="N77" s="348" t="s">
        <v>283</v>
      </c>
      <c r="O77" s="348"/>
      <c r="P77" s="348" t="s">
        <v>284</v>
      </c>
      <c r="Q77" s="348"/>
      <c r="R77" s="347">
        <v>1</v>
      </c>
      <c r="S77" s="348"/>
      <c r="T77" s="354">
        <v>1200</v>
      </c>
      <c r="U77" s="354"/>
      <c r="V77" s="354">
        <v>1200</v>
      </c>
      <c r="W77" s="354"/>
      <c r="X77" s="354" t="s">
        <v>286</v>
      </c>
      <c r="Y77" s="484"/>
      <c r="Z77" s="98"/>
      <c r="AA77" s="128"/>
      <c r="AB77" s="143"/>
      <c r="AC77" s="143"/>
      <c r="AD77" s="143"/>
      <c r="AE77" s="143"/>
      <c r="AF77" s="143"/>
      <c r="AG77" s="143"/>
      <c r="AH77" s="143"/>
      <c r="AI77" s="143"/>
      <c r="AJ77" s="143"/>
      <c r="AK77" s="143"/>
      <c r="AL77" s="143"/>
      <c r="AM77" s="143"/>
      <c r="AN77" s="143"/>
      <c r="AO77" s="148"/>
      <c r="AP77" s="148"/>
      <c r="AQ77" s="699"/>
    </row>
    <row r="78" spans="1:92" ht="24.95" customHeight="1">
      <c r="B78" s="198" t="s">
        <v>52</v>
      </c>
      <c r="C78" s="358" t="s">
        <v>280</v>
      </c>
      <c r="D78" s="348"/>
      <c r="E78" s="354" t="s">
        <v>285</v>
      </c>
      <c r="F78" s="354"/>
      <c r="G78" s="528" t="s">
        <v>282</v>
      </c>
      <c r="H78" s="529"/>
      <c r="I78" s="530"/>
      <c r="J78" s="354" t="s">
        <v>281</v>
      </c>
      <c r="K78" s="354"/>
      <c r="L78" s="542" t="s">
        <v>325</v>
      </c>
      <c r="M78" s="354"/>
      <c r="N78" s="348" t="s">
        <v>283</v>
      </c>
      <c r="O78" s="348"/>
      <c r="P78" s="348" t="s">
        <v>284</v>
      </c>
      <c r="Q78" s="348"/>
      <c r="R78" s="347">
        <v>1</v>
      </c>
      <c r="S78" s="348"/>
      <c r="T78" s="354">
        <v>3600</v>
      </c>
      <c r="U78" s="354"/>
      <c r="V78" s="354">
        <v>3600</v>
      </c>
      <c r="W78" s="354"/>
      <c r="X78" s="354" t="s">
        <v>286</v>
      </c>
      <c r="Y78" s="484"/>
      <c r="Z78" s="98"/>
      <c r="AA78" s="128"/>
      <c r="AB78" s="146"/>
      <c r="AC78" s="146"/>
      <c r="AD78" s="146"/>
      <c r="AE78" s="143"/>
      <c r="AF78" s="143"/>
      <c r="AG78" s="143"/>
      <c r="AH78" s="143"/>
      <c r="AI78" s="143"/>
      <c r="AJ78" s="143"/>
      <c r="AK78" s="143"/>
      <c r="AL78" s="143"/>
      <c r="AM78" s="143"/>
      <c r="AN78" s="143"/>
      <c r="AO78" s="148"/>
      <c r="AP78" s="148"/>
      <c r="AQ78" s="699"/>
    </row>
    <row r="79" spans="1:92" ht="24.95" customHeight="1" thickBot="1">
      <c r="B79" s="198" t="s">
        <v>53</v>
      </c>
      <c r="C79" s="352"/>
      <c r="D79" s="353"/>
      <c r="E79" s="365"/>
      <c r="F79" s="366"/>
      <c r="G79" s="367"/>
      <c r="H79" s="368"/>
      <c r="I79" s="369"/>
      <c r="J79" s="365"/>
      <c r="K79" s="366"/>
      <c r="L79" s="531"/>
      <c r="M79" s="532"/>
      <c r="N79" s="355"/>
      <c r="O79" s="353"/>
      <c r="P79" s="355"/>
      <c r="Q79" s="353"/>
      <c r="R79" s="482"/>
      <c r="S79" s="483"/>
      <c r="T79" s="365"/>
      <c r="U79" s="366"/>
      <c r="V79" s="365"/>
      <c r="W79" s="366"/>
      <c r="X79" s="365"/>
      <c r="Y79" s="478"/>
      <c r="Z79" s="98"/>
      <c r="AA79" s="128"/>
      <c r="AB79" s="146"/>
      <c r="AC79" s="146"/>
      <c r="AD79" s="146"/>
      <c r="AE79" s="143"/>
      <c r="AF79" s="143"/>
      <c r="AG79" s="146"/>
      <c r="AH79" s="146"/>
      <c r="AI79" s="146"/>
      <c r="AJ79" s="143"/>
      <c r="AK79" s="143"/>
      <c r="AL79" s="146"/>
      <c r="AM79" s="146"/>
      <c r="AN79" s="146"/>
      <c r="AO79" s="143"/>
      <c r="AP79" s="145"/>
      <c r="AQ79" s="699"/>
    </row>
    <row r="80" spans="1:92" ht="24.95" customHeight="1">
      <c r="B80" s="198" t="s">
        <v>54</v>
      </c>
      <c r="C80" s="352"/>
      <c r="D80" s="353"/>
      <c r="E80" s="479"/>
      <c r="F80" s="480"/>
      <c r="G80" s="367"/>
      <c r="H80" s="368"/>
      <c r="I80" s="369"/>
      <c r="J80" s="479"/>
      <c r="K80" s="480"/>
      <c r="L80" s="356"/>
      <c r="M80" s="357"/>
      <c r="N80" s="355"/>
      <c r="O80" s="353"/>
      <c r="P80" s="355"/>
      <c r="Q80" s="353"/>
      <c r="R80" s="482"/>
      <c r="S80" s="483"/>
      <c r="T80" s="365"/>
      <c r="U80" s="366"/>
      <c r="V80" s="365"/>
      <c r="W80" s="366"/>
      <c r="X80" s="365"/>
      <c r="Y80" s="478"/>
      <c r="Z80" s="98"/>
      <c r="AA80" s="128"/>
      <c r="AB80" s="421" t="s">
        <v>146</v>
      </c>
      <c r="AC80" s="421"/>
      <c r="AD80" s="422"/>
      <c r="AE80" s="396" t="s">
        <v>93</v>
      </c>
      <c r="AF80" s="143"/>
      <c r="AG80" s="421" t="s">
        <v>147</v>
      </c>
      <c r="AH80" s="421"/>
      <c r="AI80" s="422"/>
      <c r="AJ80" s="396" t="s">
        <v>94</v>
      </c>
      <c r="AK80" s="143"/>
      <c r="AL80" s="421" t="s">
        <v>148</v>
      </c>
      <c r="AM80" s="421"/>
      <c r="AN80" s="422"/>
      <c r="AO80" s="396" t="s">
        <v>95</v>
      </c>
      <c r="AP80" s="145"/>
      <c r="AQ80" s="699"/>
    </row>
    <row r="81" spans="1:43" ht="12.75" customHeight="1">
      <c r="B81" s="198" t="s">
        <v>55</v>
      </c>
      <c r="C81" s="352"/>
      <c r="D81" s="353"/>
      <c r="E81" s="479"/>
      <c r="F81" s="480"/>
      <c r="G81" s="367"/>
      <c r="H81" s="368"/>
      <c r="I81" s="369"/>
      <c r="J81" s="479"/>
      <c r="K81" s="480"/>
      <c r="L81" s="356"/>
      <c r="M81" s="357"/>
      <c r="N81" s="355"/>
      <c r="O81" s="353"/>
      <c r="P81" s="355"/>
      <c r="Q81" s="353"/>
      <c r="R81" s="482"/>
      <c r="S81" s="483"/>
      <c r="T81" s="479"/>
      <c r="U81" s="480"/>
      <c r="V81" s="479"/>
      <c r="W81" s="480"/>
      <c r="X81" s="479"/>
      <c r="Y81" s="520"/>
      <c r="Z81" s="98"/>
      <c r="AA81" s="128"/>
      <c r="AB81" s="423"/>
      <c r="AC81" s="423"/>
      <c r="AD81" s="424"/>
      <c r="AE81" s="397"/>
      <c r="AF81" s="143"/>
      <c r="AG81" s="423"/>
      <c r="AH81" s="423"/>
      <c r="AI81" s="424"/>
      <c r="AJ81" s="397"/>
      <c r="AK81" s="143"/>
      <c r="AL81" s="423"/>
      <c r="AM81" s="423"/>
      <c r="AN81" s="424"/>
      <c r="AO81" s="397"/>
      <c r="AP81" s="143"/>
      <c r="AQ81" s="699"/>
    </row>
    <row r="82" spans="1:43" ht="20.25" customHeight="1">
      <c r="B82" s="198" t="s">
        <v>56</v>
      </c>
      <c r="C82" s="425"/>
      <c r="D82" s="354"/>
      <c r="E82" s="354"/>
      <c r="F82" s="354"/>
      <c r="G82" s="359"/>
      <c r="H82" s="360"/>
      <c r="I82" s="519"/>
      <c r="J82" s="354"/>
      <c r="K82" s="354"/>
      <c r="L82" s="354"/>
      <c r="M82" s="354"/>
      <c r="N82" s="354"/>
      <c r="O82" s="354"/>
      <c r="P82" s="354"/>
      <c r="Q82" s="354"/>
      <c r="R82" s="354"/>
      <c r="S82" s="354"/>
      <c r="T82" s="354"/>
      <c r="U82" s="354"/>
      <c r="V82" s="354"/>
      <c r="W82" s="354"/>
      <c r="X82" s="354"/>
      <c r="Y82" s="484"/>
      <c r="Z82" s="98"/>
      <c r="AA82" s="128"/>
      <c r="AB82" s="625"/>
      <c r="AC82" s="625"/>
      <c r="AD82" s="626"/>
      <c r="AE82" s="397"/>
      <c r="AF82" s="143"/>
      <c r="AG82" s="407" t="s">
        <v>294</v>
      </c>
      <c r="AH82" s="407"/>
      <c r="AI82" s="408"/>
      <c r="AJ82" s="397"/>
      <c r="AK82" s="143"/>
      <c r="AL82" s="665"/>
      <c r="AM82" s="665"/>
      <c r="AN82" s="666"/>
      <c r="AO82" s="397"/>
      <c r="AP82" s="143"/>
      <c r="AQ82" s="699"/>
    </row>
    <row r="83" spans="1:43">
      <c r="B83" s="198" t="s">
        <v>57</v>
      </c>
      <c r="C83" s="425"/>
      <c r="D83" s="354"/>
      <c r="E83" s="354"/>
      <c r="F83" s="354"/>
      <c r="G83" s="359"/>
      <c r="H83" s="360"/>
      <c r="I83" s="519"/>
      <c r="J83" s="354"/>
      <c r="K83" s="354"/>
      <c r="L83" s="354"/>
      <c r="M83" s="354"/>
      <c r="N83" s="354"/>
      <c r="O83" s="354"/>
      <c r="P83" s="354"/>
      <c r="Q83" s="354"/>
      <c r="R83" s="354"/>
      <c r="S83" s="354"/>
      <c r="T83" s="354"/>
      <c r="U83" s="354"/>
      <c r="V83" s="354"/>
      <c r="W83" s="354"/>
      <c r="X83" s="354"/>
      <c r="Y83" s="484"/>
      <c r="Z83" s="98"/>
      <c r="AA83" s="128"/>
      <c r="AB83" s="627"/>
      <c r="AC83" s="627"/>
      <c r="AD83" s="628"/>
      <c r="AE83" s="397"/>
      <c r="AF83" s="143"/>
      <c r="AG83" s="409"/>
      <c r="AH83" s="409"/>
      <c r="AI83" s="410"/>
      <c r="AJ83" s="397"/>
      <c r="AK83" s="143"/>
      <c r="AL83" s="667"/>
      <c r="AM83" s="667"/>
      <c r="AN83" s="668"/>
      <c r="AO83" s="397"/>
      <c r="AP83" s="143"/>
      <c r="AQ83" s="699"/>
    </row>
    <row r="84" spans="1:43">
      <c r="B84" s="198" t="s">
        <v>58</v>
      </c>
      <c r="C84" s="425"/>
      <c r="D84" s="354"/>
      <c r="E84" s="354"/>
      <c r="F84" s="354"/>
      <c r="G84" s="359"/>
      <c r="H84" s="360"/>
      <c r="I84" s="519"/>
      <c r="J84" s="354"/>
      <c r="K84" s="354"/>
      <c r="L84" s="354"/>
      <c r="M84" s="354"/>
      <c r="N84" s="354"/>
      <c r="O84" s="354"/>
      <c r="P84" s="354"/>
      <c r="Q84" s="354"/>
      <c r="R84" s="354"/>
      <c r="S84" s="354"/>
      <c r="T84" s="354"/>
      <c r="U84" s="354"/>
      <c r="V84" s="354"/>
      <c r="W84" s="354"/>
      <c r="X84" s="354"/>
      <c r="Y84" s="484"/>
      <c r="Z84" s="98"/>
      <c r="AA84" s="128"/>
      <c r="AB84" s="399"/>
      <c r="AC84" s="399"/>
      <c r="AD84" s="400"/>
      <c r="AE84" s="397"/>
      <c r="AF84" s="143"/>
      <c r="AG84" s="407" t="s">
        <v>295</v>
      </c>
      <c r="AH84" s="407"/>
      <c r="AI84" s="408"/>
      <c r="AJ84" s="397"/>
      <c r="AK84" s="143"/>
      <c r="AL84" s="399"/>
      <c r="AM84" s="399"/>
      <c r="AN84" s="400"/>
      <c r="AO84" s="397"/>
      <c r="AP84" s="143"/>
      <c r="AQ84" s="699"/>
    </row>
    <row r="85" spans="1:43">
      <c r="B85" s="199" t="s">
        <v>59</v>
      </c>
      <c r="C85" s="428"/>
      <c r="D85" s="426"/>
      <c r="E85" s="426"/>
      <c r="F85" s="426"/>
      <c r="G85" s="427"/>
      <c r="H85" s="429"/>
      <c r="I85" s="430"/>
      <c r="J85" s="426"/>
      <c r="K85" s="426"/>
      <c r="L85" s="426"/>
      <c r="M85" s="426"/>
      <c r="N85" s="426"/>
      <c r="O85" s="426"/>
      <c r="P85" s="426"/>
      <c r="Q85" s="426"/>
      <c r="R85" s="426"/>
      <c r="S85" s="426"/>
      <c r="T85" s="426"/>
      <c r="U85" s="426"/>
      <c r="V85" s="426"/>
      <c r="W85" s="426"/>
      <c r="X85" s="426"/>
      <c r="Y85" s="427"/>
      <c r="Z85" s="98"/>
      <c r="AA85" s="128"/>
      <c r="AB85" s="401"/>
      <c r="AC85" s="401"/>
      <c r="AD85" s="402"/>
      <c r="AE85" s="397"/>
      <c r="AF85" s="143"/>
      <c r="AG85" s="409"/>
      <c r="AH85" s="409"/>
      <c r="AI85" s="410"/>
      <c r="AJ85" s="397"/>
      <c r="AK85" s="143"/>
      <c r="AL85" s="401"/>
      <c r="AM85" s="401"/>
      <c r="AN85" s="402"/>
      <c r="AO85" s="397"/>
      <c r="AP85" s="143"/>
      <c r="AQ85" s="699"/>
    </row>
    <row r="86" spans="1:43" s="17" customFormat="1" ht="12.75" customHeight="1">
      <c r="A86" s="16"/>
      <c r="B86" s="104"/>
      <c r="C86" s="20"/>
      <c r="D86" s="20"/>
      <c r="E86" s="20"/>
      <c r="F86" s="20"/>
      <c r="G86" s="20"/>
      <c r="H86" s="20"/>
      <c r="I86" s="20"/>
      <c r="J86" s="20"/>
      <c r="K86" s="20"/>
      <c r="L86" s="20"/>
      <c r="M86" s="20"/>
      <c r="N86" s="20"/>
      <c r="O86" s="20"/>
      <c r="P86" s="20"/>
      <c r="Q86" s="20"/>
      <c r="R86" s="21"/>
      <c r="S86" s="21"/>
      <c r="T86" s="21"/>
      <c r="U86" s="21"/>
      <c r="V86" s="22"/>
      <c r="W86" s="22"/>
      <c r="X86" s="22"/>
      <c r="Y86" s="22"/>
      <c r="Z86" s="98"/>
      <c r="AA86" s="135"/>
      <c r="AB86" s="399"/>
      <c r="AC86" s="399"/>
      <c r="AD86" s="400"/>
      <c r="AE86" s="397"/>
      <c r="AF86" s="143"/>
      <c r="AG86" s="407" t="s">
        <v>296</v>
      </c>
      <c r="AH86" s="407"/>
      <c r="AI86" s="408"/>
      <c r="AJ86" s="397"/>
      <c r="AK86" s="143"/>
      <c r="AL86" s="399"/>
      <c r="AM86" s="399"/>
      <c r="AN86" s="400"/>
      <c r="AO86" s="397"/>
      <c r="AP86" s="143"/>
      <c r="AQ86" s="699"/>
    </row>
    <row r="87" spans="1:43">
      <c r="B87" s="469" t="s">
        <v>105</v>
      </c>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98"/>
      <c r="AA87" s="128"/>
      <c r="AB87" s="401"/>
      <c r="AC87" s="401"/>
      <c r="AD87" s="402"/>
      <c r="AE87" s="397"/>
      <c r="AF87" s="143"/>
      <c r="AG87" s="409"/>
      <c r="AH87" s="409"/>
      <c r="AI87" s="410"/>
      <c r="AJ87" s="397"/>
      <c r="AK87" s="143"/>
      <c r="AL87" s="401"/>
      <c r="AM87" s="401"/>
      <c r="AN87" s="402"/>
      <c r="AO87" s="397"/>
      <c r="AP87" s="143"/>
      <c r="AQ87" s="699"/>
    </row>
    <row r="88" spans="1:43">
      <c r="B88" s="431" t="s">
        <v>360</v>
      </c>
      <c r="C88" s="432"/>
      <c r="D88" s="432"/>
      <c r="E88" s="432"/>
      <c r="F88" s="432"/>
      <c r="G88" s="432"/>
      <c r="H88" s="432"/>
      <c r="I88" s="432"/>
      <c r="J88" s="432"/>
      <c r="K88" s="432"/>
      <c r="L88" s="432"/>
      <c r="M88" s="432"/>
      <c r="N88" s="432"/>
      <c r="O88" s="432"/>
      <c r="P88" s="432"/>
      <c r="Q88" s="432"/>
      <c r="R88" s="432"/>
      <c r="S88" s="432"/>
      <c r="T88" s="432"/>
      <c r="U88" s="432"/>
      <c r="V88" s="432"/>
      <c r="W88" s="432"/>
      <c r="X88" s="432"/>
      <c r="Y88" s="432"/>
      <c r="Z88" s="98"/>
      <c r="AA88" s="128"/>
      <c r="AB88" s="399"/>
      <c r="AC88" s="399"/>
      <c r="AD88" s="400"/>
      <c r="AE88" s="397"/>
      <c r="AF88" s="143"/>
      <c r="AG88" s="370"/>
      <c r="AH88" s="370"/>
      <c r="AI88" s="371"/>
      <c r="AJ88" s="397"/>
      <c r="AK88" s="143"/>
      <c r="AL88" s="399"/>
      <c r="AM88" s="399"/>
      <c r="AN88" s="400"/>
      <c r="AO88" s="397"/>
      <c r="AP88" s="143"/>
      <c r="AQ88" s="699"/>
    </row>
    <row r="89" spans="1:43">
      <c r="B89" s="433"/>
      <c r="C89" s="434"/>
      <c r="D89" s="434"/>
      <c r="E89" s="434"/>
      <c r="F89" s="434"/>
      <c r="G89" s="434"/>
      <c r="H89" s="434"/>
      <c r="I89" s="434"/>
      <c r="J89" s="434"/>
      <c r="K89" s="434"/>
      <c r="L89" s="434"/>
      <c r="M89" s="434"/>
      <c r="N89" s="434"/>
      <c r="O89" s="434"/>
      <c r="P89" s="434"/>
      <c r="Q89" s="434"/>
      <c r="R89" s="434"/>
      <c r="S89" s="434"/>
      <c r="T89" s="434"/>
      <c r="U89" s="434"/>
      <c r="V89" s="434"/>
      <c r="W89" s="434"/>
      <c r="X89" s="434"/>
      <c r="Y89" s="434"/>
      <c r="Z89" s="98"/>
      <c r="AA89" s="128"/>
      <c r="AB89" s="401"/>
      <c r="AC89" s="401"/>
      <c r="AD89" s="402"/>
      <c r="AE89" s="397"/>
      <c r="AF89" s="143"/>
      <c r="AG89" s="372"/>
      <c r="AH89" s="372"/>
      <c r="AI89" s="373"/>
      <c r="AJ89" s="397"/>
      <c r="AK89" s="143"/>
      <c r="AL89" s="401"/>
      <c r="AM89" s="401"/>
      <c r="AN89" s="402"/>
      <c r="AO89" s="397"/>
      <c r="AP89" s="143"/>
      <c r="AQ89" s="699"/>
    </row>
    <row r="90" spans="1:43">
      <c r="B90" s="124"/>
      <c r="C90" s="125"/>
      <c r="D90" s="125"/>
      <c r="E90" s="125"/>
      <c r="F90" s="125"/>
      <c r="G90" s="125"/>
      <c r="H90" s="125"/>
      <c r="I90" s="125"/>
      <c r="J90" s="125"/>
      <c r="K90" s="125"/>
      <c r="L90" s="125"/>
      <c r="M90" s="125"/>
      <c r="N90" s="125"/>
      <c r="O90" s="125"/>
      <c r="P90" s="125"/>
      <c r="Q90" s="125"/>
      <c r="R90" s="125"/>
      <c r="S90" s="125"/>
      <c r="T90" s="125"/>
      <c r="U90" s="125"/>
      <c r="V90" s="125"/>
      <c r="W90" s="125"/>
      <c r="X90" s="125"/>
      <c r="Y90" s="126"/>
      <c r="Z90" s="127"/>
      <c r="AA90" s="128"/>
      <c r="AB90" s="399"/>
      <c r="AC90" s="399"/>
      <c r="AD90" s="400"/>
      <c r="AE90" s="397"/>
      <c r="AF90" s="143"/>
      <c r="AG90" s="370"/>
      <c r="AH90" s="370"/>
      <c r="AI90" s="371"/>
      <c r="AJ90" s="397"/>
      <c r="AK90" s="143"/>
      <c r="AL90" s="399"/>
      <c r="AM90" s="399"/>
      <c r="AN90" s="400"/>
      <c r="AO90" s="397"/>
      <c r="AP90" s="143"/>
      <c r="AQ90" s="699"/>
    </row>
    <row r="91" spans="1:43">
      <c r="B91" s="96" t="s">
        <v>14</v>
      </c>
      <c r="C91" s="31" t="s">
        <v>15</v>
      </c>
      <c r="D91" s="32"/>
      <c r="E91" s="32"/>
      <c r="F91" s="32"/>
      <c r="G91" s="32"/>
      <c r="H91" s="32"/>
      <c r="I91" s="32"/>
      <c r="J91" s="32"/>
      <c r="K91" s="32"/>
      <c r="L91" s="32"/>
      <c r="M91" s="32"/>
      <c r="N91" s="32"/>
      <c r="O91" s="32"/>
      <c r="P91" s="32"/>
      <c r="Q91" s="32"/>
      <c r="R91" s="32"/>
      <c r="S91" s="32"/>
      <c r="T91" s="32"/>
      <c r="U91" s="32"/>
      <c r="V91" s="32"/>
      <c r="W91" s="32"/>
      <c r="X91" s="32"/>
      <c r="Y91" s="32"/>
      <c r="Z91" s="105"/>
      <c r="AA91" s="134"/>
      <c r="AB91" s="401"/>
      <c r="AC91" s="401"/>
      <c r="AD91" s="402"/>
      <c r="AE91" s="397"/>
      <c r="AF91" s="143"/>
      <c r="AG91" s="372"/>
      <c r="AH91" s="372"/>
      <c r="AI91" s="373"/>
      <c r="AJ91" s="397"/>
      <c r="AK91" s="143"/>
      <c r="AL91" s="401"/>
      <c r="AM91" s="401"/>
      <c r="AN91" s="402"/>
      <c r="AO91" s="397"/>
      <c r="AP91" s="143"/>
      <c r="AQ91" s="699"/>
    </row>
    <row r="92" spans="1:43" ht="12.75" customHeight="1">
      <c r="B92" s="151"/>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98"/>
      <c r="AA92" s="128"/>
      <c r="AB92" s="399"/>
      <c r="AC92" s="399"/>
      <c r="AD92" s="400"/>
      <c r="AE92" s="397"/>
      <c r="AF92" s="143"/>
      <c r="AG92" s="370"/>
      <c r="AH92" s="370"/>
      <c r="AI92" s="371"/>
      <c r="AJ92" s="397"/>
      <c r="AK92" s="143"/>
      <c r="AL92" s="399"/>
      <c r="AM92" s="399"/>
      <c r="AN92" s="400"/>
      <c r="AO92" s="397"/>
      <c r="AP92" s="143"/>
      <c r="AQ92" s="699"/>
    </row>
    <row r="93" spans="1:43" ht="12.75" customHeight="1">
      <c r="B93" s="153"/>
      <c r="Z93" s="107"/>
      <c r="AA93" s="134"/>
      <c r="AB93" s="401"/>
      <c r="AC93" s="401"/>
      <c r="AD93" s="402"/>
      <c r="AE93" s="397"/>
      <c r="AF93" s="143"/>
      <c r="AG93" s="372"/>
      <c r="AH93" s="372"/>
      <c r="AI93" s="373"/>
      <c r="AJ93" s="397"/>
      <c r="AK93" s="143"/>
      <c r="AL93" s="401"/>
      <c r="AM93" s="401"/>
      <c r="AN93" s="402"/>
      <c r="AO93" s="397"/>
      <c r="AP93" s="143"/>
      <c r="AQ93" s="699"/>
    </row>
    <row r="94" spans="1:43" ht="12.75" customHeight="1">
      <c r="B94" s="545"/>
      <c r="C94" s="546"/>
      <c r="D94" s="546"/>
      <c r="E94" s="553" t="s">
        <v>138</v>
      </c>
      <c r="F94" s="554"/>
      <c r="G94" s="554"/>
      <c r="H94" s="554"/>
      <c r="I94" s="554"/>
      <c r="J94" s="554"/>
      <c r="K94" s="554"/>
      <c r="L94" s="554"/>
      <c r="M94" s="555"/>
      <c r="N94" s="544" t="s">
        <v>139</v>
      </c>
      <c r="O94" s="544"/>
      <c r="P94" s="544"/>
      <c r="Q94" s="544"/>
      <c r="R94" s="544"/>
      <c r="S94" s="544"/>
      <c r="T94" s="544"/>
      <c r="U94" s="544"/>
      <c r="V94" s="547" t="s">
        <v>115</v>
      </c>
      <c r="W94" s="548"/>
      <c r="X94" s="548"/>
      <c r="Y94" s="549"/>
      <c r="Z94" s="90"/>
      <c r="AA94" s="128"/>
      <c r="AB94" s="399"/>
      <c r="AC94" s="399"/>
      <c r="AD94" s="400"/>
      <c r="AE94" s="397"/>
      <c r="AF94" s="143"/>
      <c r="AG94" s="399"/>
      <c r="AH94" s="399"/>
      <c r="AI94" s="400"/>
      <c r="AJ94" s="397"/>
      <c r="AK94" s="143"/>
      <c r="AL94" s="399"/>
      <c r="AM94" s="399"/>
      <c r="AN94" s="400"/>
      <c r="AO94" s="397"/>
      <c r="AP94" s="143"/>
      <c r="AQ94" s="699"/>
    </row>
    <row r="95" spans="1:43" ht="44.25" customHeight="1" thickBot="1">
      <c r="B95" s="558" t="s">
        <v>112</v>
      </c>
      <c r="C95" s="559"/>
      <c r="D95" s="560"/>
      <c r="E95" s="339" t="s">
        <v>328</v>
      </c>
      <c r="F95" s="364"/>
      <c r="G95" s="364"/>
      <c r="H95" s="364"/>
      <c r="I95" s="364"/>
      <c r="J95" s="364"/>
      <c r="K95" s="364"/>
      <c r="L95" s="364"/>
      <c r="M95" s="364"/>
      <c r="N95" s="550" t="s">
        <v>326</v>
      </c>
      <c r="O95" s="551"/>
      <c r="P95" s="551"/>
      <c r="Q95" s="551"/>
      <c r="R95" s="551"/>
      <c r="S95" s="551"/>
      <c r="T95" s="551"/>
      <c r="U95" s="552"/>
      <c r="V95" s="283">
        <v>45665</v>
      </c>
      <c r="W95" s="284"/>
      <c r="X95" s="284"/>
      <c r="Y95" s="285"/>
      <c r="Z95" s="98"/>
      <c r="AA95" s="128"/>
      <c r="AB95" s="401"/>
      <c r="AC95" s="401"/>
      <c r="AD95" s="402"/>
      <c r="AE95" s="398"/>
      <c r="AF95" s="143"/>
      <c r="AG95" s="401"/>
      <c r="AH95" s="401"/>
      <c r="AI95" s="402"/>
      <c r="AJ95" s="398"/>
      <c r="AK95" s="143"/>
      <c r="AL95" s="401"/>
      <c r="AM95" s="401"/>
      <c r="AN95" s="402"/>
      <c r="AO95" s="398"/>
      <c r="AP95" s="143"/>
      <c r="AQ95" s="699"/>
    </row>
    <row r="96" spans="1:43" ht="38.25" customHeight="1">
      <c r="B96" s="440"/>
      <c r="C96" s="441"/>
      <c r="D96" s="442"/>
      <c r="E96" s="359" t="s">
        <v>327</v>
      </c>
      <c r="F96" s="360"/>
      <c r="G96" s="360"/>
      <c r="H96" s="360"/>
      <c r="I96" s="360"/>
      <c r="J96" s="360"/>
      <c r="K96" s="360"/>
      <c r="L96" s="360"/>
      <c r="M96" s="360"/>
      <c r="N96" s="361" t="s">
        <v>73</v>
      </c>
      <c r="O96" s="362"/>
      <c r="P96" s="362"/>
      <c r="Q96" s="362"/>
      <c r="R96" s="362"/>
      <c r="S96" s="362"/>
      <c r="T96" s="362"/>
      <c r="U96" s="363"/>
      <c r="V96" s="543"/>
      <c r="W96" s="287"/>
      <c r="X96" s="287"/>
      <c r="Y96" s="288"/>
      <c r="Z96" s="98"/>
      <c r="AA96" s="128"/>
      <c r="AQ96" s="129"/>
    </row>
    <row r="97" spans="1:50" ht="12.75" customHeight="1">
      <c r="B97" s="440"/>
      <c r="C97" s="441"/>
      <c r="D97" s="442"/>
      <c r="E97" s="359"/>
      <c r="F97" s="360"/>
      <c r="G97" s="360"/>
      <c r="H97" s="360"/>
      <c r="I97" s="360"/>
      <c r="J97" s="360"/>
      <c r="K97" s="360"/>
      <c r="L97" s="360"/>
      <c r="M97" s="360"/>
      <c r="N97" s="475"/>
      <c r="O97" s="476"/>
      <c r="P97" s="476"/>
      <c r="Q97" s="476"/>
      <c r="R97" s="476"/>
      <c r="S97" s="476"/>
      <c r="T97" s="476"/>
      <c r="U97" s="477"/>
      <c r="V97" s="286"/>
      <c r="W97" s="287"/>
      <c r="X97" s="287"/>
      <c r="Y97" s="288"/>
      <c r="Z97" s="98"/>
      <c r="AA97" s="128"/>
      <c r="AB97" s="149" t="s">
        <v>110</v>
      </c>
      <c r="AQ97" s="129"/>
    </row>
    <row r="98" spans="1:50">
      <c r="B98" s="443"/>
      <c r="C98" s="444"/>
      <c r="D98" s="445"/>
      <c r="E98" s="446"/>
      <c r="F98" s="447"/>
      <c r="G98" s="447"/>
      <c r="H98" s="447"/>
      <c r="I98" s="447"/>
      <c r="J98" s="447"/>
      <c r="K98" s="447"/>
      <c r="L98" s="447"/>
      <c r="M98" s="447"/>
      <c r="N98" s="324"/>
      <c r="O98" s="325"/>
      <c r="P98" s="325"/>
      <c r="Q98" s="325"/>
      <c r="R98" s="325"/>
      <c r="S98" s="325"/>
      <c r="T98" s="325"/>
      <c r="U98" s="326"/>
      <c r="V98" s="446"/>
      <c r="W98" s="447"/>
      <c r="X98" s="447"/>
      <c r="Y98" s="481"/>
      <c r="Z98" s="90"/>
      <c r="AA98" s="128"/>
      <c r="AB98" s="700"/>
      <c r="AE98" s="701"/>
      <c r="AH98" s="702"/>
      <c r="AQ98" s="129"/>
    </row>
    <row r="99" spans="1:50" ht="27.75" customHeight="1">
      <c r="B99" s="440" t="s">
        <v>240</v>
      </c>
      <c r="C99" s="441"/>
      <c r="D99" s="442"/>
      <c r="E99" s="561" t="s">
        <v>329</v>
      </c>
      <c r="F99" s="562"/>
      <c r="G99" s="562"/>
      <c r="H99" s="562"/>
      <c r="I99" s="562"/>
      <c r="J99" s="562"/>
      <c r="K99" s="562"/>
      <c r="L99" s="562"/>
      <c r="M99" s="563"/>
      <c r="N99" s="451" t="s">
        <v>330</v>
      </c>
      <c r="O99" s="452"/>
      <c r="P99" s="452"/>
      <c r="Q99" s="452"/>
      <c r="R99" s="452"/>
      <c r="S99" s="452"/>
      <c r="T99" s="452"/>
      <c r="U99" s="453"/>
      <c r="V99" s="283">
        <v>45664</v>
      </c>
      <c r="W99" s="284"/>
      <c r="X99" s="284"/>
      <c r="Y99" s="285"/>
      <c r="Z99" s="90"/>
      <c r="AA99" s="128"/>
      <c r="AB99" s="700"/>
      <c r="AC99" s="11" t="s">
        <v>141</v>
      </c>
      <c r="AE99" s="701"/>
      <c r="AF99" s="11" t="s">
        <v>113</v>
      </c>
      <c r="AH99" s="702"/>
      <c r="AI99" s="11" t="s">
        <v>114</v>
      </c>
      <c r="AQ99" s="129"/>
    </row>
    <row r="100" spans="1:50" ht="12.6" customHeight="1">
      <c r="B100" s="440"/>
      <c r="C100" s="441"/>
      <c r="D100" s="442"/>
      <c r="E100" s="564"/>
      <c r="F100" s="434"/>
      <c r="G100" s="434"/>
      <c r="H100" s="434"/>
      <c r="I100" s="434"/>
      <c r="J100" s="434"/>
      <c r="K100" s="434"/>
      <c r="L100" s="434"/>
      <c r="M100" s="565"/>
      <c r="N100" s="274"/>
      <c r="O100" s="275"/>
      <c r="P100" s="275"/>
      <c r="Q100" s="275"/>
      <c r="R100" s="275"/>
      <c r="S100" s="275"/>
      <c r="T100" s="275"/>
      <c r="U100" s="276"/>
      <c r="V100" s="286"/>
      <c r="W100" s="287"/>
      <c r="X100" s="287"/>
      <c r="Y100" s="288"/>
      <c r="Z100" s="90"/>
      <c r="AA100" s="128"/>
      <c r="AQ100" s="129"/>
    </row>
    <row r="101" spans="1:50" ht="12.75" customHeight="1">
      <c r="B101" s="440"/>
      <c r="C101" s="441"/>
      <c r="D101" s="442"/>
      <c r="E101" s="566"/>
      <c r="F101" s="334"/>
      <c r="G101" s="334"/>
      <c r="H101" s="334"/>
      <c r="I101" s="334"/>
      <c r="J101" s="334"/>
      <c r="K101" s="334"/>
      <c r="L101" s="334"/>
      <c r="M101" s="567"/>
      <c r="N101" s="277"/>
      <c r="O101" s="278"/>
      <c r="P101" s="278"/>
      <c r="Q101" s="278"/>
      <c r="R101" s="278"/>
      <c r="S101" s="278"/>
      <c r="T101" s="278"/>
      <c r="U101" s="279"/>
      <c r="V101" s="286"/>
      <c r="W101" s="287"/>
      <c r="X101" s="287"/>
      <c r="Y101" s="288"/>
      <c r="Z101" s="98"/>
      <c r="AA101" s="128"/>
      <c r="AB101" s="292" t="s">
        <v>111</v>
      </c>
      <c r="AC101" s="292"/>
      <c r="AD101" s="292"/>
      <c r="AE101" s="292"/>
      <c r="AF101" s="292"/>
      <c r="AG101" s="292"/>
      <c r="AH101" s="292"/>
      <c r="AI101" s="292"/>
      <c r="AJ101" s="292"/>
      <c r="AK101" s="292"/>
      <c r="AL101" s="292"/>
      <c r="AM101" s="292"/>
      <c r="AN101" s="292"/>
      <c r="AO101" s="292"/>
      <c r="AP101" s="292"/>
      <c r="AQ101" s="129"/>
      <c r="AR101" s="150"/>
      <c r="AS101" s="150"/>
      <c r="AT101" s="150"/>
      <c r="AU101" s="150"/>
      <c r="AV101" s="150"/>
      <c r="AW101" s="150"/>
      <c r="AX101" s="150"/>
    </row>
    <row r="102" spans="1:50" ht="12.75" customHeight="1">
      <c r="B102" s="440"/>
      <c r="C102" s="441"/>
      <c r="D102" s="442"/>
      <c r="E102" s="286"/>
      <c r="F102" s="287"/>
      <c r="G102" s="287"/>
      <c r="H102" s="287"/>
      <c r="I102" s="287"/>
      <c r="J102" s="287"/>
      <c r="K102" s="287"/>
      <c r="L102" s="287"/>
      <c r="M102" s="287"/>
      <c r="N102" s="280"/>
      <c r="O102" s="281"/>
      <c r="P102" s="281"/>
      <c r="Q102" s="281"/>
      <c r="R102" s="281"/>
      <c r="S102" s="281"/>
      <c r="T102" s="281"/>
      <c r="U102" s="282"/>
      <c r="V102" s="286"/>
      <c r="W102" s="287"/>
      <c r="X102" s="287"/>
      <c r="Y102" s="288"/>
      <c r="Z102" s="98"/>
      <c r="AA102" s="128"/>
      <c r="AB102" s="289" t="s">
        <v>324</v>
      </c>
      <c r="AC102" s="289"/>
      <c r="AD102" s="289"/>
      <c r="AE102" s="289"/>
      <c r="AF102" s="289"/>
      <c r="AG102" s="289"/>
      <c r="AH102" s="289"/>
      <c r="AI102" s="289"/>
      <c r="AJ102" s="289"/>
      <c r="AK102" s="289"/>
      <c r="AL102" s="289"/>
      <c r="AM102" s="289"/>
      <c r="AN102" s="289"/>
      <c r="AO102" s="289"/>
      <c r="AP102" s="289"/>
      <c r="AQ102" s="129"/>
    </row>
    <row r="103" spans="1:50" ht="13.5" customHeight="1">
      <c r="B103" s="443"/>
      <c r="C103" s="444"/>
      <c r="D103" s="445"/>
      <c r="E103" s="446"/>
      <c r="F103" s="447"/>
      <c r="G103" s="447"/>
      <c r="H103" s="447"/>
      <c r="I103" s="447"/>
      <c r="J103" s="447"/>
      <c r="K103" s="447"/>
      <c r="L103" s="447"/>
      <c r="M103" s="447"/>
      <c r="N103" s="448"/>
      <c r="O103" s="449"/>
      <c r="P103" s="449"/>
      <c r="Q103" s="449"/>
      <c r="R103" s="449"/>
      <c r="S103" s="449"/>
      <c r="T103" s="449"/>
      <c r="U103" s="450"/>
      <c r="V103" s="446"/>
      <c r="W103" s="447"/>
      <c r="X103" s="447"/>
      <c r="Y103" s="481"/>
      <c r="Z103" s="98"/>
      <c r="AA103" s="128"/>
      <c r="AB103" s="290"/>
      <c r="AC103" s="290"/>
      <c r="AD103" s="290"/>
      <c r="AE103" s="290"/>
      <c r="AF103" s="290"/>
      <c r="AG103" s="290"/>
      <c r="AH103" s="290"/>
      <c r="AI103" s="290"/>
      <c r="AJ103" s="290"/>
      <c r="AK103" s="290"/>
      <c r="AL103" s="290"/>
      <c r="AM103" s="290"/>
      <c r="AN103" s="290"/>
      <c r="AO103" s="290"/>
      <c r="AP103" s="290"/>
      <c r="AQ103" s="142"/>
      <c r="AR103" s="76"/>
      <c r="AS103" s="76"/>
      <c r="AT103" s="76"/>
      <c r="AU103" s="76"/>
      <c r="AV103" s="76"/>
      <c r="AW103" s="76"/>
      <c r="AX103" s="76"/>
    </row>
    <row r="104" spans="1:50" ht="14.25" customHeight="1">
      <c r="B104" s="153"/>
      <c r="Z104" s="98"/>
      <c r="AA104" s="128"/>
      <c r="AB104" s="291"/>
      <c r="AC104" s="291"/>
      <c r="AD104" s="291"/>
      <c r="AE104" s="291"/>
      <c r="AF104" s="291"/>
      <c r="AG104" s="291"/>
      <c r="AH104" s="291"/>
      <c r="AI104" s="291"/>
      <c r="AJ104" s="291"/>
      <c r="AK104" s="291"/>
      <c r="AL104" s="291"/>
      <c r="AM104" s="291"/>
      <c r="AN104" s="291"/>
      <c r="AO104" s="291"/>
      <c r="AP104" s="291"/>
      <c r="AQ104" s="142"/>
      <c r="AR104" s="76"/>
      <c r="AS104" s="76"/>
      <c r="AT104" s="76"/>
      <c r="AU104" s="76"/>
      <c r="AV104" s="76"/>
      <c r="AW104" s="76"/>
      <c r="AX104" s="76"/>
    </row>
    <row r="105" spans="1:50" ht="12.75" customHeight="1">
      <c r="B105" s="689" t="s">
        <v>142</v>
      </c>
      <c r="C105" s="690"/>
      <c r="D105" s="690"/>
      <c r="E105" s="690"/>
      <c r="F105" s="690"/>
      <c r="G105" s="690"/>
      <c r="H105" s="690"/>
      <c r="I105" s="690"/>
      <c r="J105" s="690"/>
      <c r="K105" s="690"/>
      <c r="L105" s="690"/>
      <c r="M105" s="690"/>
      <c r="N105" s="690"/>
      <c r="O105" s="690"/>
      <c r="P105" s="690"/>
      <c r="Q105" s="690"/>
      <c r="R105" s="690"/>
      <c r="S105" s="690"/>
      <c r="T105" s="690"/>
      <c r="U105" s="690"/>
      <c r="V105" s="690"/>
      <c r="W105" s="690"/>
      <c r="X105" s="690"/>
      <c r="Y105" s="691"/>
      <c r="Z105" s="98"/>
      <c r="AA105" s="128"/>
      <c r="AQ105" s="129"/>
    </row>
    <row r="106" spans="1:50" ht="12.75" customHeight="1">
      <c r="B106" s="154"/>
      <c r="C106" s="160"/>
      <c r="D106" s="160"/>
      <c r="E106" s="160"/>
      <c r="F106" s="161"/>
      <c r="G106" s="161"/>
      <c r="H106" s="161"/>
      <c r="I106" s="161"/>
      <c r="J106" s="161"/>
      <c r="K106" s="161"/>
      <c r="L106" s="161"/>
      <c r="M106" s="161"/>
      <c r="N106" s="161"/>
      <c r="O106" s="161"/>
      <c r="P106" s="161"/>
      <c r="Q106" s="161"/>
      <c r="R106" s="161"/>
      <c r="S106" s="161"/>
      <c r="T106" s="161"/>
      <c r="U106" s="161"/>
      <c r="V106" s="161"/>
      <c r="W106" s="161"/>
      <c r="X106" s="161"/>
      <c r="Y106" s="164"/>
      <c r="Z106" s="98"/>
      <c r="AA106" s="128"/>
      <c r="AQ106" s="142"/>
    </row>
    <row r="107" spans="1:50" ht="12.75" customHeight="1">
      <c r="B107" s="165"/>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7"/>
      <c r="Z107" s="98"/>
      <c r="AA107" s="128"/>
      <c r="AQ107" s="142"/>
    </row>
    <row r="108" spans="1:50" ht="13.5" customHeight="1">
      <c r="B108" s="469" t="s">
        <v>48</v>
      </c>
      <c r="C108" s="470"/>
      <c r="D108" s="470"/>
      <c r="E108" s="470"/>
      <c r="F108" s="470"/>
      <c r="G108" s="470"/>
      <c r="H108" s="470"/>
      <c r="I108" s="470"/>
      <c r="J108" s="470"/>
      <c r="K108" s="470"/>
      <c r="L108" s="470"/>
      <c r="M108" s="470"/>
      <c r="N108" s="470"/>
      <c r="O108" s="470"/>
      <c r="P108" s="470"/>
      <c r="Q108" s="470"/>
      <c r="R108" s="470"/>
      <c r="S108" s="470"/>
      <c r="T108" s="470"/>
      <c r="U108" s="470"/>
      <c r="V108" s="470"/>
      <c r="W108" s="470"/>
      <c r="X108" s="470"/>
      <c r="Y108" s="470"/>
      <c r="Z108" s="98"/>
      <c r="AA108" s="634" t="s">
        <v>134</v>
      </c>
      <c r="AB108" s="635"/>
      <c r="AC108" s="635"/>
      <c r="AD108" s="635"/>
      <c r="AE108" s="635"/>
      <c r="AF108" s="635"/>
      <c r="AG108" s="635"/>
      <c r="AH108" s="635"/>
      <c r="AI108" s="635"/>
      <c r="AJ108" s="635"/>
      <c r="AK108" s="635"/>
      <c r="AL108" s="635"/>
      <c r="AM108" s="635"/>
      <c r="AN108" s="635"/>
      <c r="AO108" s="635"/>
      <c r="AP108" s="635"/>
      <c r="AQ108" s="636"/>
    </row>
    <row r="109" spans="1:50" ht="13.5" customHeight="1">
      <c r="B109" s="431" t="s">
        <v>331</v>
      </c>
      <c r="C109" s="432"/>
      <c r="D109" s="432"/>
      <c r="E109" s="432"/>
      <c r="F109" s="432"/>
      <c r="G109" s="432"/>
      <c r="H109" s="432"/>
      <c r="I109" s="432"/>
      <c r="J109" s="432"/>
      <c r="K109" s="432"/>
      <c r="L109" s="432"/>
      <c r="M109" s="432"/>
      <c r="N109" s="432"/>
      <c r="O109" s="432"/>
      <c r="P109" s="432"/>
      <c r="Q109" s="432"/>
      <c r="R109" s="432"/>
      <c r="S109" s="432"/>
      <c r="T109" s="432"/>
      <c r="U109" s="432"/>
      <c r="V109" s="432"/>
      <c r="W109" s="432"/>
      <c r="X109" s="432"/>
      <c r="Y109" s="432"/>
      <c r="Z109" s="98"/>
      <c r="AA109" s="393"/>
      <c r="AB109" s="394"/>
      <c r="AC109" s="394"/>
      <c r="AD109" s="394"/>
      <c r="AE109" s="394"/>
      <c r="AF109" s="394"/>
      <c r="AG109" s="394"/>
      <c r="AH109" s="394"/>
      <c r="AI109" s="394"/>
      <c r="AJ109" s="394"/>
      <c r="AK109" s="394"/>
      <c r="AL109" s="394"/>
      <c r="AM109" s="394"/>
      <c r="AN109" s="394"/>
      <c r="AO109" s="394"/>
      <c r="AP109" s="394"/>
      <c r="AQ109" s="395"/>
    </row>
    <row r="110" spans="1:50" ht="23.25" customHeight="1">
      <c r="B110" s="433"/>
      <c r="C110" s="434"/>
      <c r="D110" s="434"/>
      <c r="E110" s="434"/>
      <c r="F110" s="434"/>
      <c r="G110" s="434"/>
      <c r="H110" s="434"/>
      <c r="I110" s="434"/>
      <c r="J110" s="434"/>
      <c r="K110" s="434"/>
      <c r="L110" s="434"/>
      <c r="M110" s="434"/>
      <c r="N110" s="434"/>
      <c r="O110" s="434"/>
      <c r="P110" s="434"/>
      <c r="Q110" s="434"/>
      <c r="R110" s="434"/>
      <c r="S110" s="434"/>
      <c r="T110" s="434"/>
      <c r="U110" s="434"/>
      <c r="V110" s="434"/>
      <c r="W110" s="434"/>
      <c r="X110" s="434"/>
      <c r="Y110" s="434"/>
      <c r="Z110" s="98"/>
      <c r="AA110" s="393"/>
      <c r="AB110" s="394"/>
      <c r="AC110" s="394"/>
      <c r="AD110" s="394"/>
      <c r="AE110" s="394"/>
      <c r="AF110" s="394"/>
      <c r="AG110" s="394"/>
      <c r="AH110" s="394"/>
      <c r="AI110" s="394"/>
      <c r="AJ110" s="394"/>
      <c r="AK110" s="394"/>
      <c r="AL110" s="394"/>
      <c r="AM110" s="394"/>
      <c r="AN110" s="394"/>
      <c r="AO110" s="394"/>
      <c r="AP110" s="394"/>
      <c r="AQ110" s="395"/>
    </row>
    <row r="111" spans="1:50">
      <c r="B111" s="110"/>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90"/>
      <c r="AA111" s="637"/>
      <c r="AB111" s="638"/>
      <c r="AC111" s="638"/>
      <c r="AD111" s="638"/>
      <c r="AE111" s="638"/>
      <c r="AF111" s="638"/>
      <c r="AG111" s="638"/>
      <c r="AH111" s="638"/>
      <c r="AI111" s="638"/>
      <c r="AJ111" s="638"/>
      <c r="AK111" s="638"/>
      <c r="AL111" s="638"/>
      <c r="AM111" s="638"/>
      <c r="AN111" s="638"/>
      <c r="AO111" s="638"/>
      <c r="AP111" s="638"/>
      <c r="AQ111" s="639"/>
    </row>
    <row r="112" spans="1:50" s="17" customFormat="1">
      <c r="A112" s="16"/>
      <c r="B112" s="106" t="s">
        <v>38</v>
      </c>
      <c r="F112" s="47"/>
      <c r="G112" s="47"/>
      <c r="H112" s="47"/>
      <c r="I112" s="47"/>
      <c r="J112" s="47"/>
      <c r="K112" s="47"/>
      <c r="L112" s="47"/>
      <c r="M112" s="47"/>
      <c r="N112" s="47"/>
      <c r="O112" s="47"/>
      <c r="P112" s="47"/>
      <c r="Q112" s="47"/>
      <c r="R112" s="47"/>
      <c r="S112" s="47"/>
      <c r="T112" s="47"/>
      <c r="U112" s="47"/>
      <c r="V112" s="47"/>
      <c r="W112" s="47"/>
      <c r="X112" s="47"/>
      <c r="Y112" s="47"/>
      <c r="Z112" s="111"/>
      <c r="AA112" s="128"/>
      <c r="AB112" s="11"/>
      <c r="AC112" s="11"/>
      <c r="AD112" s="11"/>
      <c r="AE112" s="11"/>
      <c r="AF112" s="11"/>
      <c r="AG112" s="11"/>
      <c r="AH112" s="11"/>
      <c r="AI112" s="11"/>
      <c r="AJ112" s="11"/>
      <c r="AK112" s="11"/>
      <c r="AL112" s="11"/>
      <c r="AM112" s="11"/>
      <c r="AN112" s="11"/>
      <c r="AO112" s="11"/>
      <c r="AP112" s="11"/>
      <c r="AQ112" s="129"/>
    </row>
    <row r="113" spans="1:133">
      <c r="B113" s="556" t="s">
        <v>149</v>
      </c>
      <c r="C113" s="557"/>
      <c r="D113" s="557"/>
      <c r="E113" s="557"/>
      <c r="F113" s="557"/>
      <c r="G113" s="557"/>
      <c r="H113" s="557"/>
      <c r="I113" s="557"/>
      <c r="J113" s="557"/>
      <c r="K113" s="557"/>
      <c r="L113" s="557"/>
      <c r="M113" s="557"/>
      <c r="N113" s="557"/>
      <c r="O113" s="557"/>
      <c r="P113" s="557"/>
      <c r="Q113" s="557"/>
      <c r="R113" s="557"/>
      <c r="S113" s="557"/>
      <c r="T113" s="557"/>
      <c r="U113" s="557"/>
      <c r="V113" s="557"/>
      <c r="W113" s="557"/>
      <c r="X113" s="557"/>
      <c r="Y113" s="557"/>
      <c r="Z113" s="90"/>
      <c r="AA113" s="128"/>
      <c r="AQ113" s="142"/>
    </row>
    <row r="114" spans="1:133" ht="12.75" customHeight="1">
      <c r="B114" s="431" t="s">
        <v>332</v>
      </c>
      <c r="C114" s="432"/>
      <c r="D114" s="432"/>
      <c r="E114" s="432"/>
      <c r="F114" s="432"/>
      <c r="G114" s="432"/>
      <c r="H114" s="432"/>
      <c r="I114" s="432"/>
      <c r="J114" s="432"/>
      <c r="K114" s="432"/>
      <c r="L114" s="432"/>
      <c r="M114" s="432"/>
      <c r="N114" s="432"/>
      <c r="O114" s="432"/>
      <c r="P114" s="432"/>
      <c r="Q114" s="432"/>
      <c r="R114" s="432"/>
      <c r="S114" s="432"/>
      <c r="T114" s="432"/>
      <c r="U114" s="432"/>
      <c r="V114" s="432"/>
      <c r="W114" s="432"/>
      <c r="X114" s="432"/>
      <c r="Y114" s="432"/>
      <c r="Z114" s="98"/>
      <c r="AA114" s="128"/>
      <c r="AQ114" s="129"/>
    </row>
    <row r="115" spans="1:133" ht="12.75" customHeight="1">
      <c r="B115" s="433"/>
      <c r="C115" s="434"/>
      <c r="D115" s="434"/>
      <c r="E115" s="434"/>
      <c r="F115" s="434"/>
      <c r="G115" s="434"/>
      <c r="H115" s="434"/>
      <c r="I115" s="434"/>
      <c r="J115" s="434"/>
      <c r="K115" s="434"/>
      <c r="L115" s="434"/>
      <c r="M115" s="434"/>
      <c r="N115" s="434"/>
      <c r="O115" s="434"/>
      <c r="P115" s="434"/>
      <c r="Q115" s="434"/>
      <c r="R115" s="434"/>
      <c r="S115" s="434"/>
      <c r="T115" s="434"/>
      <c r="U115" s="434"/>
      <c r="V115" s="434"/>
      <c r="W115" s="434"/>
      <c r="X115" s="434"/>
      <c r="Y115" s="434"/>
      <c r="Z115" s="98"/>
      <c r="AA115" s="128"/>
      <c r="AB115" s="11" t="s">
        <v>137</v>
      </c>
      <c r="AI115" s="11" t="s">
        <v>137</v>
      </c>
      <c r="AQ115" s="142"/>
    </row>
    <row r="116" spans="1:133" s="17" customFormat="1" ht="12.75" customHeight="1">
      <c r="A116" s="16"/>
      <c r="B116" s="112"/>
      <c r="C116" s="38"/>
      <c r="D116" s="38"/>
      <c r="E116" s="38"/>
      <c r="F116" s="38"/>
      <c r="G116" s="38"/>
      <c r="H116" s="57"/>
      <c r="I116" s="57"/>
      <c r="J116" s="58"/>
      <c r="K116" s="58"/>
      <c r="L116" s="57"/>
      <c r="M116" s="57"/>
      <c r="N116" s="38"/>
      <c r="O116" s="38"/>
      <c r="P116" s="59"/>
      <c r="Q116" s="59"/>
      <c r="R116" s="38"/>
      <c r="S116" s="38"/>
      <c r="T116" s="38"/>
      <c r="U116" s="38"/>
      <c r="V116" s="38"/>
      <c r="W116" s="38"/>
      <c r="X116" s="59"/>
      <c r="Y116" s="59"/>
      <c r="Z116" s="113"/>
      <c r="AA116" s="128"/>
      <c r="AB116" s="296" t="s">
        <v>340</v>
      </c>
      <c r="AC116" s="297"/>
      <c r="AD116" s="297"/>
      <c r="AE116" s="297"/>
      <c r="AF116" s="297"/>
      <c r="AG116" s="297"/>
      <c r="AH116" s="297"/>
      <c r="AI116" s="297" t="s">
        <v>349</v>
      </c>
      <c r="AJ116" s="297"/>
      <c r="AK116" s="297"/>
      <c r="AL116" s="297"/>
      <c r="AM116" s="297"/>
      <c r="AN116" s="297"/>
      <c r="AO116" s="298"/>
      <c r="AP116" s="11"/>
      <c r="AQ116" s="129"/>
    </row>
    <row r="117" spans="1:133" s="17" customFormat="1" ht="12.75" customHeight="1">
      <c r="A117" s="16"/>
      <c r="B117" s="96" t="s">
        <v>16</v>
      </c>
      <c r="C117" s="31" t="s">
        <v>77</v>
      </c>
      <c r="D117" s="32"/>
      <c r="E117" s="32"/>
      <c r="F117" s="32"/>
      <c r="G117" s="32"/>
      <c r="H117" s="32"/>
      <c r="I117" s="31"/>
      <c r="J117" s="32"/>
      <c r="K117" s="32"/>
      <c r="L117" s="32"/>
      <c r="M117" s="32"/>
      <c r="N117" s="32"/>
      <c r="O117" s="32"/>
      <c r="P117" s="32"/>
      <c r="Q117" s="32"/>
      <c r="R117" s="32"/>
      <c r="S117" s="32"/>
      <c r="T117" s="32"/>
      <c r="U117" s="32"/>
      <c r="V117" s="32"/>
      <c r="W117" s="32"/>
      <c r="X117" s="32"/>
      <c r="Y117" s="32"/>
      <c r="Z117" s="93"/>
      <c r="AA117" s="128"/>
      <c r="AB117" s="296"/>
      <c r="AC117" s="297"/>
      <c r="AD117" s="297"/>
      <c r="AE117" s="297"/>
      <c r="AF117" s="297"/>
      <c r="AG117" s="297"/>
      <c r="AH117" s="297"/>
      <c r="AI117" s="297"/>
      <c r="AJ117" s="297"/>
      <c r="AK117" s="297"/>
      <c r="AL117" s="297"/>
      <c r="AM117" s="297"/>
      <c r="AN117" s="297"/>
      <c r="AO117" s="298"/>
      <c r="AP117" s="11"/>
      <c r="AQ117" s="142"/>
    </row>
    <row r="118" spans="1:133" s="17" customFormat="1" ht="12.75" customHeight="1">
      <c r="A118" s="16"/>
      <c r="B118" s="151"/>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11"/>
      <c r="AA118" s="128"/>
      <c r="AP118" s="11"/>
      <c r="AQ118" s="142"/>
    </row>
    <row r="119" spans="1:133" s="17" customFormat="1" ht="12.75" customHeight="1">
      <c r="A119" s="16"/>
      <c r="B119" s="153"/>
      <c r="C119" s="11"/>
      <c r="D119" s="11"/>
      <c r="E119" s="11"/>
      <c r="F119" s="11"/>
      <c r="G119" s="11"/>
      <c r="H119" s="11"/>
      <c r="I119" s="11"/>
      <c r="J119" s="11"/>
      <c r="K119" s="11"/>
      <c r="L119" s="11"/>
      <c r="M119" s="11"/>
      <c r="N119" s="11"/>
      <c r="O119" s="11"/>
      <c r="P119" s="11"/>
      <c r="Q119" s="11"/>
      <c r="R119" s="11"/>
      <c r="S119" s="11"/>
      <c r="T119" s="11"/>
      <c r="U119" s="11"/>
      <c r="V119" s="11"/>
      <c r="W119" s="11"/>
      <c r="X119" s="11"/>
      <c r="Y119" s="10"/>
      <c r="Z119" s="111"/>
      <c r="AA119" s="128"/>
      <c r="AP119" s="11"/>
      <c r="AQ119" s="142"/>
    </row>
    <row r="120" spans="1:133" s="17" customFormat="1">
      <c r="A120" s="16"/>
      <c r="B120" s="456"/>
      <c r="C120" s="457"/>
      <c r="D120" s="457"/>
      <c r="E120" s="471" t="s">
        <v>138</v>
      </c>
      <c r="F120" s="472"/>
      <c r="G120" s="472"/>
      <c r="H120" s="472"/>
      <c r="I120" s="472"/>
      <c r="J120" s="472"/>
      <c r="K120" s="472"/>
      <c r="L120" s="472"/>
      <c r="M120" s="473"/>
      <c r="N120" s="474" t="s">
        <v>139</v>
      </c>
      <c r="O120" s="474"/>
      <c r="P120" s="474"/>
      <c r="Q120" s="474"/>
      <c r="R120" s="474"/>
      <c r="S120" s="474"/>
      <c r="T120" s="474"/>
      <c r="U120" s="474"/>
      <c r="V120" s="299" t="s">
        <v>127</v>
      </c>
      <c r="W120" s="454"/>
      <c r="X120" s="299" t="s">
        <v>128</v>
      </c>
      <c r="Y120" s="300"/>
      <c r="Z120" s="111"/>
      <c r="AA120" s="128"/>
      <c r="AB120" s="647" t="s">
        <v>143</v>
      </c>
      <c r="AC120" s="648"/>
      <c r="AD120" s="648"/>
      <c r="AE120" s="648"/>
      <c r="AF120" s="648"/>
      <c r="AG120" s="648"/>
      <c r="AH120" s="649"/>
      <c r="AI120" s="650" t="s">
        <v>244</v>
      </c>
      <c r="AJ120" s="651"/>
      <c r="AK120" s="651"/>
      <c r="AL120" s="651"/>
      <c r="AM120" s="651"/>
      <c r="AN120" s="651"/>
      <c r="AO120" s="652"/>
      <c r="AP120" s="168"/>
      <c r="AQ120" s="142"/>
    </row>
    <row r="121" spans="1:133" s="17" customFormat="1" ht="30.75" customHeight="1">
      <c r="A121" s="16"/>
      <c r="B121" s="458" t="s">
        <v>112</v>
      </c>
      <c r="C121" s="459"/>
      <c r="D121" s="460"/>
      <c r="E121" s="318" t="s">
        <v>350</v>
      </c>
      <c r="F121" s="319"/>
      <c r="G121" s="319"/>
      <c r="H121" s="319"/>
      <c r="I121" s="319"/>
      <c r="J121" s="319"/>
      <c r="K121" s="319"/>
      <c r="L121" s="319"/>
      <c r="M121" s="320"/>
      <c r="N121" s="318" t="s">
        <v>351</v>
      </c>
      <c r="O121" s="319"/>
      <c r="P121" s="319"/>
      <c r="Q121" s="319"/>
      <c r="R121" s="319"/>
      <c r="S121" s="319"/>
      <c r="T121" s="319"/>
      <c r="U121" s="320"/>
      <c r="V121" s="653">
        <v>1</v>
      </c>
      <c r="W121" s="654"/>
      <c r="X121" s="659">
        <v>45691</v>
      </c>
      <c r="Y121" s="660"/>
      <c r="Z121" s="111"/>
      <c r="AA121" s="128"/>
      <c r="AB121" s="169" t="s">
        <v>1</v>
      </c>
      <c r="AC121" s="311" t="s">
        <v>299</v>
      </c>
      <c r="AD121" s="311"/>
      <c r="AE121" s="311"/>
      <c r="AF121" s="311"/>
      <c r="AG121" s="311"/>
      <c r="AH121" s="311"/>
      <c r="AI121" s="169" t="s">
        <v>1</v>
      </c>
      <c r="AJ121" s="311" t="s">
        <v>301</v>
      </c>
      <c r="AK121" s="311"/>
      <c r="AL121" s="311"/>
      <c r="AM121" s="311"/>
      <c r="AN121" s="311"/>
      <c r="AO121" s="311"/>
      <c r="AP121" s="11"/>
      <c r="AQ121" s="142"/>
    </row>
    <row r="122" spans="1:133" s="17" customFormat="1" ht="14.25" customHeight="1">
      <c r="A122" s="16"/>
      <c r="B122" s="461"/>
      <c r="C122" s="462"/>
      <c r="D122" s="463"/>
      <c r="E122" s="321"/>
      <c r="F122" s="322"/>
      <c r="G122" s="322"/>
      <c r="H122" s="322"/>
      <c r="I122" s="322"/>
      <c r="J122" s="322"/>
      <c r="K122" s="322"/>
      <c r="L122" s="322"/>
      <c r="M122" s="323"/>
      <c r="N122" s="321"/>
      <c r="O122" s="322"/>
      <c r="P122" s="322"/>
      <c r="Q122" s="322"/>
      <c r="R122" s="322"/>
      <c r="S122" s="322"/>
      <c r="T122" s="322"/>
      <c r="U122" s="323"/>
      <c r="V122" s="655"/>
      <c r="W122" s="656"/>
      <c r="X122" s="661"/>
      <c r="Y122" s="662"/>
      <c r="Z122" s="111"/>
      <c r="AA122" s="128"/>
      <c r="AB122" s="171"/>
      <c r="AC122" s="312" t="s">
        <v>300</v>
      </c>
      <c r="AD122" s="312"/>
      <c r="AE122" s="312"/>
      <c r="AF122" s="312"/>
      <c r="AG122" s="312"/>
      <c r="AH122" s="312"/>
      <c r="AI122" s="171"/>
      <c r="AJ122" s="312" t="s">
        <v>341</v>
      </c>
      <c r="AK122" s="312"/>
      <c r="AL122" s="312"/>
      <c r="AM122" s="312"/>
      <c r="AN122" s="312"/>
      <c r="AO122" s="312"/>
      <c r="AP122" s="11"/>
      <c r="AQ122" s="142"/>
    </row>
    <row r="123" spans="1:133" s="17" customFormat="1" ht="12.75" customHeight="1">
      <c r="A123" s="16"/>
      <c r="B123" s="461"/>
      <c r="C123" s="462"/>
      <c r="D123" s="463"/>
      <c r="E123" s="321"/>
      <c r="F123" s="322"/>
      <c r="G123" s="322"/>
      <c r="H123" s="322"/>
      <c r="I123" s="322"/>
      <c r="J123" s="322"/>
      <c r="K123" s="322"/>
      <c r="L123" s="322"/>
      <c r="M123" s="323"/>
      <c r="N123" s="321"/>
      <c r="O123" s="322"/>
      <c r="P123" s="322"/>
      <c r="Q123" s="322"/>
      <c r="R123" s="322"/>
      <c r="S123" s="322"/>
      <c r="T123" s="322"/>
      <c r="U123" s="323"/>
      <c r="V123" s="655"/>
      <c r="W123" s="656"/>
      <c r="X123" s="661"/>
      <c r="Y123" s="662"/>
      <c r="Z123" s="111"/>
      <c r="AA123" s="128"/>
      <c r="AB123" s="169" t="s">
        <v>2</v>
      </c>
      <c r="AC123" s="311" t="s">
        <v>333</v>
      </c>
      <c r="AD123" s="311"/>
      <c r="AE123" s="311"/>
      <c r="AF123" s="311"/>
      <c r="AG123" s="311"/>
      <c r="AH123" s="311"/>
      <c r="AI123" s="169" t="s">
        <v>2</v>
      </c>
      <c r="AJ123" s="311" t="s">
        <v>342</v>
      </c>
      <c r="AK123" s="311"/>
      <c r="AL123" s="311"/>
      <c r="AM123" s="311"/>
      <c r="AN123" s="311"/>
      <c r="AO123" s="311"/>
      <c r="AP123" s="11"/>
      <c r="AQ123" s="142"/>
    </row>
    <row r="124" spans="1:133" s="17" customFormat="1" ht="28.5" customHeight="1">
      <c r="A124" s="16"/>
      <c r="B124" s="461"/>
      <c r="C124" s="462"/>
      <c r="D124" s="463"/>
      <c r="E124" s="321"/>
      <c r="F124" s="322"/>
      <c r="G124" s="322"/>
      <c r="H124" s="322"/>
      <c r="I124" s="322"/>
      <c r="J124" s="322"/>
      <c r="K124" s="322"/>
      <c r="L124" s="322"/>
      <c r="M124" s="323"/>
      <c r="N124" s="321"/>
      <c r="O124" s="322"/>
      <c r="P124" s="322"/>
      <c r="Q124" s="322"/>
      <c r="R124" s="322"/>
      <c r="S124" s="322"/>
      <c r="T124" s="322"/>
      <c r="U124" s="323"/>
      <c r="V124" s="655"/>
      <c r="W124" s="656"/>
      <c r="X124" s="661"/>
      <c r="Y124" s="662"/>
      <c r="Z124" s="111"/>
      <c r="AA124" s="128"/>
      <c r="AB124" s="171"/>
      <c r="AC124" s="312" t="s">
        <v>335</v>
      </c>
      <c r="AD124" s="312"/>
      <c r="AE124" s="312"/>
      <c r="AF124" s="312"/>
      <c r="AG124" s="312"/>
      <c r="AH124" s="312"/>
      <c r="AI124" s="171"/>
      <c r="AJ124" s="312" t="s">
        <v>343</v>
      </c>
      <c r="AK124" s="312"/>
      <c r="AL124" s="312"/>
      <c r="AM124" s="312"/>
      <c r="AN124" s="312"/>
      <c r="AO124" s="312"/>
      <c r="AP124" s="11"/>
      <c r="AQ124" s="142"/>
    </row>
    <row r="125" spans="1:133" s="26" customFormat="1" ht="35.25" customHeight="1">
      <c r="A125" s="25"/>
      <c r="B125" s="464"/>
      <c r="C125" s="465"/>
      <c r="D125" s="466"/>
      <c r="E125" s="324"/>
      <c r="F125" s="325"/>
      <c r="G125" s="325"/>
      <c r="H125" s="325"/>
      <c r="I125" s="325"/>
      <c r="J125" s="325"/>
      <c r="K125" s="325"/>
      <c r="L125" s="325"/>
      <c r="M125" s="326"/>
      <c r="N125" s="324"/>
      <c r="O125" s="325"/>
      <c r="P125" s="325"/>
      <c r="Q125" s="325"/>
      <c r="R125" s="325"/>
      <c r="S125" s="325"/>
      <c r="T125" s="325"/>
      <c r="U125" s="326"/>
      <c r="V125" s="657"/>
      <c r="W125" s="658"/>
      <c r="X125" s="663"/>
      <c r="Y125" s="664"/>
      <c r="Z125" s="114"/>
      <c r="AA125" s="128"/>
      <c r="AB125" s="169" t="s">
        <v>3</v>
      </c>
      <c r="AC125" s="311" t="s">
        <v>334</v>
      </c>
      <c r="AD125" s="311"/>
      <c r="AE125" s="311"/>
      <c r="AF125" s="311"/>
      <c r="AG125" s="311"/>
      <c r="AH125" s="311"/>
      <c r="AI125" s="169" t="s">
        <v>3</v>
      </c>
      <c r="AJ125" s="311" t="s">
        <v>344</v>
      </c>
      <c r="AK125" s="311"/>
      <c r="AL125" s="311"/>
      <c r="AM125" s="311"/>
      <c r="AN125" s="311"/>
      <c r="AO125" s="311"/>
      <c r="AP125" s="11"/>
      <c r="AQ125" s="129"/>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row>
    <row r="126" spans="1:133" ht="49.5" customHeight="1">
      <c r="B126" s="461" t="s">
        <v>240</v>
      </c>
      <c r="C126" s="462"/>
      <c r="D126" s="463"/>
      <c r="E126" s="318" t="s">
        <v>352</v>
      </c>
      <c r="F126" s="319"/>
      <c r="G126" s="319"/>
      <c r="H126" s="319"/>
      <c r="I126" s="319"/>
      <c r="J126" s="319"/>
      <c r="K126" s="319"/>
      <c r="L126" s="319"/>
      <c r="M126" s="320"/>
      <c r="N126" s="318" t="s">
        <v>353</v>
      </c>
      <c r="O126" s="319"/>
      <c r="P126" s="319"/>
      <c r="Q126" s="319"/>
      <c r="R126" s="319"/>
      <c r="S126" s="319"/>
      <c r="T126" s="319"/>
      <c r="U126" s="320"/>
      <c r="V126" s="305">
        <v>1</v>
      </c>
      <c r="W126" s="306"/>
      <c r="X126" s="692">
        <v>45664</v>
      </c>
      <c r="Y126" s="693"/>
      <c r="Z126" s="108"/>
      <c r="AA126" s="128"/>
      <c r="AB126" s="171"/>
      <c r="AC126" s="312" t="s">
        <v>336</v>
      </c>
      <c r="AD126" s="312"/>
      <c r="AE126" s="312"/>
      <c r="AF126" s="312"/>
      <c r="AG126" s="312"/>
      <c r="AH126" s="312"/>
      <c r="AI126" s="171"/>
      <c r="AJ126" s="312" t="s">
        <v>345</v>
      </c>
      <c r="AK126" s="312"/>
      <c r="AL126" s="312"/>
      <c r="AM126" s="312"/>
      <c r="AN126" s="312"/>
      <c r="AO126" s="312"/>
      <c r="AQ126" s="142"/>
    </row>
    <row r="127" spans="1:133" s="27" customFormat="1" ht="12.95" customHeight="1">
      <c r="A127" s="25"/>
      <c r="B127" s="461"/>
      <c r="C127" s="462"/>
      <c r="D127" s="463"/>
      <c r="E127" s="321"/>
      <c r="F127" s="322"/>
      <c r="G127" s="322"/>
      <c r="H127" s="322"/>
      <c r="I127" s="322"/>
      <c r="J127" s="322"/>
      <c r="K127" s="322"/>
      <c r="L127" s="322"/>
      <c r="M127" s="323"/>
      <c r="N127" s="321"/>
      <c r="O127" s="322"/>
      <c r="P127" s="322"/>
      <c r="Q127" s="322"/>
      <c r="R127" s="322"/>
      <c r="S127" s="322"/>
      <c r="T127" s="322"/>
      <c r="U127" s="323"/>
      <c r="V127" s="307"/>
      <c r="W127" s="308"/>
      <c r="X127" s="301"/>
      <c r="Y127" s="302"/>
      <c r="Z127" s="108"/>
      <c r="AA127" s="128"/>
      <c r="AB127" s="169" t="s">
        <v>4</v>
      </c>
      <c r="AC127" s="327" t="s">
        <v>337</v>
      </c>
      <c r="AD127" s="328"/>
      <c r="AE127" s="328"/>
      <c r="AF127" s="328"/>
      <c r="AG127" s="328"/>
      <c r="AH127" s="329"/>
      <c r="AI127" s="169" t="s">
        <v>4</v>
      </c>
      <c r="AJ127" s="327" t="s">
        <v>347</v>
      </c>
      <c r="AK127" s="328"/>
      <c r="AL127" s="328"/>
      <c r="AM127" s="328"/>
      <c r="AN127" s="328"/>
      <c r="AO127" s="329"/>
      <c r="AP127" s="11"/>
      <c r="AQ127" s="129"/>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row>
    <row r="128" spans="1:133" s="27" customFormat="1" ht="32.25" customHeight="1">
      <c r="A128" s="25"/>
      <c r="B128" s="461"/>
      <c r="C128" s="462"/>
      <c r="D128" s="463"/>
      <c r="E128" s="644"/>
      <c r="F128" s="645"/>
      <c r="G128" s="645"/>
      <c r="H128" s="645"/>
      <c r="I128" s="645"/>
      <c r="J128" s="645"/>
      <c r="K128" s="645"/>
      <c r="L128" s="645"/>
      <c r="M128" s="646"/>
      <c r="N128" s="321"/>
      <c r="O128" s="322"/>
      <c r="P128" s="322"/>
      <c r="Q128" s="322"/>
      <c r="R128" s="322"/>
      <c r="S128" s="322"/>
      <c r="T128" s="322"/>
      <c r="U128" s="323"/>
      <c r="V128" s="307"/>
      <c r="W128" s="308"/>
      <c r="X128" s="301"/>
      <c r="Y128" s="302"/>
      <c r="Z128" s="108"/>
      <c r="AA128" s="128"/>
      <c r="AB128" s="171"/>
      <c r="AC128" s="330" t="s">
        <v>338</v>
      </c>
      <c r="AD128" s="331"/>
      <c r="AE128" s="331"/>
      <c r="AF128" s="331"/>
      <c r="AG128" s="331"/>
      <c r="AH128" s="332"/>
      <c r="AI128" s="171"/>
      <c r="AJ128" s="330" t="s">
        <v>348</v>
      </c>
      <c r="AK128" s="331"/>
      <c r="AL128" s="331"/>
      <c r="AM128" s="331"/>
      <c r="AN128" s="331"/>
      <c r="AO128" s="332"/>
      <c r="AP128" s="11"/>
      <c r="AQ128" s="142"/>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row>
    <row r="129" spans="1:133" s="27" customFormat="1" ht="44.25" customHeight="1">
      <c r="A129" s="25"/>
      <c r="B129" s="461"/>
      <c r="C129" s="462"/>
      <c r="D129" s="463"/>
      <c r="E129" s="301"/>
      <c r="F129" s="697"/>
      <c r="G129" s="697"/>
      <c r="H129" s="697"/>
      <c r="I129" s="697"/>
      <c r="J129" s="697"/>
      <c r="K129" s="697"/>
      <c r="L129" s="697"/>
      <c r="M129" s="697"/>
      <c r="N129" s="321"/>
      <c r="O129" s="322"/>
      <c r="P129" s="322"/>
      <c r="Q129" s="322"/>
      <c r="R129" s="322"/>
      <c r="S129" s="322"/>
      <c r="T129" s="322"/>
      <c r="U129" s="323"/>
      <c r="V129" s="309"/>
      <c r="W129" s="310"/>
      <c r="X129" s="301"/>
      <c r="Y129" s="302"/>
      <c r="Z129" s="108"/>
      <c r="AA129" s="128"/>
      <c r="AB129" s="170" t="s">
        <v>5</v>
      </c>
      <c r="AC129" s="333" t="s">
        <v>346</v>
      </c>
      <c r="AD129" s="334"/>
      <c r="AE129" s="334"/>
      <c r="AF129" s="334"/>
      <c r="AG129" s="334"/>
      <c r="AH129" s="335"/>
      <c r="AI129" s="170" t="s">
        <v>5</v>
      </c>
      <c r="AJ129" s="333" t="s">
        <v>135</v>
      </c>
      <c r="AK129" s="334"/>
      <c r="AL129" s="334"/>
      <c r="AM129" s="334"/>
      <c r="AN129" s="334"/>
      <c r="AO129" s="335"/>
      <c r="AP129" s="11"/>
      <c r="AQ129" s="129"/>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row>
    <row r="130" spans="1:133" s="27" customFormat="1" ht="21" customHeight="1">
      <c r="A130" s="25"/>
      <c r="B130" s="464"/>
      <c r="C130" s="465"/>
      <c r="D130" s="466"/>
      <c r="E130" s="303"/>
      <c r="F130" s="698"/>
      <c r="G130" s="698"/>
      <c r="H130" s="698"/>
      <c r="I130" s="698"/>
      <c r="J130" s="698"/>
      <c r="K130" s="698"/>
      <c r="L130" s="698"/>
      <c r="M130" s="698"/>
      <c r="N130" s="324"/>
      <c r="O130" s="325"/>
      <c r="P130" s="325"/>
      <c r="Q130" s="325"/>
      <c r="R130" s="325"/>
      <c r="S130" s="325"/>
      <c r="T130" s="325"/>
      <c r="U130" s="326"/>
      <c r="V130" s="303"/>
      <c r="W130" s="317"/>
      <c r="X130" s="303"/>
      <c r="Y130" s="304"/>
      <c r="Z130" s="108"/>
      <c r="AA130" s="128"/>
      <c r="AB130" s="171"/>
      <c r="AC130" s="330" t="s">
        <v>339</v>
      </c>
      <c r="AD130" s="331"/>
      <c r="AE130" s="331"/>
      <c r="AF130" s="331"/>
      <c r="AG130" s="331"/>
      <c r="AH130" s="332"/>
      <c r="AI130" s="171"/>
      <c r="AJ130" s="330" t="s">
        <v>136</v>
      </c>
      <c r="AK130" s="331"/>
      <c r="AL130" s="331"/>
      <c r="AM130" s="331"/>
      <c r="AN130" s="331"/>
      <c r="AO130" s="332"/>
      <c r="AP130" s="11"/>
      <c r="AQ130" s="142"/>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row>
    <row r="131" spans="1:133">
      <c r="B131" s="153"/>
      <c r="Z131" s="108"/>
      <c r="AA131" s="128"/>
      <c r="AQ131" s="129"/>
    </row>
    <row r="132" spans="1:133" ht="12.75" customHeight="1">
      <c r="B132" s="60"/>
      <c r="C132" s="38"/>
      <c r="D132" s="38"/>
      <c r="E132" s="38"/>
      <c r="F132" s="38"/>
      <c r="G132" s="61"/>
      <c r="H132" s="61"/>
      <c r="I132" s="61"/>
      <c r="J132" s="61"/>
      <c r="K132" s="61"/>
      <c r="L132" s="61"/>
      <c r="M132" s="62"/>
      <c r="N132" s="62"/>
      <c r="O132" s="63"/>
      <c r="P132" s="64"/>
      <c r="Q132" s="61"/>
      <c r="R132" s="61"/>
      <c r="S132" s="61"/>
      <c r="T132" s="61"/>
      <c r="U132" s="63"/>
      <c r="V132" s="65"/>
      <c r="W132" s="61"/>
      <c r="X132" s="61"/>
      <c r="Y132" s="61"/>
      <c r="Z132" s="115"/>
      <c r="AA132" s="128"/>
      <c r="AB132" s="11" t="s">
        <v>137</v>
      </c>
      <c r="AI132" s="11" t="s">
        <v>137</v>
      </c>
      <c r="AQ132" s="142"/>
    </row>
    <row r="133" spans="1:133" s="17" customFormat="1" ht="12.75" customHeight="1">
      <c r="A133" s="16"/>
      <c r="B133" s="214" t="s">
        <v>17</v>
      </c>
      <c r="C133" s="215" t="s">
        <v>39</v>
      </c>
      <c r="D133" s="216"/>
      <c r="E133" s="216"/>
      <c r="F133" s="216"/>
      <c r="G133" s="216"/>
      <c r="H133" s="216"/>
      <c r="I133" s="216"/>
      <c r="J133" s="216"/>
      <c r="K133" s="216"/>
      <c r="L133" s="216"/>
      <c r="M133" s="216"/>
      <c r="N133" s="216"/>
      <c r="O133" s="217"/>
      <c r="P133" s="218"/>
      <c r="Q133" s="218"/>
      <c r="R133" s="216"/>
      <c r="S133" s="217"/>
      <c r="T133" s="218"/>
      <c r="U133" s="218"/>
      <c r="V133" s="218"/>
      <c r="W133" s="218"/>
      <c r="X133" s="218"/>
      <c r="Y133" s="219"/>
      <c r="Z133" s="93"/>
      <c r="AA133" s="128"/>
      <c r="AB133" s="296"/>
      <c r="AC133" s="297"/>
      <c r="AD133" s="297"/>
      <c r="AE133" s="297"/>
      <c r="AF133" s="297"/>
      <c r="AG133" s="297"/>
      <c r="AH133" s="297"/>
      <c r="AI133" s="297"/>
      <c r="AJ133" s="297"/>
      <c r="AK133" s="297"/>
      <c r="AL133" s="297"/>
      <c r="AM133" s="297"/>
      <c r="AN133" s="297"/>
      <c r="AO133" s="298"/>
      <c r="AP133" s="11"/>
      <c r="AQ133" s="129"/>
    </row>
    <row r="134" spans="1:133" s="17" customFormat="1" ht="12.75" customHeight="1">
      <c r="A134" s="16"/>
      <c r="B134" s="106"/>
      <c r="C134" s="158"/>
      <c r="O134" s="162"/>
      <c r="P134" s="163"/>
      <c r="Q134" s="163"/>
      <c r="S134" s="162"/>
      <c r="T134" s="163"/>
      <c r="U134" s="163"/>
      <c r="V134" s="163"/>
      <c r="W134" s="163"/>
      <c r="X134" s="163"/>
      <c r="Y134" s="163"/>
      <c r="Z134" s="111"/>
      <c r="AA134" s="128"/>
      <c r="AB134" s="296"/>
      <c r="AC134" s="297"/>
      <c r="AD134" s="297"/>
      <c r="AE134" s="297"/>
      <c r="AF134" s="297"/>
      <c r="AG134" s="297"/>
      <c r="AH134" s="297"/>
      <c r="AI134" s="297"/>
      <c r="AJ134" s="297"/>
      <c r="AK134" s="297"/>
      <c r="AL134" s="297"/>
      <c r="AM134" s="297"/>
      <c r="AN134" s="297"/>
      <c r="AO134" s="298"/>
      <c r="AP134" s="11"/>
      <c r="AQ134" s="129"/>
    </row>
    <row r="135" spans="1:133" s="17" customFormat="1" ht="12.75" customHeight="1">
      <c r="A135" s="16"/>
      <c r="B135" s="106"/>
      <c r="C135" s="158"/>
      <c r="O135" s="162"/>
      <c r="P135" s="163"/>
      <c r="Q135" s="163"/>
      <c r="S135" s="162"/>
      <c r="T135" s="163"/>
      <c r="U135" s="163"/>
      <c r="V135" s="163"/>
      <c r="W135" s="163"/>
      <c r="X135" s="163"/>
      <c r="Y135" s="163"/>
      <c r="Z135" s="111"/>
      <c r="AA135" s="128"/>
      <c r="AP135" s="11"/>
      <c r="AQ135" s="129"/>
    </row>
    <row r="136" spans="1:133">
      <c r="B136" s="456"/>
      <c r="C136" s="457"/>
      <c r="D136" s="457"/>
      <c r="E136" s="471" t="s">
        <v>138</v>
      </c>
      <c r="F136" s="472"/>
      <c r="G136" s="472"/>
      <c r="H136" s="472"/>
      <c r="I136" s="472"/>
      <c r="J136" s="472"/>
      <c r="K136" s="472"/>
      <c r="L136" s="471" t="s">
        <v>139</v>
      </c>
      <c r="M136" s="472"/>
      <c r="N136" s="472"/>
      <c r="O136" s="472"/>
      <c r="P136" s="472"/>
      <c r="Q136" s="472"/>
      <c r="R136" s="472"/>
      <c r="S136" s="473"/>
      <c r="T136" s="299" t="s">
        <v>129</v>
      </c>
      <c r="U136" s="338"/>
      <c r="V136" s="299" t="s">
        <v>45</v>
      </c>
      <c r="W136" s="338"/>
      <c r="X136" s="299" t="s">
        <v>130</v>
      </c>
      <c r="Y136" s="300"/>
      <c r="Z136" s="90"/>
      <c r="AA136" s="128"/>
      <c r="AB136" s="647" t="s">
        <v>143</v>
      </c>
      <c r="AC136" s="648"/>
      <c r="AD136" s="648"/>
      <c r="AE136" s="648"/>
      <c r="AF136" s="648"/>
      <c r="AG136" s="648"/>
      <c r="AH136" s="649"/>
      <c r="AI136" s="650" t="s">
        <v>244</v>
      </c>
      <c r="AJ136" s="651"/>
      <c r="AK136" s="651"/>
      <c r="AL136" s="651"/>
      <c r="AM136" s="651"/>
      <c r="AN136" s="651"/>
      <c r="AO136" s="652"/>
      <c r="AP136" s="168"/>
      <c r="AQ136" s="142"/>
    </row>
    <row r="137" spans="1:133" ht="65.25" customHeight="1">
      <c r="B137" s="458" t="s">
        <v>112</v>
      </c>
      <c r="C137" s="459"/>
      <c r="D137" s="460"/>
      <c r="E137" s="318" t="s">
        <v>366</v>
      </c>
      <c r="F137" s="319"/>
      <c r="G137" s="319"/>
      <c r="H137" s="319"/>
      <c r="I137" s="319"/>
      <c r="J137" s="319"/>
      <c r="K137" s="320"/>
      <c r="L137" s="318" t="s">
        <v>367</v>
      </c>
      <c r="M137" s="319"/>
      <c r="N137" s="319"/>
      <c r="O137" s="319"/>
      <c r="P137" s="319"/>
      <c r="Q137" s="319"/>
      <c r="R137" s="319"/>
      <c r="S137" s="320"/>
      <c r="T137" s="339"/>
      <c r="U137" s="340"/>
      <c r="V137" s="339" t="s">
        <v>281</v>
      </c>
      <c r="W137" s="340"/>
      <c r="X137" s="467">
        <v>45691</v>
      </c>
      <c r="Y137" s="468"/>
      <c r="Z137" s="90"/>
      <c r="AA137" s="128"/>
      <c r="AB137" s="169" t="s">
        <v>1</v>
      </c>
      <c r="AC137" s="311"/>
      <c r="AD137" s="311"/>
      <c r="AE137" s="311"/>
      <c r="AF137" s="311"/>
      <c r="AG137" s="311"/>
      <c r="AH137" s="311"/>
      <c r="AI137" s="169" t="s">
        <v>1</v>
      </c>
      <c r="AJ137" s="311"/>
      <c r="AK137" s="311"/>
      <c r="AL137" s="311"/>
      <c r="AM137" s="311"/>
      <c r="AN137" s="311"/>
      <c r="AO137" s="311"/>
      <c r="AQ137" s="142"/>
    </row>
    <row r="138" spans="1:133" ht="12.75" customHeight="1">
      <c r="B138" s="461"/>
      <c r="C138" s="462"/>
      <c r="D138" s="463"/>
      <c r="E138" s="321"/>
      <c r="F138" s="322"/>
      <c r="G138" s="322"/>
      <c r="H138" s="322"/>
      <c r="I138" s="322"/>
      <c r="J138" s="322"/>
      <c r="K138" s="323"/>
      <c r="L138" s="321"/>
      <c r="M138" s="322"/>
      <c r="N138" s="322"/>
      <c r="O138" s="322"/>
      <c r="P138" s="322"/>
      <c r="Q138" s="322"/>
      <c r="R138" s="322"/>
      <c r="S138" s="323"/>
      <c r="T138" s="341"/>
      <c r="U138" s="342"/>
      <c r="V138" s="339" t="s">
        <v>281</v>
      </c>
      <c r="W138" s="340"/>
      <c r="X138" s="467"/>
      <c r="Y138" s="468"/>
      <c r="Z138" s="90"/>
      <c r="AA138" s="128"/>
      <c r="AB138" s="171"/>
      <c r="AC138" s="312"/>
      <c r="AD138" s="312"/>
      <c r="AE138" s="312"/>
      <c r="AF138" s="312"/>
      <c r="AG138" s="312"/>
      <c r="AH138" s="312"/>
      <c r="AI138" s="171"/>
      <c r="AJ138" s="312"/>
      <c r="AK138" s="312"/>
      <c r="AL138" s="312"/>
      <c r="AM138" s="312"/>
      <c r="AN138" s="312"/>
      <c r="AO138" s="312"/>
      <c r="AQ138" s="142"/>
    </row>
    <row r="139" spans="1:133" ht="25.5" customHeight="1">
      <c r="B139" s="461"/>
      <c r="C139" s="462"/>
      <c r="D139" s="463"/>
      <c r="E139" s="321"/>
      <c r="F139" s="322"/>
      <c r="G139" s="322"/>
      <c r="H139" s="322"/>
      <c r="I139" s="322"/>
      <c r="J139" s="322"/>
      <c r="K139" s="323"/>
      <c r="L139" s="644"/>
      <c r="M139" s="645"/>
      <c r="N139" s="645"/>
      <c r="O139" s="645"/>
      <c r="P139" s="645"/>
      <c r="Q139" s="645"/>
      <c r="R139" s="645"/>
      <c r="S139" s="646"/>
      <c r="T139" s="341"/>
      <c r="U139" s="342"/>
      <c r="V139" s="341"/>
      <c r="W139" s="342"/>
      <c r="X139" s="687">
        <v>45664</v>
      </c>
      <c r="Y139" s="455"/>
      <c r="Z139" s="90"/>
      <c r="AA139" s="128"/>
      <c r="AB139" s="169" t="s">
        <v>2</v>
      </c>
      <c r="AC139" s="311"/>
      <c r="AD139" s="311"/>
      <c r="AE139" s="311"/>
      <c r="AF139" s="311"/>
      <c r="AG139" s="311"/>
      <c r="AH139" s="311"/>
      <c r="AI139" s="169" t="s">
        <v>2</v>
      </c>
      <c r="AJ139" s="311"/>
      <c r="AK139" s="311"/>
      <c r="AL139" s="311"/>
      <c r="AM139" s="311"/>
      <c r="AN139" s="311"/>
      <c r="AO139" s="311"/>
      <c r="AQ139" s="142"/>
    </row>
    <row r="140" spans="1:133" ht="13.5" customHeight="1">
      <c r="B140" s="461"/>
      <c r="C140" s="462"/>
      <c r="D140" s="463"/>
      <c r="E140" s="644"/>
      <c r="F140" s="645"/>
      <c r="G140" s="645"/>
      <c r="H140" s="645"/>
      <c r="I140" s="645"/>
      <c r="J140" s="645"/>
      <c r="K140" s="646"/>
      <c r="L140" s="339"/>
      <c r="M140" s="364"/>
      <c r="N140" s="364"/>
      <c r="O140" s="364"/>
      <c r="P140" s="364"/>
      <c r="Q140" s="364"/>
      <c r="R140" s="364"/>
      <c r="S140" s="340"/>
      <c r="T140" s="341"/>
      <c r="U140" s="342"/>
      <c r="V140" s="341"/>
      <c r="W140" s="342"/>
      <c r="X140" s="341"/>
      <c r="Y140" s="455"/>
      <c r="Z140" s="90"/>
      <c r="AA140" s="128"/>
      <c r="AB140" s="171"/>
      <c r="AC140" s="312"/>
      <c r="AD140" s="312"/>
      <c r="AE140" s="312"/>
      <c r="AF140" s="312"/>
      <c r="AG140" s="312"/>
      <c r="AH140" s="312"/>
      <c r="AI140" s="171"/>
      <c r="AJ140" s="312"/>
      <c r="AK140" s="312"/>
      <c r="AL140" s="312"/>
      <c r="AM140" s="312"/>
      <c r="AN140" s="312"/>
      <c r="AO140" s="312"/>
      <c r="AQ140" s="142"/>
    </row>
    <row r="141" spans="1:133" ht="29.25" customHeight="1">
      <c r="B141" s="464"/>
      <c r="C141" s="465"/>
      <c r="D141" s="466"/>
      <c r="E141" s="318" t="s">
        <v>354</v>
      </c>
      <c r="F141" s="319"/>
      <c r="G141" s="319"/>
      <c r="H141" s="319"/>
      <c r="I141" s="319"/>
      <c r="J141" s="319"/>
      <c r="K141" s="319"/>
      <c r="L141" s="318"/>
      <c r="M141" s="319"/>
      <c r="N141" s="319"/>
      <c r="O141" s="319"/>
      <c r="P141" s="319"/>
      <c r="Q141" s="319"/>
      <c r="R141" s="319"/>
      <c r="S141" s="320"/>
      <c r="T141" s="336"/>
      <c r="U141" s="337"/>
      <c r="V141" s="336"/>
      <c r="W141" s="337"/>
      <c r="X141" s="336"/>
      <c r="Y141" s="686"/>
      <c r="Z141" s="90"/>
      <c r="AA141" s="128"/>
      <c r="AB141" s="169" t="s">
        <v>3</v>
      </c>
      <c r="AC141" s="311"/>
      <c r="AD141" s="311"/>
      <c r="AE141" s="311"/>
      <c r="AF141" s="311"/>
      <c r="AG141" s="311"/>
      <c r="AH141" s="311"/>
      <c r="AI141" s="169" t="s">
        <v>3</v>
      </c>
      <c r="AJ141" s="311"/>
      <c r="AK141" s="311"/>
      <c r="AL141" s="311"/>
      <c r="AM141" s="311"/>
      <c r="AN141" s="311"/>
      <c r="AO141" s="311"/>
      <c r="AQ141" s="142"/>
    </row>
    <row r="142" spans="1:133" ht="42.75" customHeight="1">
      <c r="B142" s="461" t="s">
        <v>240</v>
      </c>
      <c r="C142" s="462"/>
      <c r="D142" s="463"/>
      <c r="E142" s="339" t="s">
        <v>368</v>
      </c>
      <c r="F142" s="364"/>
      <c r="G142" s="364"/>
      <c r="H142" s="364"/>
      <c r="I142" s="364"/>
      <c r="J142" s="364"/>
      <c r="K142" s="364"/>
      <c r="L142" s="318" t="s">
        <v>369</v>
      </c>
      <c r="M142" s="319"/>
      <c r="N142" s="319"/>
      <c r="O142" s="319"/>
      <c r="P142" s="319"/>
      <c r="Q142" s="319"/>
      <c r="R142" s="319"/>
      <c r="S142" s="320"/>
      <c r="T142" s="339"/>
      <c r="U142" s="340"/>
      <c r="V142" s="339" t="s">
        <v>281</v>
      </c>
      <c r="W142" s="340"/>
      <c r="X142" s="467">
        <v>45664</v>
      </c>
      <c r="Y142" s="468"/>
      <c r="Z142" s="90"/>
      <c r="AA142" s="128"/>
      <c r="AB142" s="171"/>
      <c r="AC142" s="312"/>
      <c r="AD142" s="312"/>
      <c r="AE142" s="312"/>
      <c r="AF142" s="312"/>
      <c r="AG142" s="312"/>
      <c r="AH142" s="312"/>
      <c r="AI142" s="171"/>
      <c r="AJ142" s="312"/>
      <c r="AK142" s="312"/>
      <c r="AL142" s="312"/>
      <c r="AM142" s="312"/>
      <c r="AN142" s="312"/>
      <c r="AO142" s="312"/>
      <c r="AQ142" s="142"/>
    </row>
    <row r="143" spans="1:133" s="27" customFormat="1" ht="25.5" customHeight="1">
      <c r="A143" s="25"/>
      <c r="B143" s="461"/>
      <c r="C143" s="462"/>
      <c r="D143" s="463"/>
      <c r="E143" s="339"/>
      <c r="F143" s="364"/>
      <c r="G143" s="364"/>
      <c r="H143" s="364"/>
      <c r="I143" s="364"/>
      <c r="J143" s="364"/>
      <c r="K143" s="364"/>
      <c r="L143" s="321"/>
      <c r="M143" s="322"/>
      <c r="N143" s="322"/>
      <c r="O143" s="322"/>
      <c r="P143" s="322"/>
      <c r="Q143" s="322"/>
      <c r="R143" s="322"/>
      <c r="S143" s="323"/>
      <c r="T143" s="341"/>
      <c r="U143" s="342"/>
      <c r="V143" s="341"/>
      <c r="W143" s="342"/>
      <c r="X143" s="341"/>
      <c r="Y143" s="455"/>
      <c r="Z143" s="90"/>
      <c r="AA143" s="128"/>
      <c r="AB143" s="169" t="s">
        <v>4</v>
      </c>
      <c r="AC143" s="327"/>
      <c r="AD143" s="328"/>
      <c r="AE143" s="328"/>
      <c r="AF143" s="328"/>
      <c r="AG143" s="328"/>
      <c r="AH143" s="329"/>
      <c r="AI143" s="169" t="s">
        <v>4</v>
      </c>
      <c r="AJ143" s="327"/>
      <c r="AK143" s="328"/>
      <c r="AL143" s="328"/>
      <c r="AM143" s="328"/>
      <c r="AN143" s="328"/>
      <c r="AO143" s="329"/>
      <c r="AP143" s="11"/>
      <c r="AQ143" s="129"/>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row>
    <row r="144" spans="1:133" s="25" customFormat="1" ht="27.75" customHeight="1">
      <c r="B144" s="461"/>
      <c r="C144" s="462"/>
      <c r="D144" s="463"/>
      <c r="E144" s="339"/>
      <c r="F144" s="364"/>
      <c r="G144" s="364"/>
      <c r="H144" s="364"/>
      <c r="I144" s="364"/>
      <c r="J144" s="364"/>
      <c r="K144" s="364"/>
      <c r="L144" s="321"/>
      <c r="M144" s="322"/>
      <c r="N144" s="322"/>
      <c r="O144" s="322"/>
      <c r="P144" s="322"/>
      <c r="Q144" s="322"/>
      <c r="R144" s="322"/>
      <c r="S144" s="323"/>
      <c r="T144" s="341"/>
      <c r="U144" s="342"/>
      <c r="V144" s="341"/>
      <c r="W144" s="342"/>
      <c r="X144" s="341"/>
      <c r="Y144" s="455"/>
      <c r="Z144" s="90"/>
      <c r="AA144" s="128"/>
      <c r="AB144" s="171"/>
      <c r="AC144" s="330"/>
      <c r="AD144" s="331"/>
      <c r="AE144" s="331"/>
      <c r="AF144" s="331"/>
      <c r="AG144" s="331"/>
      <c r="AH144" s="332"/>
      <c r="AI144" s="171"/>
      <c r="AJ144" s="330"/>
      <c r="AK144" s="331"/>
      <c r="AL144" s="331"/>
      <c r="AM144" s="331"/>
      <c r="AN144" s="331"/>
      <c r="AO144" s="332"/>
      <c r="AP144" s="11"/>
      <c r="AQ144" s="142"/>
    </row>
    <row r="145" spans="1:133" s="27" customFormat="1" ht="27.75" customHeight="1">
      <c r="A145" s="25"/>
      <c r="B145" s="461"/>
      <c r="C145" s="462"/>
      <c r="D145" s="463"/>
      <c r="E145" s="339"/>
      <c r="F145" s="364"/>
      <c r="G145" s="364"/>
      <c r="H145" s="364"/>
      <c r="I145" s="364"/>
      <c r="J145" s="364"/>
      <c r="K145" s="364"/>
      <c r="L145" s="321"/>
      <c r="M145" s="322"/>
      <c r="N145" s="322"/>
      <c r="O145" s="322"/>
      <c r="P145" s="322"/>
      <c r="Q145" s="322"/>
      <c r="R145" s="322"/>
      <c r="S145" s="323"/>
      <c r="T145" s="341"/>
      <c r="U145" s="342"/>
      <c r="V145" s="341"/>
      <c r="W145" s="342"/>
      <c r="X145" s="341"/>
      <c r="Y145" s="455"/>
      <c r="Z145" s="90"/>
      <c r="AA145" s="128"/>
      <c r="AB145" s="170" t="s">
        <v>5</v>
      </c>
      <c r="AC145" s="333"/>
      <c r="AD145" s="334"/>
      <c r="AE145" s="334"/>
      <c r="AF145" s="334"/>
      <c r="AG145" s="334"/>
      <c r="AH145" s="335"/>
      <c r="AI145" s="170" t="s">
        <v>5</v>
      </c>
      <c r="AJ145" s="333"/>
      <c r="AK145" s="334"/>
      <c r="AL145" s="334"/>
      <c r="AM145" s="334"/>
      <c r="AN145" s="334"/>
      <c r="AO145" s="335"/>
      <c r="AP145" s="11"/>
      <c r="AQ145" s="129"/>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row>
    <row r="146" spans="1:133" s="25" customFormat="1" ht="27.75" customHeight="1">
      <c r="B146" s="464"/>
      <c r="C146" s="465"/>
      <c r="D146" s="466"/>
      <c r="E146" s="509"/>
      <c r="F146" s="510"/>
      <c r="G146" s="510"/>
      <c r="H146" s="510"/>
      <c r="I146" s="510"/>
      <c r="J146" s="510"/>
      <c r="K146" s="510"/>
      <c r="L146" s="324"/>
      <c r="M146" s="325"/>
      <c r="N146" s="325"/>
      <c r="O146" s="325"/>
      <c r="P146" s="325"/>
      <c r="Q146" s="325"/>
      <c r="R146" s="325"/>
      <c r="S146" s="326"/>
      <c r="T146" s="336"/>
      <c r="U146" s="337"/>
      <c r="V146" s="336"/>
      <c r="W146" s="337"/>
      <c r="X146" s="336"/>
      <c r="Y146" s="686"/>
      <c r="Z146" s="90"/>
      <c r="AA146" s="128"/>
      <c r="AB146" s="171"/>
      <c r="AC146" s="330"/>
      <c r="AD146" s="331"/>
      <c r="AE146" s="331"/>
      <c r="AF146" s="331"/>
      <c r="AG146" s="331"/>
      <c r="AH146" s="332"/>
      <c r="AI146" s="171"/>
      <c r="AJ146" s="330"/>
      <c r="AK146" s="331"/>
      <c r="AL146" s="331"/>
      <c r="AM146" s="331"/>
      <c r="AN146" s="331"/>
      <c r="AO146" s="332"/>
      <c r="AP146" s="11"/>
      <c r="AQ146" s="142"/>
    </row>
    <row r="147" spans="1:133" s="27" customFormat="1" ht="12.75" customHeight="1">
      <c r="A147" s="25"/>
      <c r="B147" s="155"/>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7"/>
      <c r="Z147" s="90"/>
      <c r="AA147" s="128"/>
      <c r="AB147" s="11"/>
      <c r="AC147" s="11"/>
      <c r="AD147" s="11"/>
      <c r="AE147" s="11"/>
      <c r="AF147" s="11"/>
      <c r="AG147" s="11"/>
      <c r="AH147" s="11"/>
      <c r="AI147" s="11"/>
      <c r="AJ147" s="11"/>
      <c r="AK147" s="11"/>
      <c r="AL147" s="11"/>
      <c r="AM147" s="11"/>
      <c r="AN147" s="11"/>
      <c r="AO147" s="11"/>
      <c r="AP147" s="11"/>
      <c r="AQ147" s="129"/>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row>
    <row r="148" spans="1:133" s="25" customFormat="1" ht="12.75" customHeight="1">
      <c r="B148" s="155"/>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7"/>
      <c r="Z148" s="90"/>
      <c r="AA148" s="128"/>
      <c r="AB148" s="11"/>
      <c r="AC148" s="11"/>
      <c r="AD148" s="11"/>
      <c r="AE148" s="11"/>
      <c r="AF148" s="11"/>
      <c r="AG148" s="11"/>
      <c r="AH148" s="11"/>
      <c r="AI148" s="11"/>
      <c r="AJ148" s="11"/>
      <c r="AK148" s="11"/>
      <c r="AL148" s="11"/>
      <c r="AM148" s="11"/>
      <c r="AN148" s="11"/>
      <c r="AO148" s="11"/>
      <c r="AP148" s="11"/>
      <c r="AQ148" s="142"/>
    </row>
    <row r="149" spans="1:133">
      <c r="B149" s="200" t="s">
        <v>81</v>
      </c>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90"/>
      <c r="AA149" s="128"/>
      <c r="AB149" s="11" t="s">
        <v>137</v>
      </c>
      <c r="AI149" s="11" t="s">
        <v>137</v>
      </c>
      <c r="AQ149" s="129"/>
    </row>
    <row r="150" spans="1:133">
      <c r="B150" s="431" t="s">
        <v>302</v>
      </c>
      <c r="C150" s="432"/>
      <c r="D150" s="432"/>
      <c r="E150" s="432"/>
      <c r="F150" s="432"/>
      <c r="G150" s="432"/>
      <c r="H150" s="432"/>
      <c r="I150" s="432"/>
      <c r="J150" s="432"/>
      <c r="K150" s="432"/>
      <c r="L150" s="432"/>
      <c r="M150" s="432"/>
      <c r="N150" s="432"/>
      <c r="O150" s="432"/>
      <c r="P150" s="432"/>
      <c r="Q150" s="432"/>
      <c r="R150" s="432"/>
      <c r="S150" s="432"/>
      <c r="T150" s="432"/>
      <c r="U150" s="432"/>
      <c r="V150" s="432"/>
      <c r="W150" s="432"/>
      <c r="X150" s="432"/>
      <c r="Y150" s="432"/>
      <c r="Z150" s="90"/>
      <c r="AA150" s="128"/>
      <c r="AB150" s="296"/>
      <c r="AC150" s="297"/>
      <c r="AD150" s="297"/>
      <c r="AE150" s="297"/>
      <c r="AF150" s="297"/>
      <c r="AG150" s="297"/>
      <c r="AH150" s="297"/>
      <c r="AI150" s="297"/>
      <c r="AJ150" s="297"/>
      <c r="AK150" s="297"/>
      <c r="AL150" s="297"/>
      <c r="AM150" s="297"/>
      <c r="AN150" s="297"/>
      <c r="AO150" s="298"/>
      <c r="AQ150" s="142"/>
    </row>
    <row r="151" spans="1:133">
      <c r="B151" s="433"/>
      <c r="C151" s="434"/>
      <c r="D151" s="434"/>
      <c r="E151" s="434"/>
      <c r="F151" s="434"/>
      <c r="G151" s="434"/>
      <c r="H151" s="434"/>
      <c r="I151" s="434"/>
      <c r="J151" s="434"/>
      <c r="K151" s="434"/>
      <c r="L151" s="434"/>
      <c r="M151" s="434"/>
      <c r="N151" s="434"/>
      <c r="O151" s="434"/>
      <c r="P151" s="434"/>
      <c r="Q151" s="434"/>
      <c r="R151" s="434"/>
      <c r="S151" s="434"/>
      <c r="T151" s="434"/>
      <c r="U151" s="434"/>
      <c r="V151" s="434"/>
      <c r="W151" s="434"/>
      <c r="X151" s="434"/>
      <c r="Y151" s="434"/>
      <c r="Z151" s="90"/>
      <c r="AA151" s="128"/>
      <c r="AB151" s="296"/>
      <c r="AC151" s="297"/>
      <c r="AD151" s="297"/>
      <c r="AE151" s="297"/>
      <c r="AF151" s="297"/>
      <c r="AG151" s="297"/>
      <c r="AH151" s="297"/>
      <c r="AI151" s="297"/>
      <c r="AJ151" s="297"/>
      <c r="AK151" s="297"/>
      <c r="AL151" s="297"/>
      <c r="AM151" s="297"/>
      <c r="AN151" s="297"/>
      <c r="AO151" s="298"/>
      <c r="AQ151" s="129"/>
    </row>
    <row r="152" spans="1:133">
      <c r="B152" s="109"/>
      <c r="C152" s="51"/>
      <c r="D152" s="51"/>
      <c r="E152" s="52"/>
      <c r="F152" s="51"/>
      <c r="G152" s="51"/>
      <c r="H152" s="49"/>
      <c r="I152" s="49"/>
      <c r="J152" s="50"/>
      <c r="K152" s="51"/>
      <c r="L152" s="51"/>
      <c r="M152" s="51"/>
      <c r="N152" s="51"/>
      <c r="O152" s="51"/>
      <c r="P152" s="51"/>
      <c r="Q152" s="51"/>
      <c r="R152" s="51"/>
      <c r="S152" s="24"/>
      <c r="T152" s="201"/>
      <c r="U152" s="213" t="s">
        <v>371</v>
      </c>
      <c r="V152" s="685" t="s">
        <v>372</v>
      </c>
      <c r="W152" s="685"/>
      <c r="X152" s="685"/>
      <c r="Y152" s="685"/>
      <c r="Z152" s="90"/>
      <c r="AA152" s="128"/>
      <c r="AB152" s="17"/>
      <c r="AC152" s="17"/>
      <c r="AD152" s="17"/>
      <c r="AE152" s="17"/>
      <c r="AF152" s="17"/>
      <c r="AG152" s="17"/>
      <c r="AH152" s="17"/>
      <c r="AI152" s="17"/>
      <c r="AJ152" s="17"/>
      <c r="AK152" s="17"/>
      <c r="AL152" s="17"/>
      <c r="AM152" s="17"/>
      <c r="AN152" s="17"/>
      <c r="AO152" s="17"/>
      <c r="AQ152" s="142"/>
    </row>
    <row r="153" spans="1:133" ht="35.25" customHeight="1">
      <c r="B153" s="116"/>
      <c r="C153" s="66"/>
      <c r="D153" s="66"/>
      <c r="E153" s="67"/>
      <c r="F153" s="66"/>
      <c r="G153" s="66"/>
      <c r="H153" s="38"/>
      <c r="I153" s="38"/>
      <c r="J153" s="68"/>
      <c r="K153" s="38"/>
      <c r="L153" s="38"/>
      <c r="M153" s="38"/>
      <c r="N153" s="38"/>
      <c r="O153" s="38"/>
      <c r="P153" s="38"/>
      <c r="Q153" s="38"/>
      <c r="R153" s="38"/>
      <c r="S153" s="38"/>
      <c r="T153" s="38"/>
      <c r="U153" s="38"/>
      <c r="V153" s="38"/>
      <c r="W153" s="38"/>
      <c r="X153" s="69"/>
      <c r="Y153" s="69"/>
      <c r="Z153" s="92"/>
      <c r="AA153" s="128"/>
      <c r="AB153" s="647" t="s">
        <v>143</v>
      </c>
      <c r="AC153" s="648"/>
      <c r="AD153" s="648"/>
      <c r="AE153" s="648"/>
      <c r="AF153" s="648"/>
      <c r="AG153" s="648"/>
      <c r="AH153" s="649"/>
      <c r="AI153" s="650" t="s">
        <v>244</v>
      </c>
      <c r="AJ153" s="651"/>
      <c r="AK153" s="651"/>
      <c r="AL153" s="651"/>
      <c r="AM153" s="651"/>
      <c r="AN153" s="651"/>
      <c r="AO153" s="652"/>
      <c r="AP153" s="168"/>
      <c r="AQ153" s="129"/>
    </row>
    <row r="154" spans="1:133">
      <c r="B154" s="214" t="s">
        <v>18</v>
      </c>
      <c r="C154" s="215" t="s">
        <v>23</v>
      </c>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24"/>
      <c r="Z154" s="105"/>
      <c r="AA154" s="128"/>
      <c r="AB154" s="169" t="s">
        <v>1</v>
      </c>
      <c r="AC154" s="311"/>
      <c r="AD154" s="311"/>
      <c r="AE154" s="311"/>
      <c r="AF154" s="311"/>
      <c r="AG154" s="311"/>
      <c r="AH154" s="311"/>
      <c r="AI154" s="169" t="s">
        <v>1</v>
      </c>
      <c r="AJ154" s="311" t="s">
        <v>135</v>
      </c>
      <c r="AK154" s="311"/>
      <c r="AL154" s="311"/>
      <c r="AM154" s="311"/>
      <c r="AN154" s="311"/>
      <c r="AO154" s="311"/>
      <c r="AQ154" s="142"/>
    </row>
    <row r="155" spans="1:133" s="17" customFormat="1">
      <c r="A155" s="16"/>
      <c r="B155" s="188" t="s">
        <v>131</v>
      </c>
      <c r="C155" s="23"/>
      <c r="D155" s="23"/>
      <c r="E155" s="23"/>
      <c r="F155" s="23"/>
      <c r="G155" s="23"/>
      <c r="H155" s="23"/>
      <c r="I155" s="23"/>
      <c r="J155" s="23"/>
      <c r="K155" s="23"/>
      <c r="L155" s="23"/>
      <c r="M155" s="23"/>
      <c r="N155" s="23"/>
      <c r="O155" s="23"/>
      <c r="P155" s="23"/>
      <c r="Q155" s="23"/>
      <c r="R155" s="23"/>
      <c r="S155" s="23"/>
      <c r="T155" s="23"/>
      <c r="U155" s="23"/>
      <c r="V155" s="23"/>
      <c r="W155" s="23"/>
      <c r="X155" s="23"/>
      <c r="Y155" s="34"/>
      <c r="Z155" s="98"/>
      <c r="AA155" s="128"/>
      <c r="AB155" s="171"/>
      <c r="AC155" s="312"/>
      <c r="AD155" s="312"/>
      <c r="AE155" s="312"/>
      <c r="AF155" s="312"/>
      <c r="AG155" s="312"/>
      <c r="AH155" s="312"/>
      <c r="AI155" s="171"/>
      <c r="AJ155" s="312" t="s">
        <v>136</v>
      </c>
      <c r="AK155" s="312"/>
      <c r="AL155" s="312"/>
      <c r="AM155" s="312"/>
      <c r="AN155" s="312"/>
      <c r="AO155" s="312"/>
      <c r="AP155" s="11"/>
      <c r="AQ155" s="129"/>
    </row>
    <row r="156" spans="1:133">
      <c r="B156" s="431" t="s">
        <v>365</v>
      </c>
      <c r="C156" s="432"/>
      <c r="D156" s="432"/>
      <c r="E156" s="432"/>
      <c r="F156" s="432"/>
      <c r="G156" s="432"/>
      <c r="H156" s="432"/>
      <c r="I156" s="432"/>
      <c r="J156" s="432"/>
      <c r="K156" s="432"/>
      <c r="L156" s="432"/>
      <c r="M156" s="432"/>
      <c r="N156" s="432"/>
      <c r="O156" s="432"/>
      <c r="P156" s="432"/>
      <c r="Q156" s="432"/>
      <c r="R156" s="432"/>
      <c r="S156" s="432"/>
      <c r="T156" s="432"/>
      <c r="U156" s="432"/>
      <c r="V156" s="432"/>
      <c r="W156" s="432"/>
      <c r="X156" s="432"/>
      <c r="Y156" s="682"/>
      <c r="Z156" s="90"/>
      <c r="AA156" s="128"/>
      <c r="AB156" s="169" t="s">
        <v>2</v>
      </c>
      <c r="AC156" s="311"/>
      <c r="AD156" s="311"/>
      <c r="AE156" s="311"/>
      <c r="AF156" s="311"/>
      <c r="AG156" s="311"/>
      <c r="AH156" s="311"/>
      <c r="AI156" s="169" t="s">
        <v>2</v>
      </c>
      <c r="AJ156" s="311" t="s">
        <v>135</v>
      </c>
      <c r="AK156" s="311"/>
      <c r="AL156" s="311"/>
      <c r="AM156" s="311"/>
      <c r="AN156" s="311"/>
      <c r="AO156" s="311"/>
      <c r="AQ156" s="142"/>
    </row>
    <row r="157" spans="1:133" ht="23.25" customHeight="1">
      <c r="B157" s="433"/>
      <c r="C157" s="434"/>
      <c r="D157" s="434"/>
      <c r="E157" s="434"/>
      <c r="F157" s="434"/>
      <c r="G157" s="434"/>
      <c r="H157" s="434"/>
      <c r="I157" s="434"/>
      <c r="J157" s="434"/>
      <c r="K157" s="434"/>
      <c r="L157" s="434"/>
      <c r="M157" s="434"/>
      <c r="N157" s="434"/>
      <c r="O157" s="434"/>
      <c r="P157" s="434"/>
      <c r="Q157" s="434"/>
      <c r="R157" s="434"/>
      <c r="S157" s="434"/>
      <c r="T157" s="434"/>
      <c r="U157" s="434"/>
      <c r="V157" s="434"/>
      <c r="W157" s="434"/>
      <c r="X157" s="434"/>
      <c r="Y157" s="683"/>
      <c r="Z157" s="90"/>
      <c r="AA157" s="128"/>
      <c r="AB157" s="171"/>
      <c r="AC157" s="312"/>
      <c r="AD157" s="312"/>
      <c r="AE157" s="312"/>
      <c r="AF157" s="312"/>
      <c r="AG157" s="312"/>
      <c r="AH157" s="312"/>
      <c r="AI157" s="171"/>
      <c r="AJ157" s="312" t="s">
        <v>136</v>
      </c>
      <c r="AK157" s="312"/>
      <c r="AL157" s="312"/>
      <c r="AM157" s="312"/>
      <c r="AN157" s="312"/>
      <c r="AO157" s="312"/>
      <c r="AQ157" s="129"/>
    </row>
    <row r="158" spans="1:133" ht="12.75" customHeight="1">
      <c r="B158" s="188"/>
      <c r="C158" s="17"/>
      <c r="D158" s="162" t="s">
        <v>35</v>
      </c>
      <c r="E158" s="437" t="s">
        <v>370</v>
      </c>
      <c r="F158" s="437"/>
      <c r="G158" s="437"/>
      <c r="H158" s="437"/>
      <c r="I158" s="437"/>
      <c r="J158" s="437"/>
      <c r="K158" s="162"/>
      <c r="L158" s="17"/>
      <c r="M158" s="162" t="s">
        <v>40</v>
      </c>
      <c r="N158" s="438">
        <v>45691</v>
      </c>
      <c r="O158" s="437"/>
      <c r="P158" s="437"/>
      <c r="Q158" s="201"/>
      <c r="R158" s="17"/>
      <c r="S158" s="162"/>
      <c r="T158" s="202"/>
      <c r="U158" s="203" t="s">
        <v>37</v>
      </c>
      <c r="V158" s="438"/>
      <c r="W158" s="437"/>
      <c r="X158" s="437"/>
      <c r="Y158" s="437"/>
      <c r="Z158" s="98"/>
      <c r="AA158" s="128"/>
      <c r="AB158" s="169" t="s">
        <v>3</v>
      </c>
      <c r="AC158" s="311"/>
      <c r="AD158" s="311"/>
      <c r="AE158" s="311"/>
      <c r="AF158" s="311"/>
      <c r="AG158" s="311"/>
      <c r="AH158" s="311"/>
      <c r="AI158" s="169" t="s">
        <v>3</v>
      </c>
      <c r="AJ158" s="311" t="s">
        <v>135</v>
      </c>
      <c r="AK158" s="311"/>
      <c r="AL158" s="311"/>
      <c r="AM158" s="311"/>
      <c r="AN158" s="311"/>
      <c r="AO158" s="311"/>
      <c r="AQ158" s="142"/>
    </row>
    <row r="159" spans="1:133">
      <c r="B159" s="53"/>
      <c r="C159" s="23"/>
      <c r="D159" s="24"/>
      <c r="E159" s="24"/>
      <c r="F159" s="24"/>
      <c r="G159" s="24"/>
      <c r="H159" s="24"/>
      <c r="I159" s="24"/>
      <c r="J159" s="24"/>
      <c r="K159" s="24"/>
      <c r="L159" s="24"/>
      <c r="M159" s="24"/>
      <c r="N159" s="24"/>
      <c r="O159" s="24"/>
      <c r="P159" s="24"/>
      <c r="Q159" s="24"/>
      <c r="R159" s="24"/>
      <c r="S159" s="24"/>
      <c r="T159" s="24"/>
      <c r="U159" s="24"/>
      <c r="V159" s="24"/>
      <c r="W159" s="24"/>
      <c r="X159" s="24"/>
      <c r="Y159" s="74"/>
      <c r="Z159" s="98"/>
      <c r="AA159" s="128"/>
      <c r="AB159" s="171"/>
      <c r="AC159" s="312"/>
      <c r="AD159" s="312"/>
      <c r="AE159" s="312"/>
      <c r="AF159" s="312"/>
      <c r="AG159" s="312"/>
      <c r="AH159" s="312"/>
      <c r="AI159" s="171"/>
      <c r="AJ159" s="312" t="s">
        <v>136</v>
      </c>
      <c r="AK159" s="312"/>
      <c r="AL159" s="312"/>
      <c r="AM159" s="312"/>
      <c r="AN159" s="312"/>
      <c r="AO159" s="312"/>
      <c r="AQ159" s="129"/>
    </row>
    <row r="160" spans="1:133" s="17" customFormat="1">
      <c r="A160" s="16"/>
      <c r="B160" s="200" t="s">
        <v>74</v>
      </c>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98"/>
      <c r="AA160" s="128"/>
      <c r="AB160" s="169" t="s">
        <v>4</v>
      </c>
      <c r="AC160" s="327"/>
      <c r="AD160" s="328"/>
      <c r="AE160" s="328"/>
      <c r="AF160" s="328"/>
      <c r="AG160" s="328"/>
      <c r="AH160" s="329"/>
      <c r="AI160" s="169" t="s">
        <v>4</v>
      </c>
      <c r="AJ160" s="327" t="s">
        <v>135</v>
      </c>
      <c r="AK160" s="328"/>
      <c r="AL160" s="328"/>
      <c r="AM160" s="328"/>
      <c r="AN160" s="328"/>
      <c r="AO160" s="329"/>
      <c r="AP160" s="11"/>
      <c r="AQ160" s="142"/>
    </row>
    <row r="161" spans="1:43">
      <c r="B161" s="188" t="s">
        <v>132</v>
      </c>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98"/>
      <c r="AA161" s="128"/>
      <c r="AB161" s="171"/>
      <c r="AC161" s="330"/>
      <c r="AD161" s="331"/>
      <c r="AE161" s="331"/>
      <c r="AF161" s="331"/>
      <c r="AG161" s="331"/>
      <c r="AH161" s="332"/>
      <c r="AI161" s="171"/>
      <c r="AJ161" s="330" t="s">
        <v>136</v>
      </c>
      <c r="AK161" s="331"/>
      <c r="AL161" s="331"/>
      <c r="AM161" s="331"/>
      <c r="AN161" s="331"/>
      <c r="AO161" s="332"/>
      <c r="AQ161" s="129"/>
    </row>
    <row r="162" spans="1:43">
      <c r="B162" s="431" t="s">
        <v>303</v>
      </c>
      <c r="C162" s="432"/>
      <c r="D162" s="432"/>
      <c r="E162" s="432"/>
      <c r="F162" s="432"/>
      <c r="G162" s="432"/>
      <c r="H162" s="432"/>
      <c r="I162" s="432"/>
      <c r="J162" s="432"/>
      <c r="K162" s="432"/>
      <c r="L162" s="432"/>
      <c r="M162" s="432"/>
      <c r="N162" s="432"/>
      <c r="O162" s="432"/>
      <c r="P162" s="432"/>
      <c r="Q162" s="432"/>
      <c r="R162" s="432"/>
      <c r="S162" s="432"/>
      <c r="T162" s="432"/>
      <c r="U162" s="432"/>
      <c r="V162" s="432"/>
      <c r="W162" s="432"/>
      <c r="X162" s="432"/>
      <c r="Y162" s="432"/>
      <c r="Z162" s="98"/>
      <c r="AA162" s="128"/>
      <c r="AB162" s="170" t="s">
        <v>5</v>
      </c>
      <c r="AC162" s="327"/>
      <c r="AD162" s="328"/>
      <c r="AE162" s="328"/>
      <c r="AF162" s="328"/>
      <c r="AG162" s="328"/>
      <c r="AH162" s="329"/>
      <c r="AI162" s="170" t="s">
        <v>5</v>
      </c>
      <c r="AJ162" s="333" t="s">
        <v>135</v>
      </c>
      <c r="AK162" s="334"/>
      <c r="AL162" s="334"/>
      <c r="AM162" s="334"/>
      <c r="AN162" s="334"/>
      <c r="AO162" s="335"/>
      <c r="AQ162" s="129"/>
    </row>
    <row r="163" spans="1:43">
      <c r="B163" s="433"/>
      <c r="C163" s="434"/>
      <c r="D163" s="434"/>
      <c r="E163" s="434"/>
      <c r="F163" s="434"/>
      <c r="G163" s="434"/>
      <c r="H163" s="434"/>
      <c r="I163" s="434"/>
      <c r="J163" s="434"/>
      <c r="K163" s="434"/>
      <c r="L163" s="434"/>
      <c r="M163" s="434"/>
      <c r="N163" s="434"/>
      <c r="O163" s="434"/>
      <c r="P163" s="434"/>
      <c r="Q163" s="434"/>
      <c r="R163" s="434"/>
      <c r="S163" s="434"/>
      <c r="T163" s="434"/>
      <c r="U163" s="434"/>
      <c r="V163" s="434"/>
      <c r="W163" s="434"/>
      <c r="X163" s="434"/>
      <c r="Y163" s="434"/>
      <c r="Z163" s="98"/>
      <c r="AA163" s="128"/>
      <c r="AB163" s="171"/>
      <c r="AC163" s="330"/>
      <c r="AD163" s="331"/>
      <c r="AE163" s="331"/>
      <c r="AF163" s="331"/>
      <c r="AG163" s="331"/>
      <c r="AH163" s="332"/>
      <c r="AI163" s="171"/>
      <c r="AJ163" s="330" t="s">
        <v>136</v>
      </c>
      <c r="AK163" s="331"/>
      <c r="AL163" s="331"/>
      <c r="AM163" s="331"/>
      <c r="AN163" s="331"/>
      <c r="AO163" s="332"/>
      <c r="AQ163" s="129"/>
    </row>
    <row r="164" spans="1:43" s="17" customFormat="1">
      <c r="A164" s="16"/>
      <c r="B164" s="313"/>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113"/>
      <c r="AA164" s="128"/>
      <c r="AB164" s="11"/>
      <c r="AC164" s="11"/>
      <c r="AD164" s="11"/>
      <c r="AE164" s="11"/>
      <c r="AF164" s="11"/>
      <c r="AG164" s="11"/>
      <c r="AH164" s="11"/>
      <c r="AI164" s="11"/>
      <c r="AJ164" s="11"/>
      <c r="AK164" s="11"/>
      <c r="AL164" s="11"/>
      <c r="AM164" s="11"/>
      <c r="AN164" s="11"/>
      <c r="AO164" s="11"/>
      <c r="AP164" s="11"/>
      <c r="AQ164" s="129"/>
    </row>
    <row r="165" spans="1:43">
      <c r="B165" s="214" t="s">
        <v>19</v>
      </c>
      <c r="C165" s="215" t="s">
        <v>20</v>
      </c>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25"/>
      <c r="Z165" s="105"/>
      <c r="AA165" s="128"/>
      <c r="AB165" s="11" t="s">
        <v>137</v>
      </c>
      <c r="AI165" s="11" t="s">
        <v>137</v>
      </c>
      <c r="AQ165" s="142"/>
    </row>
    <row r="166" spans="1:43">
      <c r="B166" s="181" t="s">
        <v>41</v>
      </c>
      <c r="C166" s="23"/>
      <c r="D166" s="23"/>
      <c r="E166" s="315" t="s">
        <v>306</v>
      </c>
      <c r="F166" s="315"/>
      <c r="G166" s="315"/>
      <c r="H166" s="315"/>
      <c r="I166" s="315"/>
      <c r="J166" s="315"/>
      <c r="K166" s="315"/>
      <c r="L166" s="315"/>
      <c r="M166" s="315"/>
      <c r="N166" s="315"/>
      <c r="O166" s="315"/>
      <c r="P166" s="315"/>
      <c r="Q166" s="315"/>
      <c r="R166" s="315"/>
      <c r="S166" s="315"/>
      <c r="T166" s="315"/>
      <c r="U166" s="315"/>
      <c r="V166" s="315"/>
      <c r="W166" s="315"/>
      <c r="X166" s="315"/>
      <c r="Y166" s="316"/>
      <c r="Z166" s="98"/>
      <c r="AA166" s="128"/>
      <c r="AB166" s="296"/>
      <c r="AC166" s="297"/>
      <c r="AD166" s="297"/>
      <c r="AE166" s="297"/>
      <c r="AF166" s="297"/>
      <c r="AG166" s="297"/>
      <c r="AH166" s="297"/>
      <c r="AI166" s="297"/>
      <c r="AJ166" s="297"/>
      <c r="AK166" s="297"/>
      <c r="AL166" s="297"/>
      <c r="AM166" s="297"/>
      <c r="AN166" s="297"/>
      <c r="AO166" s="298"/>
      <c r="AQ166" s="129"/>
    </row>
    <row r="167" spans="1:43">
      <c r="B167" s="204" t="s">
        <v>76</v>
      </c>
      <c r="C167" s="35"/>
      <c r="D167" s="35"/>
      <c r="E167" s="684">
        <v>45661</v>
      </c>
      <c r="F167" s="685"/>
      <c r="G167" s="685"/>
      <c r="H167" s="35"/>
      <c r="I167" s="35"/>
      <c r="J167" s="35"/>
      <c r="K167" s="35"/>
      <c r="L167" s="35"/>
      <c r="M167" s="35"/>
      <c r="N167" s="35"/>
      <c r="O167" s="35"/>
      <c r="P167" s="35"/>
      <c r="Q167" s="35"/>
      <c r="R167" s="35"/>
      <c r="S167" s="35"/>
      <c r="T167" s="35"/>
      <c r="U167" s="35"/>
      <c r="V167" s="35"/>
      <c r="W167" s="35"/>
      <c r="X167" s="35"/>
      <c r="Y167" s="84"/>
      <c r="Z167" s="98"/>
      <c r="AA167" s="128"/>
      <c r="AB167" s="296"/>
      <c r="AC167" s="297"/>
      <c r="AD167" s="297"/>
      <c r="AE167" s="297"/>
      <c r="AF167" s="297"/>
      <c r="AG167" s="297"/>
      <c r="AH167" s="297"/>
      <c r="AI167" s="297"/>
      <c r="AJ167" s="297"/>
      <c r="AK167" s="297"/>
      <c r="AL167" s="297"/>
      <c r="AM167" s="297"/>
      <c r="AN167" s="297"/>
      <c r="AO167" s="298"/>
      <c r="AQ167" s="142"/>
    </row>
    <row r="168" spans="1:43">
      <c r="B168" s="205" t="s">
        <v>133</v>
      </c>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98"/>
      <c r="AA168" s="128"/>
      <c r="AB168" s="17"/>
      <c r="AC168" s="17"/>
      <c r="AD168" s="17"/>
      <c r="AE168" s="17"/>
      <c r="AF168" s="17"/>
      <c r="AG168" s="17"/>
      <c r="AH168" s="17"/>
      <c r="AI168" s="17"/>
      <c r="AJ168" s="17"/>
      <c r="AK168" s="17"/>
      <c r="AL168" s="17"/>
      <c r="AM168" s="17"/>
      <c r="AN168" s="17"/>
      <c r="AO168" s="17"/>
      <c r="AQ168" s="129"/>
    </row>
    <row r="169" spans="1:43">
      <c r="B169" s="431"/>
      <c r="C169" s="432"/>
      <c r="D169" s="432"/>
      <c r="E169" s="432"/>
      <c r="F169" s="432"/>
      <c r="G169" s="432"/>
      <c r="H169" s="432"/>
      <c r="I169" s="432"/>
      <c r="J169" s="432"/>
      <c r="K169" s="432"/>
      <c r="L169" s="432"/>
      <c r="M169" s="432"/>
      <c r="N169" s="432"/>
      <c r="O169" s="432"/>
      <c r="P169" s="432"/>
      <c r="Q169" s="432"/>
      <c r="R169" s="432"/>
      <c r="S169" s="432"/>
      <c r="T169" s="432"/>
      <c r="U169" s="432"/>
      <c r="V169" s="432"/>
      <c r="W169" s="432"/>
      <c r="X169" s="432"/>
      <c r="Y169" s="682"/>
      <c r="Z169" s="98"/>
      <c r="AA169" s="128"/>
      <c r="AB169" s="647" t="s">
        <v>143</v>
      </c>
      <c r="AC169" s="648"/>
      <c r="AD169" s="648"/>
      <c r="AE169" s="648"/>
      <c r="AF169" s="648"/>
      <c r="AG169" s="648"/>
      <c r="AH169" s="649"/>
      <c r="AI169" s="650" t="s">
        <v>244</v>
      </c>
      <c r="AJ169" s="651"/>
      <c r="AK169" s="651"/>
      <c r="AL169" s="651"/>
      <c r="AM169" s="651"/>
      <c r="AN169" s="651"/>
      <c r="AO169" s="652"/>
      <c r="AQ169" s="142"/>
    </row>
    <row r="170" spans="1:43">
      <c r="B170" s="433"/>
      <c r="C170" s="434"/>
      <c r="D170" s="434"/>
      <c r="E170" s="434"/>
      <c r="F170" s="434"/>
      <c r="G170" s="434"/>
      <c r="H170" s="434"/>
      <c r="I170" s="434"/>
      <c r="J170" s="434"/>
      <c r="K170" s="434"/>
      <c r="L170" s="434"/>
      <c r="M170" s="434"/>
      <c r="N170" s="434"/>
      <c r="O170" s="434"/>
      <c r="P170" s="434"/>
      <c r="Q170" s="434"/>
      <c r="R170" s="434"/>
      <c r="S170" s="434"/>
      <c r="T170" s="434"/>
      <c r="U170" s="434"/>
      <c r="V170" s="434"/>
      <c r="W170" s="434"/>
      <c r="X170" s="434"/>
      <c r="Y170" s="683"/>
      <c r="Z170" s="98"/>
      <c r="AA170" s="128"/>
      <c r="AB170" s="169" t="s">
        <v>1</v>
      </c>
      <c r="AC170" s="311" t="s">
        <v>135</v>
      </c>
      <c r="AD170" s="311"/>
      <c r="AE170" s="311"/>
      <c r="AF170" s="311"/>
      <c r="AG170" s="311"/>
      <c r="AH170" s="311"/>
      <c r="AI170" s="169" t="s">
        <v>1</v>
      </c>
      <c r="AJ170" s="311" t="s">
        <v>135</v>
      </c>
      <c r="AK170" s="311"/>
      <c r="AL170" s="311"/>
      <c r="AM170" s="311"/>
      <c r="AN170" s="311"/>
      <c r="AO170" s="311"/>
      <c r="AQ170" s="142"/>
    </row>
    <row r="171" spans="1:43" s="71" customFormat="1">
      <c r="A171" s="72"/>
      <c r="B171" s="56"/>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117"/>
      <c r="AA171" s="128"/>
      <c r="AB171" s="171"/>
      <c r="AC171" s="312" t="s">
        <v>136</v>
      </c>
      <c r="AD171" s="312"/>
      <c r="AE171" s="312"/>
      <c r="AF171" s="312"/>
      <c r="AG171" s="312"/>
      <c r="AH171" s="312"/>
      <c r="AI171" s="171"/>
      <c r="AJ171" s="312" t="s">
        <v>136</v>
      </c>
      <c r="AK171" s="312"/>
      <c r="AL171" s="312"/>
      <c r="AM171" s="312"/>
      <c r="AN171" s="312"/>
      <c r="AO171" s="312"/>
      <c r="AP171" s="11"/>
      <c r="AQ171" s="129"/>
    </row>
    <row r="172" spans="1:43">
      <c r="B172" s="188" t="s">
        <v>78</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98"/>
      <c r="AA172" s="128"/>
      <c r="AB172" s="169" t="s">
        <v>2</v>
      </c>
      <c r="AC172" s="311" t="s">
        <v>135</v>
      </c>
      <c r="AD172" s="311"/>
      <c r="AE172" s="311"/>
      <c r="AF172" s="311"/>
      <c r="AG172" s="311"/>
      <c r="AH172" s="311"/>
      <c r="AI172" s="169" t="s">
        <v>2</v>
      </c>
      <c r="AJ172" s="311" t="s">
        <v>135</v>
      </c>
      <c r="AK172" s="311"/>
      <c r="AL172" s="311"/>
      <c r="AM172" s="311"/>
      <c r="AN172" s="311"/>
      <c r="AO172" s="311"/>
      <c r="AQ172" s="142"/>
    </row>
    <row r="173" spans="1:43">
      <c r="A173" s="11"/>
      <c r="B173" s="188"/>
      <c r="C173" s="17"/>
      <c r="D173" s="17"/>
      <c r="E173" s="17"/>
      <c r="F173" s="178"/>
      <c r="G173" s="178"/>
      <c r="H173" s="178"/>
      <c r="I173" s="178"/>
      <c r="J173" s="178"/>
      <c r="K173" s="178"/>
      <c r="L173" s="178"/>
      <c r="M173" s="178"/>
      <c r="N173" s="17"/>
      <c r="O173" s="17"/>
      <c r="P173" s="17"/>
      <c r="Q173" s="17"/>
      <c r="R173" s="17"/>
      <c r="S173" s="17"/>
      <c r="T173" s="17"/>
      <c r="U173" s="17"/>
      <c r="V173" s="17"/>
      <c r="W173" s="17"/>
      <c r="X173" s="17"/>
      <c r="Y173" s="17"/>
      <c r="Z173" s="118"/>
      <c r="AA173" s="128"/>
      <c r="AB173" s="171"/>
      <c r="AC173" s="312" t="s">
        <v>136</v>
      </c>
      <c r="AD173" s="312"/>
      <c r="AE173" s="312"/>
      <c r="AF173" s="312"/>
      <c r="AG173" s="312"/>
      <c r="AH173" s="312"/>
      <c r="AI173" s="171"/>
      <c r="AJ173" s="312" t="s">
        <v>136</v>
      </c>
      <c r="AK173" s="312"/>
      <c r="AL173" s="312"/>
      <c r="AM173" s="312"/>
      <c r="AN173" s="312"/>
      <c r="AO173" s="312"/>
      <c r="AQ173" s="129"/>
    </row>
    <row r="174" spans="1:43">
      <c r="A174" s="11"/>
      <c r="B174" s="206" t="s">
        <v>84</v>
      </c>
      <c r="C174" s="163"/>
      <c r="D174" s="207"/>
      <c r="E174" s="207" t="s">
        <v>42</v>
      </c>
      <c r="F174" s="437" t="s">
        <v>307</v>
      </c>
      <c r="G174" s="437"/>
      <c r="H174" s="437"/>
      <c r="I174" s="437"/>
      <c r="J174" s="437"/>
      <c r="K174" s="437"/>
      <c r="L174" s="437"/>
      <c r="M174" s="437"/>
      <c r="N174" s="208"/>
      <c r="O174" s="207" t="s">
        <v>36</v>
      </c>
      <c r="P174" s="438">
        <v>45691</v>
      </c>
      <c r="Q174" s="437"/>
      <c r="R174" s="437"/>
      <c r="S174" s="17"/>
      <c r="T174" s="162"/>
      <c r="U174" s="162" t="s">
        <v>43</v>
      </c>
      <c r="V174" s="439"/>
      <c r="W174" s="439"/>
      <c r="X174" s="439"/>
      <c r="Y174" s="439"/>
      <c r="Z174" s="118"/>
      <c r="AA174" s="128"/>
      <c r="AB174" s="169" t="s">
        <v>3</v>
      </c>
      <c r="AC174" s="311" t="s">
        <v>135</v>
      </c>
      <c r="AD174" s="311"/>
      <c r="AE174" s="311"/>
      <c r="AF174" s="311"/>
      <c r="AG174" s="311"/>
      <c r="AH174" s="311"/>
      <c r="AI174" s="169" t="s">
        <v>3</v>
      </c>
      <c r="AJ174" s="311" t="s">
        <v>135</v>
      </c>
      <c r="AK174" s="311"/>
      <c r="AL174" s="311"/>
      <c r="AM174" s="311"/>
      <c r="AN174" s="311"/>
      <c r="AO174" s="311"/>
      <c r="AQ174" s="142"/>
    </row>
    <row r="175" spans="1:43">
      <c r="A175" s="11"/>
      <c r="B175" s="188"/>
      <c r="C175" s="17"/>
      <c r="D175" s="17"/>
      <c r="E175" s="17"/>
      <c r="F175" s="178"/>
      <c r="G175" s="178"/>
      <c r="H175" s="178"/>
      <c r="I175" s="178"/>
      <c r="J175" s="178"/>
      <c r="K175" s="209"/>
      <c r="L175" s="209"/>
      <c r="M175" s="178"/>
      <c r="N175" s="17"/>
      <c r="O175" s="17"/>
      <c r="P175" s="17"/>
      <c r="Q175" s="17"/>
      <c r="R175" s="17"/>
      <c r="S175" s="17"/>
      <c r="T175" s="17"/>
      <c r="U175" s="17"/>
      <c r="V175" s="17"/>
      <c r="W175" s="17"/>
      <c r="X175" s="17"/>
      <c r="Y175" s="17"/>
      <c r="Z175" s="118"/>
      <c r="AA175" s="128"/>
      <c r="AB175" s="171"/>
      <c r="AC175" s="312" t="s">
        <v>136</v>
      </c>
      <c r="AD175" s="312"/>
      <c r="AE175" s="312"/>
      <c r="AF175" s="312"/>
      <c r="AG175" s="312"/>
      <c r="AH175" s="312"/>
      <c r="AI175" s="171"/>
      <c r="AJ175" s="312" t="s">
        <v>136</v>
      </c>
      <c r="AK175" s="312"/>
      <c r="AL175" s="312"/>
      <c r="AM175" s="312"/>
      <c r="AN175" s="312"/>
      <c r="AO175" s="312"/>
      <c r="AQ175" s="129"/>
    </row>
    <row r="176" spans="1:43">
      <c r="A176" s="11"/>
      <c r="B176" s="435" t="s">
        <v>21</v>
      </c>
      <c r="C176" s="436"/>
      <c r="D176" s="17"/>
      <c r="E176" s="207" t="s">
        <v>42</v>
      </c>
      <c r="F176" s="437" t="s">
        <v>262</v>
      </c>
      <c r="G176" s="437"/>
      <c r="H176" s="437"/>
      <c r="I176" s="437"/>
      <c r="J176" s="437"/>
      <c r="K176" s="437"/>
      <c r="L176" s="437"/>
      <c r="M176" s="437"/>
      <c r="N176" s="17"/>
      <c r="O176" s="162" t="s">
        <v>36</v>
      </c>
      <c r="P176" s="438">
        <v>45691</v>
      </c>
      <c r="Q176" s="437"/>
      <c r="R176" s="437"/>
      <c r="S176" s="17"/>
      <c r="T176" s="162"/>
      <c r="U176" s="162" t="s">
        <v>43</v>
      </c>
      <c r="V176" s="439"/>
      <c r="W176" s="439"/>
      <c r="X176" s="439"/>
      <c r="Y176" s="439"/>
      <c r="Z176" s="118"/>
      <c r="AA176" s="128"/>
      <c r="AB176" s="169" t="s">
        <v>4</v>
      </c>
      <c r="AC176" s="327" t="s">
        <v>135</v>
      </c>
      <c r="AD176" s="328"/>
      <c r="AE176" s="328"/>
      <c r="AF176" s="328"/>
      <c r="AG176" s="328"/>
      <c r="AH176" s="329"/>
      <c r="AI176" s="169" t="s">
        <v>4</v>
      </c>
      <c r="AJ176" s="327" t="s">
        <v>135</v>
      </c>
      <c r="AK176" s="328"/>
      <c r="AL176" s="328"/>
      <c r="AM176" s="328"/>
      <c r="AN176" s="328"/>
      <c r="AO176" s="329"/>
      <c r="AQ176" s="142"/>
    </row>
    <row r="177" spans="1:43">
      <c r="A177" s="11"/>
      <c r="B177" s="210"/>
      <c r="C177" s="211"/>
      <c r="D177" s="17"/>
      <c r="E177" s="207"/>
      <c r="F177" s="212"/>
      <c r="G177" s="212"/>
      <c r="H177" s="212"/>
      <c r="I177" s="212"/>
      <c r="J177" s="212"/>
      <c r="K177" s="212"/>
      <c r="L177" s="212"/>
      <c r="M177" s="212"/>
      <c r="N177" s="17"/>
      <c r="O177" s="162"/>
      <c r="P177" s="212"/>
      <c r="Q177" s="212"/>
      <c r="R177" s="212"/>
      <c r="S177" s="17"/>
      <c r="T177" s="162"/>
      <c r="U177" s="162"/>
      <c r="V177" s="178"/>
      <c r="W177" s="178"/>
      <c r="X177" s="178"/>
      <c r="Y177" s="178"/>
      <c r="Z177" s="118"/>
      <c r="AA177" s="128"/>
      <c r="AB177" s="171"/>
      <c r="AC177" s="330" t="s">
        <v>136</v>
      </c>
      <c r="AD177" s="331"/>
      <c r="AE177" s="331"/>
      <c r="AF177" s="331"/>
      <c r="AG177" s="331"/>
      <c r="AH177" s="332"/>
      <c r="AI177" s="171"/>
      <c r="AJ177" s="330" t="s">
        <v>136</v>
      </c>
      <c r="AK177" s="331"/>
      <c r="AL177" s="331"/>
      <c r="AM177" s="331"/>
      <c r="AN177" s="331"/>
      <c r="AO177" s="332"/>
      <c r="AQ177" s="129"/>
    </row>
    <row r="178" spans="1:43">
      <c r="A178" s="11"/>
      <c r="B178" s="435" t="s">
        <v>49</v>
      </c>
      <c r="C178" s="436"/>
      <c r="D178" s="17"/>
      <c r="E178" s="207" t="s">
        <v>42</v>
      </c>
      <c r="F178" s="437" t="s">
        <v>308</v>
      </c>
      <c r="G178" s="437"/>
      <c r="H178" s="437"/>
      <c r="I178" s="437"/>
      <c r="J178" s="437"/>
      <c r="K178" s="437"/>
      <c r="L178" s="437"/>
      <c r="M178" s="437"/>
      <c r="N178" s="17"/>
      <c r="O178" s="162" t="s">
        <v>36</v>
      </c>
      <c r="P178" s="438">
        <v>45691</v>
      </c>
      <c r="Q178" s="437"/>
      <c r="R178" s="437"/>
      <c r="S178" s="17"/>
      <c r="T178" s="162"/>
      <c r="U178" s="162" t="s">
        <v>43</v>
      </c>
      <c r="V178" s="439"/>
      <c r="W178" s="439"/>
      <c r="X178" s="439"/>
      <c r="Y178" s="439"/>
      <c r="Z178" s="118"/>
      <c r="AA178" s="128"/>
      <c r="AB178" s="170" t="s">
        <v>5</v>
      </c>
      <c r="AC178" s="333" t="s">
        <v>135</v>
      </c>
      <c r="AD178" s="334"/>
      <c r="AE178" s="334"/>
      <c r="AF178" s="334"/>
      <c r="AG178" s="334"/>
      <c r="AH178" s="335"/>
      <c r="AI178" s="170" t="s">
        <v>5</v>
      </c>
      <c r="AJ178" s="333" t="s">
        <v>135</v>
      </c>
      <c r="AK178" s="334"/>
      <c r="AL178" s="334"/>
      <c r="AM178" s="334"/>
      <c r="AN178" s="334"/>
      <c r="AO178" s="335"/>
      <c r="AQ178" s="142"/>
    </row>
    <row r="179" spans="1:43">
      <c r="A179" s="11"/>
      <c r="B179" s="53"/>
      <c r="C179" s="23"/>
      <c r="D179" s="23"/>
      <c r="E179" s="23"/>
      <c r="F179" s="29"/>
      <c r="G179" s="29"/>
      <c r="H179" s="29"/>
      <c r="I179" s="29"/>
      <c r="J179" s="29"/>
      <c r="K179" s="48"/>
      <c r="L179" s="48"/>
      <c r="M179" s="29"/>
      <c r="N179" s="23"/>
      <c r="O179" s="23"/>
      <c r="P179" s="23"/>
      <c r="Q179" s="23"/>
      <c r="R179" s="23"/>
      <c r="S179" s="23"/>
      <c r="T179" s="23"/>
      <c r="U179" s="23"/>
      <c r="V179" s="23"/>
      <c r="W179" s="23"/>
      <c r="X179" s="23"/>
      <c r="Y179" s="23"/>
      <c r="Z179" s="118"/>
      <c r="AA179" s="128"/>
      <c r="AB179" s="171"/>
      <c r="AC179" s="330" t="s">
        <v>136</v>
      </c>
      <c r="AD179" s="331"/>
      <c r="AE179" s="331"/>
      <c r="AF179" s="331"/>
      <c r="AG179" s="331"/>
      <c r="AH179" s="332"/>
      <c r="AI179" s="171"/>
      <c r="AJ179" s="330" t="s">
        <v>136</v>
      </c>
      <c r="AK179" s="331"/>
      <c r="AL179" s="331"/>
      <c r="AM179" s="331"/>
      <c r="AN179" s="331"/>
      <c r="AO179" s="332"/>
      <c r="AQ179" s="129"/>
    </row>
    <row r="180" spans="1:43">
      <c r="A180" s="11"/>
      <c r="B180" s="60"/>
      <c r="C180" s="38"/>
      <c r="D180" s="38"/>
      <c r="E180" s="38"/>
      <c r="F180" s="38"/>
      <c r="G180" s="38"/>
      <c r="H180" s="38"/>
      <c r="I180" s="38"/>
      <c r="J180" s="38"/>
      <c r="K180" s="119"/>
      <c r="L180" s="119"/>
      <c r="M180" s="119"/>
      <c r="N180" s="38"/>
      <c r="O180" s="38"/>
      <c r="P180" s="38"/>
      <c r="Q180" s="38"/>
      <c r="R180" s="38"/>
      <c r="S180" s="38"/>
      <c r="T180" s="38"/>
      <c r="U180" s="38"/>
      <c r="V180" s="38"/>
      <c r="W180" s="38"/>
      <c r="X180" s="38"/>
      <c r="Y180" s="38"/>
      <c r="Z180" s="120"/>
      <c r="AA180" s="172"/>
      <c r="AB180" s="173"/>
      <c r="AC180" s="173"/>
      <c r="AD180" s="173"/>
      <c r="AE180" s="173"/>
      <c r="AF180" s="173"/>
      <c r="AG180" s="173"/>
      <c r="AH180" s="173"/>
      <c r="AI180" s="173"/>
      <c r="AJ180" s="173"/>
      <c r="AK180" s="173"/>
      <c r="AL180" s="173"/>
      <c r="AM180" s="173"/>
      <c r="AN180" s="173"/>
      <c r="AO180" s="173"/>
      <c r="AP180" s="173"/>
      <c r="AQ180" s="174"/>
    </row>
  </sheetData>
  <mergeCells count="520">
    <mergeCell ref="B17:AB17"/>
    <mergeCell ref="B105:Y105"/>
    <mergeCell ref="X126:Y126"/>
    <mergeCell ref="AA18:AQ21"/>
    <mergeCell ref="R78:S78"/>
    <mergeCell ref="J39:M39"/>
    <mergeCell ref="J40:M40"/>
    <mergeCell ref="E129:M129"/>
    <mergeCell ref="E130:M130"/>
    <mergeCell ref="AA108:AQ111"/>
    <mergeCell ref="AB120:AH120"/>
    <mergeCell ref="AI120:AO120"/>
    <mergeCell ref="AC121:AH121"/>
    <mergeCell ref="AC122:AH122"/>
    <mergeCell ref="AJ121:AO121"/>
    <mergeCell ref="AJ122:AO122"/>
    <mergeCell ref="AC123:AH123"/>
    <mergeCell ref="AQ59:AQ95"/>
    <mergeCell ref="AB98:AB99"/>
    <mergeCell ref="AE98:AE99"/>
    <mergeCell ref="AH98:AH99"/>
    <mergeCell ref="AB71:AD72"/>
    <mergeCell ref="AG71:AI72"/>
    <mergeCell ref="AL71:AN72"/>
    <mergeCell ref="AJ155:AO155"/>
    <mergeCell ref="AB169:AH169"/>
    <mergeCell ref="AI169:AO169"/>
    <mergeCell ref="AC170:AH170"/>
    <mergeCell ref="AJ170:AO170"/>
    <mergeCell ref="AC156:AH156"/>
    <mergeCell ref="AJ156:AO156"/>
    <mergeCell ref="AC157:AH157"/>
    <mergeCell ref="AJ157:AO157"/>
    <mergeCell ref="AC158:AH158"/>
    <mergeCell ref="AJ158:AO158"/>
    <mergeCell ref="AC159:AH159"/>
    <mergeCell ref="AJ159:AO159"/>
    <mergeCell ref="AC160:AH160"/>
    <mergeCell ref="AJ160:AO160"/>
    <mergeCell ref="AC161:AH161"/>
    <mergeCell ref="AJ161:AO161"/>
    <mergeCell ref="AC162:AH162"/>
    <mergeCell ref="AJ162:AO162"/>
    <mergeCell ref="AC163:AH163"/>
    <mergeCell ref="AJ163:AO163"/>
    <mergeCell ref="AB166:AH167"/>
    <mergeCell ref="AI166:AO167"/>
    <mergeCell ref="AC179:AH179"/>
    <mergeCell ref="AJ179:AO179"/>
    <mergeCell ref="AC171:AH171"/>
    <mergeCell ref="AJ171:AO171"/>
    <mergeCell ref="AC172:AH172"/>
    <mergeCell ref="AJ172:AO172"/>
    <mergeCell ref="AC173:AH173"/>
    <mergeCell ref="AJ173:AO173"/>
    <mergeCell ref="AC174:AH174"/>
    <mergeCell ref="AJ174:AO174"/>
    <mergeCell ref="AC175:AH175"/>
    <mergeCell ref="AJ175:AO175"/>
    <mergeCell ref="AC176:AH176"/>
    <mergeCell ref="AJ176:AO176"/>
    <mergeCell ref="AC177:AH177"/>
    <mergeCell ref="AJ177:AO177"/>
    <mergeCell ref="AC178:AH178"/>
    <mergeCell ref="AJ178:AO178"/>
    <mergeCell ref="AJ145:AO145"/>
    <mergeCell ref="X141:Y141"/>
    <mergeCell ref="AC143:AH143"/>
    <mergeCell ref="AJ143:AO143"/>
    <mergeCell ref="AB150:AH151"/>
    <mergeCell ref="AI150:AO151"/>
    <mergeCell ref="AC142:AH142"/>
    <mergeCell ref="AJ142:AO142"/>
    <mergeCell ref="V139:W139"/>
    <mergeCell ref="X139:Y139"/>
    <mergeCell ref="V140:W140"/>
    <mergeCell ref="AJ144:AO144"/>
    <mergeCell ref="AC145:AH145"/>
    <mergeCell ref="AB153:AH153"/>
    <mergeCell ref="AI153:AO153"/>
    <mergeCell ref="AC144:AH144"/>
    <mergeCell ref="AC146:AH146"/>
    <mergeCell ref="AJ146:AO146"/>
    <mergeCell ref="AC139:AH139"/>
    <mergeCell ref="AJ139:AO139"/>
    <mergeCell ref="AC140:AH140"/>
    <mergeCell ref="B169:Y170"/>
    <mergeCell ref="E144:K144"/>
    <mergeCell ref="T142:U142"/>
    <mergeCell ref="T143:U143"/>
    <mergeCell ref="T144:U144"/>
    <mergeCell ref="E167:G167"/>
    <mergeCell ref="E158:J158"/>
    <mergeCell ref="B150:Y151"/>
    <mergeCell ref="V152:Y152"/>
    <mergeCell ref="B156:Y157"/>
    <mergeCell ref="V158:Y158"/>
    <mergeCell ref="V146:W146"/>
    <mergeCell ref="X146:Y146"/>
    <mergeCell ref="T145:U145"/>
    <mergeCell ref="T146:U146"/>
    <mergeCell ref="E145:K145"/>
    <mergeCell ref="AB73:AD74"/>
    <mergeCell ref="AG73:AI74"/>
    <mergeCell ref="AL73:AN74"/>
    <mergeCell ref="AB80:AD81"/>
    <mergeCell ref="AE80:AE95"/>
    <mergeCell ref="AG80:AI81"/>
    <mergeCell ref="AJ80:AJ95"/>
    <mergeCell ref="AL80:AN81"/>
    <mergeCell ref="AC124:AH124"/>
    <mergeCell ref="AL82:AN83"/>
    <mergeCell ref="AB84:AD85"/>
    <mergeCell ref="AJ59:AJ74"/>
    <mergeCell ref="AL59:AN60"/>
    <mergeCell ref="AG63:AI64"/>
    <mergeCell ref="AL63:AN64"/>
    <mergeCell ref="AB65:AD66"/>
    <mergeCell ref="AG65:AI66"/>
    <mergeCell ref="AL65:AN66"/>
    <mergeCell ref="AB67:AD68"/>
    <mergeCell ref="AG67:AI68"/>
    <mergeCell ref="AL67:AN68"/>
    <mergeCell ref="AB69:AD70"/>
    <mergeCell ref="AG69:AI70"/>
    <mergeCell ref="AL69:AN70"/>
    <mergeCell ref="X140:Y140"/>
    <mergeCell ref="V141:W141"/>
    <mergeCell ref="AJ129:AO129"/>
    <mergeCell ref="AJ130:AO130"/>
    <mergeCell ref="T139:U139"/>
    <mergeCell ref="E141:K141"/>
    <mergeCell ref="X138:Y138"/>
    <mergeCell ref="E126:M128"/>
    <mergeCell ref="AC138:AH138"/>
    <mergeCell ref="AJ138:AO138"/>
    <mergeCell ref="AB136:AH136"/>
    <mergeCell ref="E137:K140"/>
    <mergeCell ref="L137:S139"/>
    <mergeCell ref="AI136:AO136"/>
    <mergeCell ref="AC137:AH137"/>
    <mergeCell ref="AJ137:AO137"/>
    <mergeCell ref="L140:S140"/>
    <mergeCell ref="T140:U140"/>
    <mergeCell ref="AB59:AD60"/>
    <mergeCell ref="AE59:AE74"/>
    <mergeCell ref="AL61:AN62"/>
    <mergeCell ref="AB63:AD64"/>
    <mergeCell ref="AG82:AI83"/>
    <mergeCell ref="C83:D83"/>
    <mergeCell ref="X82:Y82"/>
    <mergeCell ref="J83:K83"/>
    <mergeCell ref="S39:U39"/>
    <mergeCell ref="S40:U40"/>
    <mergeCell ref="O39:R39"/>
    <mergeCell ref="E81:F81"/>
    <mergeCell ref="G77:I77"/>
    <mergeCell ref="AB82:AD83"/>
    <mergeCell ref="AA54:AQ57"/>
    <mergeCell ref="B64:Y64"/>
    <mergeCell ref="P75:Q75"/>
    <mergeCell ref="N75:O75"/>
    <mergeCell ref="T75:U75"/>
    <mergeCell ref="B62:Y62"/>
    <mergeCell ref="T76:U76"/>
    <mergeCell ref="T77:U77"/>
    <mergeCell ref="L77:M77"/>
    <mergeCell ref="X78:Y78"/>
    <mergeCell ref="D44:H44"/>
    <mergeCell ref="D46:H46"/>
    <mergeCell ref="S44:U44"/>
    <mergeCell ref="S46:U46"/>
    <mergeCell ref="J44:M44"/>
    <mergeCell ref="O46:R46"/>
    <mergeCell ref="V44:Y44"/>
    <mergeCell ref="V46:Y46"/>
    <mergeCell ref="V35:Y35"/>
    <mergeCell ref="O40:R40"/>
    <mergeCell ref="D41:H41"/>
    <mergeCell ref="S42:U42"/>
    <mergeCell ref="D45:H45"/>
    <mergeCell ref="J45:M45"/>
    <mergeCell ref="O45:R45"/>
    <mergeCell ref="S45:U45"/>
    <mergeCell ref="V45:X45"/>
    <mergeCell ref="X18:Z24"/>
    <mergeCell ref="H25:R25"/>
    <mergeCell ref="Z25:Z28"/>
    <mergeCell ref="K26:P26"/>
    <mergeCell ref="V26:Y26"/>
    <mergeCell ref="H18:W22"/>
    <mergeCell ref="H23:W24"/>
    <mergeCell ref="B59:Y59"/>
    <mergeCell ref="C75:D75"/>
    <mergeCell ref="E75:F75"/>
    <mergeCell ref="W28:Y28"/>
    <mergeCell ref="K27:P27"/>
    <mergeCell ref="K28:O28"/>
    <mergeCell ref="R33:Y33"/>
    <mergeCell ref="V27:Y27"/>
    <mergeCell ref="J46:M46"/>
    <mergeCell ref="O44:R44"/>
    <mergeCell ref="F53:Y53"/>
    <mergeCell ref="F54:Y54"/>
    <mergeCell ref="M48:O48"/>
    <mergeCell ref="F49:Y49"/>
    <mergeCell ref="H35:S35"/>
    <mergeCell ref="V37:Y37"/>
    <mergeCell ref="D39:H39"/>
    <mergeCell ref="V101:Y101"/>
    <mergeCell ref="V102:Y102"/>
    <mergeCell ref="V103:Y103"/>
    <mergeCell ref="N94:U94"/>
    <mergeCell ref="L136:S136"/>
    <mergeCell ref="B94:D94"/>
    <mergeCell ref="L84:M84"/>
    <mergeCell ref="T84:U84"/>
    <mergeCell ref="V94:Y94"/>
    <mergeCell ref="N95:U95"/>
    <mergeCell ref="V95:Y95"/>
    <mergeCell ref="E94:M94"/>
    <mergeCell ref="J85:K85"/>
    <mergeCell ref="E85:F85"/>
    <mergeCell ref="P84:Q84"/>
    <mergeCell ref="G84:I84"/>
    <mergeCell ref="V136:W136"/>
    <mergeCell ref="X136:Y136"/>
    <mergeCell ref="B113:Y113"/>
    <mergeCell ref="E121:M125"/>
    <mergeCell ref="B95:D98"/>
    <mergeCell ref="E98:M98"/>
    <mergeCell ref="E99:M101"/>
    <mergeCell ref="E136:K136"/>
    <mergeCell ref="F56:Y56"/>
    <mergeCell ref="B49:E49"/>
    <mergeCell ref="B51:Y52"/>
    <mergeCell ref="N83:O83"/>
    <mergeCell ref="F55:Y55"/>
    <mergeCell ref="T81:U81"/>
    <mergeCell ref="H71:Y71"/>
    <mergeCell ref="G75:I75"/>
    <mergeCell ref="G76:I76"/>
    <mergeCell ref="J75:K75"/>
    <mergeCell ref="L75:M75"/>
    <mergeCell ref="R75:S75"/>
    <mergeCell ref="B65:Y66"/>
    <mergeCell ref="L78:M78"/>
    <mergeCell ref="P78:Q78"/>
    <mergeCell ref="R81:S81"/>
    <mergeCell ref="N79:O79"/>
    <mergeCell ref="G82:I82"/>
    <mergeCell ref="E80:F80"/>
    <mergeCell ref="E78:F78"/>
    <mergeCell ref="P83:Q83"/>
    <mergeCell ref="X83:Y83"/>
    <mergeCell ref="T83:U83"/>
    <mergeCell ref="E79:F79"/>
    <mergeCell ref="V36:Y36"/>
    <mergeCell ref="H37:S37"/>
    <mergeCell ref="O41:R41"/>
    <mergeCell ref="O42:R42"/>
    <mergeCell ref="O43:R43"/>
    <mergeCell ref="D43:H43"/>
    <mergeCell ref="J41:M41"/>
    <mergeCell ref="J42:M42"/>
    <mergeCell ref="V39:Y39"/>
    <mergeCell ref="V40:Y40"/>
    <mergeCell ref="V41:Y41"/>
    <mergeCell ref="V42:Y42"/>
    <mergeCell ref="D42:H42"/>
    <mergeCell ref="J43:M43"/>
    <mergeCell ref="S41:U41"/>
    <mergeCell ref="D40:H40"/>
    <mergeCell ref="P38:Y38"/>
    <mergeCell ref="H36:S36"/>
    <mergeCell ref="V43:Y43"/>
    <mergeCell ref="B74:Y74"/>
    <mergeCell ref="P77:Q77"/>
    <mergeCell ref="N76:O76"/>
    <mergeCell ref="L76:M76"/>
    <mergeCell ref="F57:Y57"/>
    <mergeCell ref="F58:Y58"/>
    <mergeCell ref="B60:Y61"/>
    <mergeCell ref="V84:W84"/>
    <mergeCell ref="X84:Y84"/>
    <mergeCell ref="V83:W83"/>
    <mergeCell ref="G83:I83"/>
    <mergeCell ref="L83:M83"/>
    <mergeCell ref="V81:W81"/>
    <mergeCell ref="J78:K78"/>
    <mergeCell ref="N78:O78"/>
    <mergeCell ref="X81:Y81"/>
    <mergeCell ref="V80:W80"/>
    <mergeCell ref="E50:Y50"/>
    <mergeCell ref="C78:D78"/>
    <mergeCell ref="C79:D79"/>
    <mergeCell ref="G79:I79"/>
    <mergeCell ref="G78:I78"/>
    <mergeCell ref="L79:M79"/>
    <mergeCell ref="E146:K146"/>
    <mergeCell ref="B162:Y163"/>
    <mergeCell ref="B142:D146"/>
    <mergeCell ref="V142:W142"/>
    <mergeCell ref="X142:Y142"/>
    <mergeCell ref="V143:W143"/>
    <mergeCell ref="X143:Y143"/>
    <mergeCell ref="V144:W144"/>
    <mergeCell ref="X144:Y144"/>
    <mergeCell ref="V145:W145"/>
    <mergeCell ref="B31:E31"/>
    <mergeCell ref="N33:Q33"/>
    <mergeCell ref="V25:Y25"/>
    <mergeCell ref="F33:M33"/>
    <mergeCell ref="B18:G28"/>
    <mergeCell ref="J81:K81"/>
    <mergeCell ref="E82:F82"/>
    <mergeCell ref="C81:D81"/>
    <mergeCell ref="C82:D82"/>
    <mergeCell ref="R30:Y30"/>
    <mergeCell ref="R31:Y31"/>
    <mergeCell ref="R32:Y32"/>
    <mergeCell ref="B54:D54"/>
    <mergeCell ref="F30:M30"/>
    <mergeCell ref="F31:M31"/>
    <mergeCell ref="F32:M32"/>
    <mergeCell ref="H34:S34"/>
    <mergeCell ref="V34:Y34"/>
    <mergeCell ref="B63:E63"/>
    <mergeCell ref="B71:G71"/>
    <mergeCell ref="B69:F69"/>
    <mergeCell ref="B50:D50"/>
    <mergeCell ref="S43:U43"/>
    <mergeCell ref="P81:Q81"/>
    <mergeCell ref="E97:M97"/>
    <mergeCell ref="N97:U98"/>
    <mergeCell ref="X79:Y79"/>
    <mergeCell ref="J80:K80"/>
    <mergeCell ref="E76:F76"/>
    <mergeCell ref="V97:Y97"/>
    <mergeCell ref="V98:Y98"/>
    <mergeCell ref="T82:U82"/>
    <mergeCell ref="V82:W82"/>
    <mergeCell ref="X80:Y80"/>
    <mergeCell ref="J79:K79"/>
    <mergeCell ref="T78:U78"/>
    <mergeCell ref="R80:S80"/>
    <mergeCell ref="R79:S79"/>
    <mergeCell ref="P80:Q80"/>
    <mergeCell ref="V77:W77"/>
    <mergeCell ref="X77:Y77"/>
    <mergeCell ref="J76:K76"/>
    <mergeCell ref="R77:S77"/>
    <mergeCell ref="E84:F84"/>
    <mergeCell ref="P82:Q82"/>
    <mergeCell ref="L85:M85"/>
    <mergeCell ref="R85:S85"/>
    <mergeCell ref="V85:W85"/>
    <mergeCell ref="B99:D103"/>
    <mergeCell ref="E103:M103"/>
    <mergeCell ref="N103:U103"/>
    <mergeCell ref="N99:U99"/>
    <mergeCell ref="N158:P158"/>
    <mergeCell ref="B114:Y115"/>
    <mergeCell ref="V120:W120"/>
    <mergeCell ref="X145:Y145"/>
    <mergeCell ref="E142:K142"/>
    <mergeCell ref="E143:K143"/>
    <mergeCell ref="B136:D136"/>
    <mergeCell ref="L142:S146"/>
    <mergeCell ref="B137:D141"/>
    <mergeCell ref="V137:W137"/>
    <mergeCell ref="X137:Y137"/>
    <mergeCell ref="V138:W138"/>
    <mergeCell ref="B109:Y110"/>
    <mergeCell ref="B108:Y108"/>
    <mergeCell ref="B120:D120"/>
    <mergeCell ref="E120:M120"/>
    <mergeCell ref="N120:U120"/>
    <mergeCell ref="B121:D125"/>
    <mergeCell ref="B126:D130"/>
    <mergeCell ref="N121:U125"/>
    <mergeCell ref="B178:C178"/>
    <mergeCell ref="F178:M178"/>
    <mergeCell ref="P178:R178"/>
    <mergeCell ref="V178:Y178"/>
    <mergeCell ref="B176:C176"/>
    <mergeCell ref="F176:M176"/>
    <mergeCell ref="P176:R176"/>
    <mergeCell ref="V176:Y176"/>
    <mergeCell ref="F174:M174"/>
    <mergeCell ref="P174:R174"/>
    <mergeCell ref="V174:Y174"/>
    <mergeCell ref="AG59:AI60"/>
    <mergeCell ref="C84:D84"/>
    <mergeCell ref="X85:Y85"/>
    <mergeCell ref="V78:W78"/>
    <mergeCell ref="AL88:AN89"/>
    <mergeCell ref="C85:D85"/>
    <mergeCell ref="AG84:AI85"/>
    <mergeCell ref="AL84:AN85"/>
    <mergeCell ref="AB86:AD87"/>
    <mergeCell ref="AG86:AI87"/>
    <mergeCell ref="AL86:AN87"/>
    <mergeCell ref="E83:F83"/>
    <mergeCell ref="G85:I85"/>
    <mergeCell ref="J84:K84"/>
    <mergeCell ref="T85:U85"/>
    <mergeCell ref="R84:S84"/>
    <mergeCell ref="B88:Y89"/>
    <mergeCell ref="N84:O84"/>
    <mergeCell ref="P85:Q85"/>
    <mergeCell ref="B87:Y87"/>
    <mergeCell ref="N85:O85"/>
    <mergeCell ref="N80:O80"/>
    <mergeCell ref="N81:O81"/>
    <mergeCell ref="N82:O82"/>
    <mergeCell ref="AG88:AI89"/>
    <mergeCell ref="AI25:AN41"/>
    <mergeCell ref="AH25:AH41"/>
    <mergeCell ref="AC25:AG41"/>
    <mergeCell ref="AA58:AQ58"/>
    <mergeCell ref="AO80:AO95"/>
    <mergeCell ref="AG90:AI91"/>
    <mergeCell ref="AL90:AN91"/>
    <mergeCell ref="AB92:AD93"/>
    <mergeCell ref="AG92:AI93"/>
    <mergeCell ref="AL92:AN93"/>
    <mergeCell ref="AB94:AD95"/>
    <mergeCell ref="AG94:AI95"/>
    <mergeCell ref="AL94:AN95"/>
    <mergeCell ref="AO59:AO74"/>
    <mergeCell ref="AB61:AD62"/>
    <mergeCell ref="AG61:AI62"/>
    <mergeCell ref="AB88:AD89"/>
    <mergeCell ref="AI47:AN49"/>
    <mergeCell ref="AC47:AG49"/>
    <mergeCell ref="AI43:AN43"/>
    <mergeCell ref="AH43:AH49"/>
    <mergeCell ref="AC43:AG43"/>
    <mergeCell ref="AB90:AD91"/>
    <mergeCell ref="L81:M81"/>
    <mergeCell ref="J82:K82"/>
    <mergeCell ref="L82:M82"/>
    <mergeCell ref="V75:W75"/>
    <mergeCell ref="C77:D77"/>
    <mergeCell ref="E77:F77"/>
    <mergeCell ref="J77:K77"/>
    <mergeCell ref="E96:M96"/>
    <mergeCell ref="N96:U96"/>
    <mergeCell ref="E95:M95"/>
    <mergeCell ref="T79:U79"/>
    <mergeCell ref="G81:I81"/>
    <mergeCell ref="C76:D76"/>
    <mergeCell ref="L80:M80"/>
    <mergeCell ref="R83:S83"/>
    <mergeCell ref="V96:Y96"/>
    <mergeCell ref="G80:I80"/>
    <mergeCell ref="V79:W79"/>
    <mergeCell ref="T80:U80"/>
    <mergeCell ref="AC154:AH154"/>
    <mergeCell ref="AJ154:AO154"/>
    <mergeCell ref="AC155:AH155"/>
    <mergeCell ref="B164:Y164"/>
    <mergeCell ref="E166:Y166"/>
    <mergeCell ref="V130:W130"/>
    <mergeCell ref="X127:Y127"/>
    <mergeCell ref="X128:Y128"/>
    <mergeCell ref="N126:U130"/>
    <mergeCell ref="AJ126:AO126"/>
    <mergeCell ref="AC127:AH127"/>
    <mergeCell ref="AC128:AH128"/>
    <mergeCell ref="AC129:AH129"/>
    <mergeCell ref="AC130:AH130"/>
    <mergeCell ref="AJ127:AO127"/>
    <mergeCell ref="AJ128:AO128"/>
    <mergeCell ref="L141:S141"/>
    <mergeCell ref="T141:U141"/>
    <mergeCell ref="T136:U136"/>
    <mergeCell ref="T137:U137"/>
    <mergeCell ref="T138:U138"/>
    <mergeCell ref="AJ140:AO140"/>
    <mergeCell ref="AC141:AH141"/>
    <mergeCell ref="AJ141:AO141"/>
    <mergeCell ref="AB133:AH134"/>
    <mergeCell ref="AI133:AO134"/>
    <mergeCell ref="X120:Y120"/>
    <mergeCell ref="X129:Y129"/>
    <mergeCell ref="X130:Y130"/>
    <mergeCell ref="V126:W129"/>
    <mergeCell ref="AJ123:AO123"/>
    <mergeCell ref="AJ124:AO124"/>
    <mergeCell ref="AJ125:AO125"/>
    <mergeCell ref="AC125:AH125"/>
    <mergeCell ref="AC126:AH126"/>
    <mergeCell ref="V121:W125"/>
    <mergeCell ref="X121:Y125"/>
    <mergeCell ref="N100:U102"/>
    <mergeCell ref="V99:Y99"/>
    <mergeCell ref="V100:Y100"/>
    <mergeCell ref="AB102:AP104"/>
    <mergeCell ref="AB101:AP101"/>
    <mergeCell ref="E102:M102"/>
    <mergeCell ref="B68:F68"/>
    <mergeCell ref="F63:Y63"/>
    <mergeCell ref="AB116:AH117"/>
    <mergeCell ref="AI116:AO117"/>
    <mergeCell ref="H68:J68"/>
    <mergeCell ref="K68:Y68"/>
    <mergeCell ref="B73:Y73"/>
    <mergeCell ref="R76:S76"/>
    <mergeCell ref="V76:W76"/>
    <mergeCell ref="X76:Y76"/>
    <mergeCell ref="P76:Q76"/>
    <mergeCell ref="N77:O77"/>
    <mergeCell ref="X75:Y75"/>
    <mergeCell ref="H69:J69"/>
    <mergeCell ref="K69:Y69"/>
    <mergeCell ref="C80:D80"/>
    <mergeCell ref="R82:S82"/>
    <mergeCell ref="P79:Q79"/>
  </mergeCells>
  <conditionalFormatting sqref="O115:T115 H115:I115 K26:P27 V25:Y27 D39:H43 O39:R43 F53:F54 F56:Y58 B51 B60 G68:H69 K68:Y69 B88 B114 O151:T151 H151:I151 B150:B151 V152:W152 B156 I158 E158:F158 N158:O158 V158:W158 E166:E167 E167:F167 L174:M174 J174 F174:G174 L176:M176 J176 F176:G176 L178:M178 J178 F178:G178 V34:Y34 V36:Y37 F30:M33 R30:Y33 H71 D44 O44 B76:G76 J76:Y77 B77:F78 N78:Y78 B82:Y85 B79:D79 B80:B81 T79:Y81 V95:V103 D46 O46">
    <cfRule type="expression" dxfId="114" priority="591">
      <formula>B25=""</formula>
    </cfRule>
  </conditionalFormatting>
  <conditionalFormatting sqref="V152">
    <cfRule type="expression" dxfId="113" priority="169">
      <formula>V152=""</formula>
    </cfRule>
  </conditionalFormatting>
  <conditionalFormatting sqref="E158">
    <cfRule type="expression" dxfId="112" priority="168">
      <formula>E158=""</formula>
    </cfRule>
  </conditionalFormatting>
  <conditionalFormatting sqref="N158">
    <cfRule type="expression" dxfId="111" priority="167">
      <formula>N158=""</formula>
    </cfRule>
  </conditionalFormatting>
  <conditionalFormatting sqref="V158">
    <cfRule type="expression" dxfId="110" priority="166">
      <formula>V158=""</formula>
    </cfRule>
  </conditionalFormatting>
  <conditionalFormatting sqref="E166">
    <cfRule type="expression" dxfId="109" priority="164">
      <formula>E166=""</formula>
    </cfRule>
  </conditionalFormatting>
  <conditionalFormatting sqref="E167">
    <cfRule type="expression" dxfId="108" priority="163">
      <formula>E167=""</formula>
    </cfRule>
  </conditionalFormatting>
  <conditionalFormatting sqref="L174 F174">
    <cfRule type="expression" dxfId="107" priority="161">
      <formula>F174=""</formula>
    </cfRule>
  </conditionalFormatting>
  <conditionalFormatting sqref="L176 F176">
    <cfRule type="expression" dxfId="106" priority="160">
      <formula>F176=""</formula>
    </cfRule>
  </conditionalFormatting>
  <conditionalFormatting sqref="L178 F178">
    <cfRule type="expression" dxfId="105" priority="159">
      <formula>F178=""</formula>
    </cfRule>
  </conditionalFormatting>
  <conditionalFormatting sqref="F55">
    <cfRule type="expression" dxfId="104" priority="154">
      <formula>F55=""</formula>
    </cfRule>
  </conditionalFormatting>
  <conditionalFormatting sqref="V35:Y35">
    <cfRule type="expression" dxfId="103" priority="155">
      <formula>V35=""</formula>
    </cfRule>
  </conditionalFormatting>
  <conditionalFormatting sqref="AB102">
    <cfRule type="expression" dxfId="102" priority="152">
      <formula>AB102=""</formula>
    </cfRule>
  </conditionalFormatting>
  <conditionalFormatting sqref="B95 B99 E96:E99 E102:E103">
    <cfRule type="expression" dxfId="101" priority="145">
      <formula>B95=""</formula>
    </cfRule>
  </conditionalFormatting>
  <conditionalFormatting sqref="O110:T110 H110:I110 B109">
    <cfRule type="expression" dxfId="100" priority="144">
      <formula>B109=""</formula>
    </cfRule>
  </conditionalFormatting>
  <conditionalFormatting sqref="V139:V140">
    <cfRule type="expression" dxfId="99" priority="135">
      <formula>V139=""</formula>
    </cfRule>
  </conditionalFormatting>
  <conditionalFormatting sqref="B121 B126 E121 V121 V126 E126 E129:E130 V130">
    <cfRule type="expression" dxfId="98" priority="143">
      <formula>B121=""</formula>
    </cfRule>
  </conditionalFormatting>
  <conditionalFormatting sqref="V121 X121 V126 X127:X130 V130">
    <cfRule type="expression" dxfId="97" priority="141">
      <formula>V121=""</formula>
    </cfRule>
  </conditionalFormatting>
  <conditionalFormatting sqref="V139:V140">
    <cfRule type="expression" dxfId="96" priority="136">
      <formula>V139=""</formula>
    </cfRule>
  </conditionalFormatting>
  <conditionalFormatting sqref="T138:T140">
    <cfRule type="expression" dxfId="95" priority="131">
      <formula>T138=""</formula>
    </cfRule>
  </conditionalFormatting>
  <conditionalFormatting sqref="O163:T163 H163:I163 B162:B163">
    <cfRule type="expression" dxfId="94" priority="130">
      <formula>B162=""</formula>
    </cfRule>
  </conditionalFormatting>
  <conditionalFormatting sqref="B137 B142 V141:V146 V137:V138">
    <cfRule type="expression" dxfId="93" priority="138">
      <formula>B137=""</formula>
    </cfRule>
  </conditionalFormatting>
  <conditionalFormatting sqref="T138:T140">
    <cfRule type="expression" dxfId="92" priority="132">
      <formula>T138=""</formula>
    </cfRule>
  </conditionalFormatting>
  <conditionalFormatting sqref="X137 V141:V146 X139:X146 V137:V138">
    <cfRule type="expression" dxfId="91" priority="137">
      <formula>V137=""</formula>
    </cfRule>
  </conditionalFormatting>
  <conditionalFormatting sqref="B169">
    <cfRule type="expression" dxfId="90" priority="129">
      <formula>B169=""</formula>
    </cfRule>
  </conditionalFormatting>
  <conditionalFormatting sqref="AJ121 AJ123 AJ125 AJ127 AJ129">
    <cfRule type="expression" dxfId="89" priority="116">
      <formula>AJ121=""</formula>
    </cfRule>
  </conditionalFormatting>
  <conditionalFormatting sqref="AJ121 AJ123 AJ125 AJ127 AJ129">
    <cfRule type="expression" dxfId="88" priority="117">
      <formula>AJ121=""</formula>
    </cfRule>
  </conditionalFormatting>
  <conditionalFormatting sqref="T137 T141:T146">
    <cfRule type="expression" dxfId="87" priority="134">
      <formula>T137=""</formula>
    </cfRule>
  </conditionalFormatting>
  <conditionalFormatting sqref="T137 T141:T146">
    <cfRule type="expression" dxfId="86" priority="133">
      <formula>T137=""</formula>
    </cfRule>
  </conditionalFormatting>
  <conditionalFormatting sqref="AC121 AC123 AC125 AC127 AC129">
    <cfRule type="expression" dxfId="85" priority="127">
      <formula>AC121=""</formula>
    </cfRule>
  </conditionalFormatting>
  <conditionalFormatting sqref="AC121 AC123 AC125 AC127 AC129">
    <cfRule type="expression" dxfId="84" priority="126">
      <formula>AC121=""</formula>
    </cfRule>
  </conditionalFormatting>
  <conditionalFormatting sqref="AC122 AC124 AC126 AC128 AC130">
    <cfRule type="expression" dxfId="83" priority="125">
      <formula>AC122=""</formula>
    </cfRule>
  </conditionalFormatting>
  <conditionalFormatting sqref="AC122 AC124 AC126 AC128 AC130">
    <cfRule type="expression" dxfId="82" priority="124">
      <formula>AC122=""</formula>
    </cfRule>
  </conditionalFormatting>
  <conditionalFormatting sqref="AB116">
    <cfRule type="expression" dxfId="81" priority="119">
      <formula>AB116=""</formula>
    </cfRule>
  </conditionalFormatting>
  <conditionalFormatting sqref="AB116">
    <cfRule type="expression" dxfId="80" priority="118">
      <formula>AB116=""</formula>
    </cfRule>
  </conditionalFormatting>
  <conditionalFormatting sqref="AJ122 AJ124 AJ126 AJ128 AJ130">
    <cfRule type="expression" dxfId="79" priority="115">
      <formula>AJ122=""</formula>
    </cfRule>
  </conditionalFormatting>
  <conditionalFormatting sqref="AJ122 AJ124 AJ126 AJ128 AJ130">
    <cfRule type="expression" dxfId="78" priority="114">
      <formula>AJ122=""</formula>
    </cfRule>
  </conditionalFormatting>
  <conditionalFormatting sqref="AJ138 AJ140 AJ142 AJ144 AJ146">
    <cfRule type="expression" dxfId="77" priority="104">
      <formula>AJ138=""</formula>
    </cfRule>
  </conditionalFormatting>
  <conditionalFormatting sqref="AJ137 AJ139 AJ141 AJ143 AJ145">
    <cfRule type="expression" dxfId="76" priority="106">
      <formula>AJ137=""</formula>
    </cfRule>
  </conditionalFormatting>
  <conditionalFormatting sqref="AJ137 AJ139 AJ141 AJ143 AJ145">
    <cfRule type="expression" dxfId="75" priority="107">
      <formula>AJ137=""</formula>
    </cfRule>
  </conditionalFormatting>
  <conditionalFormatting sqref="AJ138 AJ140 AJ142 AJ144 AJ146">
    <cfRule type="expression" dxfId="74" priority="105">
      <formula>AJ138=""</formula>
    </cfRule>
  </conditionalFormatting>
  <conditionalFormatting sqref="AJ155 AJ157 AJ159 AJ161 AJ163">
    <cfRule type="expression" dxfId="73" priority="94">
      <formula>AJ155=""</formula>
    </cfRule>
  </conditionalFormatting>
  <conditionalFormatting sqref="AJ154 AJ156 AJ158 AJ160 AJ162">
    <cfRule type="expression" dxfId="72" priority="96">
      <formula>AJ154=""</formula>
    </cfRule>
  </conditionalFormatting>
  <conditionalFormatting sqref="AJ154 AJ156 AJ158 AJ160 AJ162">
    <cfRule type="expression" dxfId="71" priority="97">
      <formula>AJ154=""</formula>
    </cfRule>
  </conditionalFormatting>
  <conditionalFormatting sqref="AJ155 AJ157 AJ159 AJ161 AJ163">
    <cfRule type="expression" dxfId="70" priority="95">
      <formula>AJ155=""</formula>
    </cfRule>
  </conditionalFormatting>
  <conditionalFormatting sqref="AJ171 AJ173 AJ175 AJ177 AJ179">
    <cfRule type="expression" dxfId="69" priority="84">
      <formula>AJ171=""</formula>
    </cfRule>
  </conditionalFormatting>
  <conditionalFormatting sqref="AJ170 AJ172 AJ174 AJ176 AJ178">
    <cfRule type="expression" dxfId="68" priority="86">
      <formula>AJ170=""</formula>
    </cfRule>
  </conditionalFormatting>
  <conditionalFormatting sqref="AJ170 AJ172 AJ174 AJ176 AJ178">
    <cfRule type="expression" dxfId="67" priority="87">
      <formula>AJ170=""</formula>
    </cfRule>
  </conditionalFormatting>
  <conditionalFormatting sqref="AC170 AC172 AC174 AC176 AC178">
    <cfRule type="expression" dxfId="66" priority="93">
      <formula>AC170=""</formula>
    </cfRule>
  </conditionalFormatting>
  <conditionalFormatting sqref="AC170 AC172 AC174 AC176 AC178">
    <cfRule type="expression" dxfId="65" priority="92">
      <formula>AC170=""</formula>
    </cfRule>
  </conditionalFormatting>
  <conditionalFormatting sqref="AC171 AC173 AC175 AC177 AC179">
    <cfRule type="expression" dxfId="64" priority="91">
      <formula>AC171=""</formula>
    </cfRule>
  </conditionalFormatting>
  <conditionalFormatting sqref="AC171 AC173 AC175 AC177 AC179">
    <cfRule type="expression" dxfId="63" priority="90">
      <formula>AC171=""</formula>
    </cfRule>
  </conditionalFormatting>
  <conditionalFormatting sqref="AJ171 AJ173 AJ175 AJ177 AJ179">
    <cfRule type="expression" dxfId="62" priority="85">
      <formula>AJ171=""</formula>
    </cfRule>
  </conditionalFormatting>
  <conditionalFormatting sqref="AB133">
    <cfRule type="expression" dxfId="61" priority="77">
      <formula>AB133=""</formula>
    </cfRule>
  </conditionalFormatting>
  <conditionalFormatting sqref="AB133">
    <cfRule type="expression" dxfId="60" priority="76">
      <formula>AB133=""</formula>
    </cfRule>
  </conditionalFormatting>
  <conditionalFormatting sqref="AB150">
    <cfRule type="expression" dxfId="59" priority="75">
      <formula>AB150=""</formula>
    </cfRule>
  </conditionalFormatting>
  <conditionalFormatting sqref="AB150">
    <cfRule type="expression" dxfId="58" priority="74">
      <formula>AB150=""</formula>
    </cfRule>
  </conditionalFormatting>
  <conditionalFormatting sqref="AB166">
    <cfRule type="expression" dxfId="57" priority="73">
      <formula>AB166=""</formula>
    </cfRule>
  </conditionalFormatting>
  <conditionalFormatting sqref="AB166">
    <cfRule type="expression" dxfId="56" priority="72">
      <formula>AB166=""</formula>
    </cfRule>
  </conditionalFormatting>
  <conditionalFormatting sqref="H34:S34">
    <cfRule type="expression" dxfId="55" priority="70">
      <formula>H34=""</formula>
    </cfRule>
  </conditionalFormatting>
  <conditionalFormatting sqref="H35:S35">
    <cfRule type="expression" dxfId="54" priority="69">
      <formula>H35=""</formula>
    </cfRule>
  </conditionalFormatting>
  <conditionalFormatting sqref="H36:S36">
    <cfRule type="expression" dxfId="53" priority="68">
      <formula>H36=""</formula>
    </cfRule>
  </conditionalFormatting>
  <conditionalFormatting sqref="H37:S37">
    <cfRule type="expression" dxfId="52" priority="67">
      <formula>H37=""</formula>
    </cfRule>
  </conditionalFormatting>
  <conditionalFormatting sqref="P174:Q174">
    <cfRule type="expression" dxfId="51" priority="62">
      <formula>P174=""</formula>
    </cfRule>
  </conditionalFormatting>
  <conditionalFormatting sqref="P174">
    <cfRule type="expression" dxfId="50" priority="61">
      <formula>P174=""</formula>
    </cfRule>
  </conditionalFormatting>
  <conditionalFormatting sqref="X126">
    <cfRule type="expression" dxfId="49" priority="60">
      <formula>X126=""</formula>
    </cfRule>
  </conditionalFormatting>
  <conditionalFormatting sqref="X138">
    <cfRule type="expression" dxfId="48" priority="59">
      <formula>X138=""</formula>
    </cfRule>
  </conditionalFormatting>
  <conditionalFormatting sqref="J39:M40 J42:M43">
    <cfRule type="expression" dxfId="47" priority="54">
      <formula>J39=""</formula>
    </cfRule>
  </conditionalFormatting>
  <conditionalFormatting sqref="J41:M41">
    <cfRule type="expression" dxfId="46" priority="53">
      <formula>J41=""</formula>
    </cfRule>
  </conditionalFormatting>
  <conditionalFormatting sqref="J44:M44 J46:M46 J45">
    <cfRule type="expression" dxfId="45" priority="52">
      <formula>J44=""</formula>
    </cfRule>
  </conditionalFormatting>
  <conditionalFormatting sqref="V39:Y40 V42:Y43">
    <cfRule type="expression" dxfId="44" priority="51">
      <formula>V39=""</formula>
    </cfRule>
  </conditionalFormatting>
  <conditionalFormatting sqref="V41:Y41">
    <cfRule type="expression" dxfId="43" priority="50">
      <formula>V41=""</formula>
    </cfRule>
  </conditionalFormatting>
  <conditionalFormatting sqref="V44:Y44 V46:Y46 V45 Y45">
    <cfRule type="expression" dxfId="42" priority="49">
      <formula>V44=""</formula>
    </cfRule>
  </conditionalFormatting>
  <conditionalFormatting sqref="G77">
    <cfRule type="expression" dxfId="41" priority="48">
      <formula>G77=""</formula>
    </cfRule>
  </conditionalFormatting>
  <conditionalFormatting sqref="AC137 AC139 AC141">
    <cfRule type="expression" dxfId="40" priority="47">
      <formula>AC137=""</formula>
    </cfRule>
  </conditionalFormatting>
  <conditionalFormatting sqref="AC137 AC139 AC141">
    <cfRule type="expression" dxfId="39" priority="46">
      <formula>AC137=""</formula>
    </cfRule>
  </conditionalFormatting>
  <conditionalFormatting sqref="AC138 AC140 AC142">
    <cfRule type="expression" dxfId="38" priority="45">
      <formula>AC138=""</formula>
    </cfRule>
  </conditionalFormatting>
  <conditionalFormatting sqref="AC138 AC140 AC142">
    <cfRule type="expression" dxfId="37" priority="44">
      <formula>AC138=""</formula>
    </cfRule>
  </conditionalFormatting>
  <conditionalFormatting sqref="AC143 AC145">
    <cfRule type="expression" dxfId="36" priority="43">
      <formula>AC143=""</formula>
    </cfRule>
  </conditionalFormatting>
  <conditionalFormatting sqref="AC143 AC145">
    <cfRule type="expression" dxfId="35" priority="42">
      <formula>AC143=""</formula>
    </cfRule>
  </conditionalFormatting>
  <conditionalFormatting sqref="AC144 AC146">
    <cfRule type="expression" dxfId="34" priority="41">
      <formula>AC144=""</formula>
    </cfRule>
  </conditionalFormatting>
  <conditionalFormatting sqref="AC144 AC146">
    <cfRule type="expression" dxfId="33" priority="40">
      <formula>AC144=""</formula>
    </cfRule>
  </conditionalFormatting>
  <conditionalFormatting sqref="AC154 AC156 AC158">
    <cfRule type="expression" dxfId="32" priority="39">
      <formula>AC154=""</formula>
    </cfRule>
  </conditionalFormatting>
  <conditionalFormatting sqref="AC154 AC156 AC158">
    <cfRule type="expression" dxfId="31" priority="38">
      <formula>AC154=""</formula>
    </cfRule>
  </conditionalFormatting>
  <conditionalFormatting sqref="AC155 AC157 AC159">
    <cfRule type="expression" dxfId="30" priority="37">
      <formula>AC155=""</formula>
    </cfRule>
  </conditionalFormatting>
  <conditionalFormatting sqref="AC155 AC157 AC159">
    <cfRule type="expression" dxfId="29" priority="36">
      <formula>AC155=""</formula>
    </cfRule>
  </conditionalFormatting>
  <conditionalFormatting sqref="AC160">
    <cfRule type="expression" dxfId="28" priority="35">
      <formula>AC160=""</formula>
    </cfRule>
  </conditionalFormatting>
  <conditionalFormatting sqref="AC160">
    <cfRule type="expression" dxfId="27" priority="34">
      <formula>AC160=""</formula>
    </cfRule>
  </conditionalFormatting>
  <conditionalFormatting sqref="AC161">
    <cfRule type="expression" dxfId="26" priority="33">
      <formula>AC161=""</formula>
    </cfRule>
  </conditionalFormatting>
  <conditionalFormatting sqref="AC161">
    <cfRule type="expression" dxfId="25" priority="32">
      <formula>AC161=""</formula>
    </cfRule>
  </conditionalFormatting>
  <conditionalFormatting sqref="AC162">
    <cfRule type="expression" dxfId="24" priority="31">
      <formula>AC162=""</formula>
    </cfRule>
  </conditionalFormatting>
  <conditionalFormatting sqref="AC162">
    <cfRule type="expression" dxfId="23" priority="30">
      <formula>AC162=""</formula>
    </cfRule>
  </conditionalFormatting>
  <conditionalFormatting sqref="AC163">
    <cfRule type="expression" dxfId="22" priority="29">
      <formula>AC163=""</formula>
    </cfRule>
  </conditionalFormatting>
  <conditionalFormatting sqref="AC163">
    <cfRule type="expression" dxfId="21" priority="28">
      <formula>AC163=""</formula>
    </cfRule>
  </conditionalFormatting>
  <conditionalFormatting sqref="E95">
    <cfRule type="expression" dxfId="20" priority="27">
      <formula>E95=""</formula>
    </cfRule>
  </conditionalFormatting>
  <conditionalFormatting sqref="J78:M78">
    <cfRule type="expression" dxfId="19" priority="26">
      <formula>J78=""</formula>
    </cfRule>
  </conditionalFormatting>
  <conditionalFormatting sqref="G78">
    <cfRule type="expression" dxfId="18" priority="25">
      <formula>G78=""</formula>
    </cfRule>
  </conditionalFormatting>
  <conditionalFormatting sqref="E79:F79 N79:S79">
    <cfRule type="expression" dxfId="17" priority="24">
      <formula>E79=""</formula>
    </cfRule>
  </conditionalFormatting>
  <conditionalFormatting sqref="J79:M79">
    <cfRule type="expression" dxfId="16" priority="23">
      <formula>J79=""</formula>
    </cfRule>
  </conditionalFormatting>
  <conditionalFormatting sqref="G79">
    <cfRule type="expression" dxfId="15" priority="22">
      <formula>G79=""</formula>
    </cfRule>
  </conditionalFormatting>
  <conditionalFormatting sqref="C80:D80">
    <cfRule type="expression" dxfId="14" priority="21">
      <formula>C80=""</formula>
    </cfRule>
  </conditionalFormatting>
  <conditionalFormatting sqref="E80:F80 N80:S80">
    <cfRule type="expression" dxfId="13" priority="20">
      <formula>E80=""</formula>
    </cfRule>
  </conditionalFormatting>
  <conditionalFormatting sqref="J80:M80">
    <cfRule type="expression" dxfId="12" priority="19">
      <formula>J80=""</formula>
    </cfRule>
  </conditionalFormatting>
  <conditionalFormatting sqref="G80">
    <cfRule type="expression" dxfId="11" priority="18">
      <formula>G80=""</formula>
    </cfRule>
  </conditionalFormatting>
  <conditionalFormatting sqref="C81:D81">
    <cfRule type="expression" dxfId="10" priority="13">
      <formula>C81=""</formula>
    </cfRule>
  </conditionalFormatting>
  <conditionalFormatting sqref="E81:F81 N81:S81">
    <cfRule type="expression" dxfId="9" priority="12">
      <formula>E81=""</formula>
    </cfRule>
  </conditionalFormatting>
  <conditionalFormatting sqref="J81:M81">
    <cfRule type="expression" dxfId="8" priority="11">
      <formula>J81=""</formula>
    </cfRule>
  </conditionalFormatting>
  <conditionalFormatting sqref="G81">
    <cfRule type="expression" dxfId="7" priority="10">
      <formula>G81=""</formula>
    </cfRule>
  </conditionalFormatting>
  <conditionalFormatting sqref="P176:Q176">
    <cfRule type="expression" dxfId="6" priority="9">
      <formula>P176=""</formula>
    </cfRule>
  </conditionalFormatting>
  <conditionalFormatting sqref="P176">
    <cfRule type="expression" dxfId="5" priority="8">
      <formula>P176=""</formula>
    </cfRule>
  </conditionalFormatting>
  <conditionalFormatting sqref="D45">
    <cfRule type="expression" dxfId="4" priority="5">
      <formula>D45=""</formula>
    </cfRule>
  </conditionalFormatting>
  <conditionalFormatting sqref="O45:R45">
    <cfRule type="expression" dxfId="3" priority="4">
      <formula>O45=""</formula>
    </cfRule>
  </conditionalFormatting>
  <conditionalFormatting sqref="B65">
    <cfRule type="expression" dxfId="2" priority="3">
      <formula>B65=""</formula>
    </cfRule>
  </conditionalFormatting>
  <conditionalFormatting sqref="P178:Q178">
    <cfRule type="expression" dxfId="1" priority="2">
      <formula>P178=""</formula>
    </cfRule>
  </conditionalFormatting>
  <conditionalFormatting sqref="P178">
    <cfRule type="expression" dxfId="0" priority="1">
      <formula>P178=""</formula>
    </cfRule>
  </conditionalFormatting>
  <hyperlinks>
    <hyperlink ref="V35" r:id="rId1"/>
    <hyperlink ref="V37" r:id="rId2"/>
    <hyperlink ref="J40" r:id="rId3"/>
    <hyperlink ref="J42" r:id="rId4"/>
    <hyperlink ref="J43" r:id="rId5" display="sundaresan.r@avocarbon.com"/>
    <hyperlink ref="J39" r:id="rId6"/>
    <hyperlink ref="J41" r:id="rId7"/>
    <hyperlink ref="J44" r:id="rId8" display="c.selvam@avocarbon.com"/>
    <hyperlink ref="J46" r:id="rId9" display="suresh.p@avocarbon.com"/>
    <hyperlink ref="J45" r:id="rId10"/>
  </hyperlinks>
  <pageMargins left="0.25" right="3.9370078740157501E-2" top="0.25" bottom="0.74803149606299202" header="0" footer="0.118110236220472"/>
  <pageSetup scale="27" orientation="portrait" r:id="rId11"/>
  <headerFooter alignWithMargins="0">
    <oddFooter>&amp;L&amp;8Version number/date: V1.1/ 09.03.2021&amp;C&amp;8Procedure expert: PUQ-ES/ Jorge De Cos Garcia&amp;RS&amp;8tatus: valid</oddFooter>
  </headerFooter>
  <drawing r:id="rId12"/>
  <legacyDrawing r:id="rId13"/>
  <mc:AlternateContent xmlns:mc="http://schemas.openxmlformats.org/markup-compatibility/2006">
    <mc:Choice Requires="x14">
      <controls>
        <mc:AlternateContent xmlns:mc="http://schemas.openxmlformats.org/markup-compatibility/2006">
          <mc:Choice Requires="x14">
            <control shapeId="1032" r:id="rId14" name="Drop Down 8">
              <controlPr defaultSize="0" autoLine="0" autoPict="0">
                <anchor moveWithCells="1">
                  <from>
                    <xdr:col>1</xdr:col>
                    <xdr:colOff>28575</xdr:colOff>
                    <xdr:row>105</xdr:row>
                    <xdr:rowOff>9525</xdr:rowOff>
                  </from>
                  <to>
                    <xdr:col>5</xdr:col>
                    <xdr:colOff>0</xdr:colOff>
                    <xdr:row>106</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0" tint="-0.249977111117893"/>
    <pageSetUpPr fitToPage="1"/>
  </sheetPr>
  <dimension ref="B1:Y60"/>
  <sheetViews>
    <sheetView showGridLines="0" view="pageBreakPreview" topLeftCell="E1" zoomScaleNormal="75" zoomScaleSheetLayoutView="100" workbookViewId="0">
      <selection activeCell="D51" sqref="D51"/>
    </sheetView>
  </sheetViews>
  <sheetFormatPr defaultColWidth="11.42578125" defaultRowHeight="12.75"/>
  <cols>
    <col min="1" max="1" width="5.7109375" style="226" customWidth="1"/>
    <col min="2" max="2" width="1.85546875" style="226" customWidth="1"/>
    <col min="3" max="3" width="49.7109375" style="226" customWidth="1"/>
    <col min="4" max="4" width="19.140625" style="226" bestFit="1" customWidth="1"/>
    <col min="5" max="5" width="7.140625" style="226" customWidth="1"/>
    <col min="6" max="6" width="13" style="226" customWidth="1"/>
    <col min="7" max="7" width="14.85546875" style="226" customWidth="1"/>
    <col min="8" max="8" width="5" style="226" customWidth="1"/>
    <col min="9" max="9" width="5.85546875" style="226" customWidth="1"/>
    <col min="10" max="10" width="14.7109375" style="226" customWidth="1"/>
    <col min="11" max="11" width="11.42578125" style="226"/>
    <col min="12" max="12" width="14.85546875" style="226" customWidth="1"/>
    <col min="13" max="14" width="11.42578125" style="226"/>
    <col min="15" max="15" width="5" style="226" customWidth="1"/>
    <col min="16" max="16384" width="11.42578125" style="226"/>
  </cols>
  <sheetData>
    <row r="1" spans="2:17" ht="35.1" customHeight="1">
      <c r="B1" s="707" t="s">
        <v>187</v>
      </c>
      <c r="C1" s="707"/>
      <c r="D1" s="707"/>
      <c r="E1" s="707"/>
      <c r="F1" s="707"/>
      <c r="G1" s="707"/>
      <c r="H1" s="707"/>
      <c r="I1" s="707"/>
      <c r="Q1" s="268" t="s">
        <v>188</v>
      </c>
    </row>
    <row r="2" spans="2:17" ht="13.5" thickBot="1">
      <c r="Q2" s="268" t="s">
        <v>189</v>
      </c>
    </row>
    <row r="3" spans="2:17" ht="30.75" thickBot="1">
      <c r="B3" s="708" t="s">
        <v>186</v>
      </c>
      <c r="C3" s="709"/>
      <c r="D3" s="709"/>
      <c r="E3" s="709"/>
      <c r="F3" s="709"/>
      <c r="G3" s="710"/>
      <c r="Q3" s="268" t="s">
        <v>190</v>
      </c>
    </row>
    <row r="4" spans="2:17" ht="15" customHeight="1">
      <c r="C4" s="267"/>
      <c r="Q4" s="268" t="s">
        <v>191</v>
      </c>
    </row>
    <row r="5" spans="2:17" ht="20.25" customHeight="1" thickBot="1">
      <c r="B5" s="266" t="s">
        <v>185</v>
      </c>
      <c r="Q5" s="268" t="s">
        <v>192</v>
      </c>
    </row>
    <row r="6" spans="2:17" ht="20.25" customHeight="1" thickBot="1">
      <c r="B6" s="257"/>
      <c r="C6" s="255"/>
      <c r="D6" s="255"/>
      <c r="E6" s="254"/>
    </row>
    <row r="7" spans="2:17" ht="15.75" thickBot="1">
      <c r="B7" s="239"/>
      <c r="C7" s="228" t="s">
        <v>184</v>
      </c>
      <c r="D7" s="265">
        <v>240</v>
      </c>
      <c r="E7" s="262" t="s">
        <v>159</v>
      </c>
      <c r="F7" s="258"/>
    </row>
    <row r="8" spans="2:17" ht="15.75" thickBot="1">
      <c r="B8" s="239"/>
      <c r="C8" s="228"/>
      <c r="D8" s="228"/>
      <c r="E8" s="262"/>
      <c r="F8" s="258"/>
    </row>
    <row r="9" spans="2:17" ht="15.75" thickBot="1">
      <c r="B9" s="239"/>
      <c r="C9" s="228" t="s">
        <v>183</v>
      </c>
      <c r="D9" s="265">
        <v>1</v>
      </c>
      <c r="E9" s="262" t="s">
        <v>159</v>
      </c>
      <c r="F9" s="258"/>
    </row>
    <row r="10" spans="2:17" ht="15.75" thickBot="1">
      <c r="B10" s="239"/>
      <c r="C10" s="228"/>
      <c r="D10" s="264"/>
      <c r="E10" s="262"/>
      <c r="F10" s="258"/>
    </row>
    <row r="11" spans="2:17" ht="20.25" thickBot="1">
      <c r="B11" s="239"/>
      <c r="C11" s="228" t="s">
        <v>182</v>
      </c>
      <c r="D11" s="265">
        <v>240</v>
      </c>
      <c r="E11" s="262" t="s">
        <v>159</v>
      </c>
      <c r="F11" s="258"/>
    </row>
    <row r="12" spans="2:17" ht="15.75" thickBot="1">
      <c r="B12" s="239"/>
      <c r="C12" s="228"/>
      <c r="D12" s="264"/>
      <c r="E12" s="262"/>
      <c r="F12" s="258"/>
    </row>
    <row r="13" spans="2:17" ht="15.75" thickBot="1">
      <c r="B13" s="239"/>
      <c r="C13" s="228" t="s">
        <v>181</v>
      </c>
      <c r="D13" s="263">
        <v>0.9</v>
      </c>
      <c r="E13" s="262"/>
      <c r="F13" s="258"/>
    </row>
    <row r="14" spans="2:17" ht="15.75" thickBot="1">
      <c r="B14" s="231"/>
      <c r="C14" s="261"/>
      <c r="D14" s="261"/>
      <c r="E14" s="260"/>
      <c r="F14" s="258"/>
    </row>
    <row r="15" spans="2:17" ht="15">
      <c r="C15" s="228"/>
      <c r="D15" s="228"/>
      <c r="E15" s="228"/>
      <c r="F15" s="258"/>
    </row>
    <row r="16" spans="2:17" ht="21" thickBot="1">
      <c r="B16" s="259" t="s">
        <v>180</v>
      </c>
      <c r="D16" s="228"/>
      <c r="E16" s="228"/>
      <c r="F16" s="258"/>
    </row>
    <row r="17" spans="2:25" ht="20.25">
      <c r="B17" s="257"/>
      <c r="C17" s="255"/>
      <c r="D17" s="256"/>
      <c r="E17" s="256"/>
      <c r="F17" s="256"/>
      <c r="G17" s="255"/>
      <c r="H17" s="255"/>
      <c r="I17" s="255"/>
      <c r="J17" s="255"/>
      <c r="K17" s="255"/>
      <c r="L17" s="255"/>
      <c r="M17" s="255"/>
      <c r="N17" s="254"/>
    </row>
    <row r="18" spans="2:25" ht="15">
      <c r="B18" s="239"/>
      <c r="C18" s="228" t="s">
        <v>179</v>
      </c>
      <c r="D18" s="241">
        <f>D9/D7</f>
        <v>4.1666666666666666E-3</v>
      </c>
      <c r="E18" s="228"/>
      <c r="F18" s="228"/>
      <c r="G18" s="227"/>
      <c r="H18" s="227"/>
      <c r="I18" s="227"/>
      <c r="J18" s="227"/>
      <c r="K18" s="227"/>
      <c r="L18" s="227"/>
      <c r="M18" s="227"/>
      <c r="N18" s="232"/>
    </row>
    <row r="19" spans="2:25" ht="15">
      <c r="B19" s="239"/>
      <c r="C19" s="228"/>
      <c r="D19" s="228"/>
      <c r="E19" s="228"/>
      <c r="F19" s="228"/>
      <c r="G19" s="227"/>
      <c r="H19" s="227"/>
      <c r="I19" s="227"/>
      <c r="J19" s="227"/>
      <c r="K19" s="227"/>
      <c r="L19" s="227"/>
      <c r="M19" s="227"/>
      <c r="N19" s="232"/>
    </row>
    <row r="20" spans="2:25" ht="15">
      <c r="B20" s="253"/>
      <c r="C20" s="252" t="s">
        <v>178</v>
      </c>
      <c r="D20" s="252"/>
      <c r="E20" s="252"/>
      <c r="F20" s="252"/>
      <c r="G20" s="251"/>
      <c r="H20" s="251"/>
      <c r="I20" s="251"/>
      <c r="J20" s="251"/>
      <c r="K20" s="251"/>
      <c r="L20" s="251"/>
      <c r="M20" s="251"/>
      <c r="N20" s="250"/>
    </row>
    <row r="21" spans="2:25" ht="15">
      <c r="B21" s="253"/>
      <c r="C21" s="252"/>
      <c r="D21" s="252"/>
      <c r="E21" s="252"/>
      <c r="F21" s="252"/>
      <c r="G21" s="251"/>
      <c r="H21" s="251"/>
      <c r="I21" s="251"/>
      <c r="J21" s="251"/>
      <c r="K21" s="251"/>
      <c r="L21" s="251"/>
      <c r="M21" s="251"/>
      <c r="N21" s="250"/>
    </row>
    <row r="22" spans="2:25" ht="19.5">
      <c r="B22" s="253"/>
      <c r="C22" s="252" t="s">
        <v>177</v>
      </c>
      <c r="D22" s="252"/>
      <c r="E22" s="252"/>
      <c r="F22" s="252"/>
      <c r="G22" s="251"/>
      <c r="H22" s="251"/>
      <c r="I22" s="251"/>
      <c r="J22" s="251"/>
      <c r="K22" s="251"/>
      <c r="L22" s="251"/>
      <c r="M22" s="251"/>
      <c r="N22" s="250"/>
    </row>
    <row r="23" spans="2:25" ht="15">
      <c r="B23" s="253"/>
      <c r="C23" s="252"/>
      <c r="D23" s="252"/>
      <c r="E23" s="252"/>
      <c r="F23" s="252"/>
      <c r="G23" s="251"/>
      <c r="H23" s="251"/>
      <c r="I23" s="251"/>
      <c r="J23" s="251"/>
      <c r="K23" s="251"/>
      <c r="L23" s="251"/>
      <c r="M23" s="251"/>
      <c r="N23" s="250"/>
    </row>
    <row r="24" spans="2:25" ht="19.5">
      <c r="B24" s="253"/>
      <c r="C24" s="252" t="s">
        <v>176</v>
      </c>
      <c r="D24" s="252"/>
      <c r="E24" s="252"/>
      <c r="F24" s="252"/>
      <c r="G24" s="251"/>
      <c r="H24" s="251"/>
      <c r="I24" s="251"/>
      <c r="J24" s="251"/>
      <c r="K24" s="251"/>
      <c r="L24" s="251"/>
      <c r="M24" s="251"/>
      <c r="N24" s="250"/>
      <c r="Q24" s="268" t="s">
        <v>193</v>
      </c>
      <c r="Y24" s="268" t="s">
        <v>228</v>
      </c>
    </row>
    <row r="25" spans="2:25" ht="15">
      <c r="B25" s="253"/>
      <c r="C25" s="252"/>
      <c r="D25" s="252"/>
      <c r="E25" s="252"/>
      <c r="F25" s="252"/>
      <c r="G25" s="251"/>
      <c r="H25" s="251"/>
      <c r="I25" s="251"/>
      <c r="J25" s="251"/>
      <c r="K25" s="251"/>
      <c r="L25" s="251"/>
      <c r="M25" s="251"/>
      <c r="N25" s="250"/>
      <c r="Q25" s="268" t="s">
        <v>194</v>
      </c>
      <c r="Y25" s="268" t="s">
        <v>229</v>
      </c>
    </row>
    <row r="26" spans="2:25" ht="19.5">
      <c r="B26" s="253"/>
      <c r="C26" s="252" t="s">
        <v>175</v>
      </c>
      <c r="D26" s="252"/>
      <c r="E26" s="252"/>
      <c r="F26" s="252"/>
      <c r="G26" s="251"/>
      <c r="H26" s="251"/>
      <c r="I26" s="251"/>
      <c r="J26" s="251"/>
      <c r="K26" s="251"/>
      <c r="L26" s="251"/>
      <c r="M26" s="251"/>
      <c r="N26" s="250"/>
      <c r="Q26" s="268" t="s">
        <v>195</v>
      </c>
      <c r="Y26" s="268" t="s">
        <v>230</v>
      </c>
    </row>
    <row r="27" spans="2:25">
      <c r="B27" s="253"/>
      <c r="C27" s="251"/>
      <c r="D27" s="251"/>
      <c r="E27" s="251"/>
      <c r="F27" s="251"/>
      <c r="G27" s="251"/>
      <c r="H27" s="251"/>
      <c r="I27" s="251"/>
      <c r="J27" s="251"/>
      <c r="K27" s="251"/>
      <c r="L27" s="251"/>
      <c r="M27" s="251"/>
      <c r="N27" s="250"/>
      <c r="Q27" s="268" t="s">
        <v>196</v>
      </c>
      <c r="Y27" s="268" t="s">
        <v>231</v>
      </c>
    </row>
    <row r="28" spans="2:25" ht="19.5">
      <c r="B28" s="253"/>
      <c r="C28" s="252" t="s">
        <v>174</v>
      </c>
      <c r="D28" s="251"/>
      <c r="E28" s="251"/>
      <c r="F28" s="251"/>
      <c r="G28" s="251"/>
      <c r="H28" s="251"/>
      <c r="I28" s="251"/>
      <c r="J28" s="251"/>
      <c r="K28" s="251"/>
      <c r="L28" s="251"/>
      <c r="M28" s="251"/>
      <c r="N28" s="250"/>
      <c r="Q28" s="268" t="s">
        <v>184</v>
      </c>
      <c r="Y28" s="268" t="s">
        <v>232</v>
      </c>
    </row>
    <row r="29" spans="2:25" ht="15">
      <c r="B29" s="253"/>
      <c r="C29" s="252"/>
      <c r="D29" s="251"/>
      <c r="E29" s="251"/>
      <c r="F29" s="251"/>
      <c r="G29" s="251"/>
      <c r="H29" s="251"/>
      <c r="I29" s="251"/>
      <c r="J29" s="251"/>
      <c r="K29" s="251"/>
      <c r="L29" s="251"/>
      <c r="M29" s="251"/>
      <c r="N29" s="250"/>
      <c r="Q29" s="268" t="s">
        <v>197</v>
      </c>
      <c r="Y29" s="268" t="s">
        <v>233</v>
      </c>
    </row>
    <row r="30" spans="2:25" ht="19.5">
      <c r="B30" s="253"/>
      <c r="C30" s="252" t="s">
        <v>173</v>
      </c>
      <c r="D30" s="251"/>
      <c r="E30" s="251"/>
      <c r="F30" s="251"/>
      <c r="G30" s="251"/>
      <c r="H30" s="251"/>
      <c r="I30" s="251"/>
      <c r="J30" s="251"/>
      <c r="K30" s="251"/>
      <c r="L30" s="251"/>
      <c r="M30" s="251"/>
      <c r="N30" s="250"/>
      <c r="Q30" s="268" t="s">
        <v>198</v>
      </c>
      <c r="Y30" s="268" t="s">
        <v>234</v>
      </c>
    </row>
    <row r="31" spans="2:25" ht="15">
      <c r="B31" s="239"/>
      <c r="C31" s="228"/>
      <c r="D31" s="227"/>
      <c r="E31" s="227"/>
      <c r="F31" s="227"/>
      <c r="G31" s="227"/>
      <c r="H31" s="227"/>
      <c r="I31" s="227"/>
      <c r="J31" s="227"/>
      <c r="K31" s="227"/>
      <c r="L31" s="227"/>
      <c r="M31" s="227"/>
      <c r="N31" s="232"/>
      <c r="Q31" s="268" t="s">
        <v>199</v>
      </c>
      <c r="Y31" s="268" t="s">
        <v>235</v>
      </c>
    </row>
    <row r="32" spans="2:25" ht="15">
      <c r="B32" s="239"/>
      <c r="C32" s="228" t="s">
        <v>172</v>
      </c>
      <c r="D32" s="227"/>
      <c r="E32" s="227"/>
      <c r="F32" s="227"/>
      <c r="G32" s="227"/>
      <c r="H32" s="227"/>
      <c r="I32" s="227"/>
      <c r="J32" s="227"/>
      <c r="K32" s="227"/>
      <c r="L32" s="227"/>
      <c r="M32" s="227"/>
      <c r="N32" s="232"/>
      <c r="Q32" s="268" t="s">
        <v>200</v>
      </c>
      <c r="Y32" s="268" t="s">
        <v>236</v>
      </c>
    </row>
    <row r="33" spans="2:25" ht="13.5" thickBot="1">
      <c r="B33" s="239"/>
      <c r="C33" s="227"/>
      <c r="D33" s="227"/>
      <c r="E33" s="227"/>
      <c r="F33" s="227"/>
      <c r="G33" s="227"/>
      <c r="H33" s="227"/>
      <c r="I33" s="227"/>
      <c r="J33" s="227"/>
      <c r="K33" s="227"/>
      <c r="L33" s="227"/>
      <c r="M33" s="227"/>
      <c r="N33" s="232"/>
      <c r="Q33" s="268" t="s">
        <v>201</v>
      </c>
      <c r="Y33" s="268" t="s">
        <v>237</v>
      </c>
    </row>
    <row r="34" spans="2:25" ht="18.75" thickBot="1">
      <c r="B34" s="239"/>
      <c r="C34" s="249" t="s">
        <v>171</v>
      </c>
      <c r="D34" s="227"/>
      <c r="E34" s="227"/>
      <c r="F34" s="227"/>
      <c r="G34" s="227"/>
      <c r="H34" s="227"/>
      <c r="I34" s="227"/>
      <c r="J34" s="227"/>
      <c r="K34" s="227"/>
      <c r="L34" s="227"/>
      <c r="M34" s="227"/>
      <c r="N34" s="232"/>
      <c r="Q34" s="268" t="s">
        <v>202</v>
      </c>
      <c r="Y34" s="268" t="s">
        <v>238</v>
      </c>
    </row>
    <row r="35" spans="2:25">
      <c r="B35" s="239"/>
      <c r="C35" s="227"/>
      <c r="D35" s="227"/>
      <c r="E35" s="227"/>
      <c r="F35" s="227"/>
      <c r="G35" s="227"/>
      <c r="H35" s="227"/>
      <c r="I35" s="227"/>
      <c r="J35" s="227"/>
      <c r="K35" s="227"/>
      <c r="L35" s="227"/>
      <c r="M35" s="227"/>
      <c r="N35" s="232"/>
    </row>
    <row r="36" spans="2:25" ht="19.5">
      <c r="B36" s="239"/>
      <c r="C36" s="228" t="s">
        <v>170</v>
      </c>
      <c r="D36" s="228"/>
      <c r="E36" s="228"/>
      <c r="F36" s="228"/>
      <c r="G36" s="228"/>
      <c r="H36" s="227"/>
      <c r="I36" s="227"/>
      <c r="J36" s="227"/>
      <c r="K36" s="227"/>
      <c r="L36" s="227"/>
      <c r="M36" s="227"/>
      <c r="N36" s="232"/>
      <c r="Q36" s="269" t="s">
        <v>209</v>
      </c>
    </row>
    <row r="37" spans="2:25" ht="15">
      <c r="B37" s="239"/>
      <c r="C37" s="228"/>
      <c r="D37" s="228"/>
      <c r="E37" s="228"/>
      <c r="F37" s="228"/>
      <c r="G37" s="228"/>
      <c r="H37" s="228"/>
      <c r="I37" s="227"/>
      <c r="J37" s="227"/>
      <c r="K37" s="227"/>
      <c r="L37" s="227"/>
      <c r="M37" s="227"/>
      <c r="N37" s="232"/>
      <c r="Q37" s="268" t="s">
        <v>203</v>
      </c>
    </row>
    <row r="38" spans="2:25" ht="19.5">
      <c r="B38" s="239"/>
      <c r="C38" s="228" t="s">
        <v>169</v>
      </c>
      <c r="D38" s="241">
        <f>IF(D9&gt;0,D9/(D9+(D7-D9+1)*H38),"")</f>
        <v>2.1369922301562067E-4</v>
      </c>
      <c r="E38" s="228"/>
      <c r="F38" s="240">
        <f>IF(D9&gt;0,D38*D92,"")</f>
        <v>0</v>
      </c>
      <c r="G38" s="228" t="s">
        <v>159</v>
      </c>
      <c r="H38" s="248">
        <f>FINV(((1-D13)/2),(2*(D7-D9+1)),(2*D9))</f>
        <v>19.493642487099407</v>
      </c>
      <c r="I38" s="227"/>
      <c r="J38" s="227"/>
      <c r="K38" s="227"/>
      <c r="L38" s="227"/>
      <c r="M38" s="227"/>
      <c r="N38" s="232"/>
      <c r="Q38" s="268" t="s">
        <v>204</v>
      </c>
    </row>
    <row r="39" spans="2:25" ht="15">
      <c r="B39" s="239"/>
      <c r="C39" s="228"/>
      <c r="D39" s="228"/>
      <c r="E39" s="228"/>
      <c r="F39" s="228"/>
      <c r="G39" s="228"/>
      <c r="H39" s="227"/>
      <c r="I39" s="227"/>
      <c r="J39" s="227"/>
      <c r="K39" s="227"/>
      <c r="L39" s="227"/>
      <c r="M39" s="227"/>
      <c r="N39" s="232"/>
      <c r="Q39" s="268" t="s">
        <v>205</v>
      </c>
    </row>
    <row r="40" spans="2:25" ht="19.5">
      <c r="B40" s="239"/>
      <c r="C40" s="228" t="s">
        <v>168</v>
      </c>
      <c r="D40" s="241">
        <f>IF(D9&gt;0,(D9+1)*H40/(D7-D9+(D9+1)*H40),"")</f>
        <v>1.9612599628702331E-2</v>
      </c>
      <c r="E40" s="228"/>
      <c r="F40" s="240">
        <f>IF(D9&gt;0,D40*D7,"")</f>
        <v>4.7070239108885596</v>
      </c>
      <c r="G40" s="228" t="s">
        <v>159</v>
      </c>
      <c r="H40" s="248">
        <f>FINV(((1-D13)/2),(2*(D9+1)),(2*(D7-D9)))</f>
        <v>2.3905913669864662</v>
      </c>
      <c r="I40" s="227"/>
      <c r="J40" s="227"/>
      <c r="K40" s="227"/>
      <c r="L40" s="227"/>
      <c r="M40" s="227"/>
      <c r="N40" s="232"/>
      <c r="Q40" s="268" t="s">
        <v>206</v>
      </c>
    </row>
    <row r="41" spans="2:25" ht="13.5" thickBot="1">
      <c r="B41" s="239"/>
      <c r="C41" s="227"/>
      <c r="D41" s="227"/>
      <c r="E41" s="227"/>
      <c r="F41" s="227"/>
      <c r="G41" s="227"/>
      <c r="H41" s="227"/>
      <c r="I41" s="227"/>
      <c r="J41" s="227"/>
      <c r="K41" s="227"/>
      <c r="L41" s="227"/>
      <c r="M41" s="227"/>
      <c r="N41" s="232"/>
      <c r="Q41" s="268" t="s">
        <v>207</v>
      </c>
    </row>
    <row r="42" spans="2:25" ht="20.25" thickBot="1">
      <c r="B42" s="239"/>
      <c r="C42" s="228" t="s">
        <v>167</v>
      </c>
      <c r="D42" s="240">
        <f>IF(D9&gt;0,D18*(D11-D7),"")</f>
        <v>0</v>
      </c>
      <c r="E42" s="228" t="s">
        <v>159</v>
      </c>
      <c r="F42" s="227"/>
      <c r="G42" s="247">
        <f>IF(D9&gt;0,ROUNDUP(D42,0),"")</f>
        <v>0</v>
      </c>
      <c r="H42" s="233" t="s">
        <v>166</v>
      </c>
      <c r="I42" s="233"/>
      <c r="J42" s="233"/>
      <c r="K42" s="233"/>
      <c r="L42" s="233"/>
      <c r="M42" s="233"/>
      <c r="N42" s="246"/>
      <c r="Q42" s="268" t="s">
        <v>208</v>
      </c>
    </row>
    <row r="43" spans="2:25" ht="15">
      <c r="B43" s="239"/>
      <c r="C43" s="228"/>
      <c r="D43" s="238"/>
      <c r="E43" s="228"/>
      <c r="F43" s="227"/>
      <c r="G43" s="227"/>
      <c r="H43" s="227"/>
      <c r="I43" s="227"/>
      <c r="J43" s="227"/>
      <c r="K43" s="227"/>
      <c r="L43" s="227"/>
      <c r="M43" s="227"/>
      <c r="N43" s="232"/>
      <c r="Q43" s="268" t="s">
        <v>210</v>
      </c>
    </row>
    <row r="44" spans="2:25" ht="20.25" thickBot="1">
      <c r="B44" s="239"/>
      <c r="C44" s="228" t="s">
        <v>165</v>
      </c>
      <c r="D44" s="240">
        <f>IF(D9&gt;0,D38*(D11-D7),"")</f>
        <v>0</v>
      </c>
      <c r="E44" s="228" t="s">
        <v>159</v>
      </c>
      <c r="F44" s="227"/>
      <c r="G44" s="227"/>
      <c r="H44" s="227"/>
      <c r="I44" s="244"/>
      <c r="J44" s="244"/>
      <c r="K44" s="227"/>
      <c r="L44" s="227"/>
      <c r="M44" s="227"/>
      <c r="N44" s="232"/>
      <c r="Q44" s="268" t="s">
        <v>211</v>
      </c>
    </row>
    <row r="45" spans="2:25" ht="15.75" thickBot="1">
      <c r="B45" s="239"/>
      <c r="C45" s="228"/>
      <c r="D45" s="238"/>
      <c r="E45" s="228"/>
      <c r="F45" s="227"/>
      <c r="G45" s="237" t="s">
        <v>158</v>
      </c>
      <c r="H45" s="236">
        <f>IF(D9&gt;0,ROUNDUP(D44,0),"")</f>
        <v>0</v>
      </c>
      <c r="I45" s="235" t="s">
        <v>157</v>
      </c>
      <c r="J45" s="234">
        <f>IF(D9&gt;0,ROUNDUP(D46,0),"")</f>
        <v>0</v>
      </c>
      <c r="K45" s="233" t="s">
        <v>156</v>
      </c>
      <c r="L45" s="228"/>
      <c r="M45" s="227"/>
      <c r="N45" s="232"/>
      <c r="Q45" s="268" t="s">
        <v>212</v>
      </c>
    </row>
    <row r="46" spans="2:25" ht="19.5">
      <c r="B46" s="239"/>
      <c r="C46" s="228" t="s">
        <v>160</v>
      </c>
      <c r="D46" s="240">
        <f>IF(D9&gt;0,D40*(D11-D7),"")</f>
        <v>0</v>
      </c>
      <c r="E46" s="228" t="s">
        <v>159</v>
      </c>
      <c r="F46" s="227"/>
      <c r="G46" s="227"/>
      <c r="H46" s="245"/>
      <c r="I46" s="244"/>
      <c r="J46" s="244"/>
      <c r="K46" s="227"/>
      <c r="L46" s="227"/>
      <c r="M46" s="227"/>
      <c r="N46" s="232"/>
      <c r="Q46" s="268" t="s">
        <v>213</v>
      </c>
    </row>
    <row r="47" spans="2:25" ht="13.5" thickBot="1">
      <c r="B47" s="239"/>
      <c r="C47" s="227"/>
      <c r="D47" s="227"/>
      <c r="E47" s="227"/>
      <c r="F47" s="227"/>
      <c r="G47" s="227"/>
      <c r="H47" s="227"/>
      <c r="I47" s="227"/>
      <c r="J47" s="227"/>
      <c r="K47" s="227"/>
      <c r="L47" s="227"/>
      <c r="M47" s="227"/>
      <c r="N47" s="232"/>
      <c r="Q47" s="268" t="s">
        <v>214</v>
      </c>
    </row>
    <row r="48" spans="2:25" ht="18.75" thickBot="1">
      <c r="B48" s="239"/>
      <c r="C48" s="243" t="s">
        <v>164</v>
      </c>
      <c r="D48" s="242"/>
      <c r="E48" s="227"/>
      <c r="F48" s="227"/>
      <c r="G48" s="227"/>
      <c r="H48" s="227"/>
      <c r="I48" s="227"/>
      <c r="J48" s="227"/>
      <c r="K48" s="227"/>
      <c r="L48" s="227"/>
      <c r="M48" s="227"/>
      <c r="N48" s="232"/>
      <c r="Q48" s="268" t="s">
        <v>215</v>
      </c>
    </row>
    <row r="49" spans="2:17">
      <c r="B49" s="239"/>
      <c r="C49" s="227"/>
      <c r="D49" s="227"/>
      <c r="E49" s="227"/>
      <c r="F49" s="227"/>
      <c r="G49" s="227"/>
      <c r="H49" s="227"/>
      <c r="I49" s="227"/>
      <c r="J49" s="227"/>
      <c r="K49" s="227"/>
      <c r="L49" s="227"/>
      <c r="M49" s="227"/>
      <c r="N49" s="232"/>
      <c r="Q49" s="268" t="s">
        <v>216</v>
      </c>
    </row>
    <row r="50" spans="2:17">
      <c r="B50" s="239"/>
      <c r="C50" s="227"/>
      <c r="D50" s="227"/>
      <c r="E50" s="227"/>
      <c r="F50" s="227"/>
      <c r="G50" s="227"/>
      <c r="H50" s="227"/>
      <c r="I50" s="227"/>
      <c r="J50" s="227"/>
      <c r="K50" s="227"/>
      <c r="L50" s="227"/>
      <c r="M50" s="227"/>
      <c r="N50" s="232"/>
      <c r="Q50" s="268" t="s">
        <v>217</v>
      </c>
    </row>
    <row r="51" spans="2:17" ht="15">
      <c r="B51" s="239"/>
      <c r="C51" s="228" t="s">
        <v>163</v>
      </c>
      <c r="D51" s="241">
        <f>(1-D13)/2</f>
        <v>4.9999999999999989E-2</v>
      </c>
      <c r="E51" s="227"/>
      <c r="F51" s="227"/>
      <c r="G51" s="227"/>
      <c r="H51" s="227"/>
      <c r="I51" s="227"/>
      <c r="J51" s="227"/>
      <c r="K51" s="227"/>
      <c r="L51" s="227"/>
      <c r="M51" s="227"/>
      <c r="N51" s="232"/>
      <c r="Q51" s="268" t="s">
        <v>218</v>
      </c>
    </row>
    <row r="52" spans="2:17" ht="15">
      <c r="B52" s="239"/>
      <c r="C52" s="228"/>
      <c r="D52" s="228"/>
      <c r="E52" s="227"/>
      <c r="F52" s="227"/>
      <c r="G52" s="227"/>
      <c r="H52" s="227"/>
      <c r="I52" s="227"/>
      <c r="J52" s="227"/>
      <c r="K52" s="227"/>
      <c r="L52" s="227"/>
      <c r="M52" s="227"/>
      <c r="N52" s="232"/>
      <c r="Q52" s="268" t="s">
        <v>219</v>
      </c>
    </row>
    <row r="53" spans="2:17" ht="15">
      <c r="B53" s="239"/>
      <c r="C53" s="228"/>
      <c r="D53" s="228"/>
      <c r="E53" s="227"/>
      <c r="F53" s="227"/>
      <c r="G53" s="227"/>
      <c r="H53" s="227"/>
      <c r="I53" s="227"/>
      <c r="J53" s="227"/>
      <c r="K53" s="227"/>
      <c r="L53" s="227"/>
      <c r="M53" s="227"/>
      <c r="N53" s="232"/>
      <c r="Q53" s="268" t="s">
        <v>220</v>
      </c>
    </row>
    <row r="54" spans="2:17" ht="19.5">
      <c r="B54" s="239"/>
      <c r="C54" s="228" t="s">
        <v>162</v>
      </c>
      <c r="D54" s="228"/>
      <c r="E54" s="227"/>
      <c r="F54" s="227"/>
      <c r="G54" s="227"/>
      <c r="H54" s="227"/>
      <c r="I54" s="227"/>
      <c r="J54" s="227"/>
      <c r="K54" s="227"/>
      <c r="L54" s="227"/>
      <c r="M54" s="227"/>
      <c r="N54" s="232"/>
      <c r="Q54" s="268" t="s">
        <v>221</v>
      </c>
    </row>
    <row r="55" spans="2:17" ht="15">
      <c r="B55" s="239"/>
      <c r="C55" s="228"/>
      <c r="D55" s="228"/>
      <c r="E55" s="227"/>
      <c r="F55" s="227"/>
      <c r="G55" s="227"/>
      <c r="H55" s="227"/>
      <c r="I55" s="227"/>
      <c r="J55" s="227"/>
      <c r="K55" s="227"/>
      <c r="L55" s="227"/>
      <c r="M55" s="227"/>
      <c r="N55" s="232"/>
      <c r="Q55" s="268" t="s">
        <v>222</v>
      </c>
    </row>
    <row r="56" spans="2:17" ht="20.25">
      <c r="B56" s="239"/>
      <c r="C56" s="228" t="s">
        <v>161</v>
      </c>
      <c r="D56" s="241" t="str">
        <f>IF(D9=0,1-(D51)^(1/D7),"")</f>
        <v/>
      </c>
      <c r="E56" s="227"/>
      <c r="F56" s="240" t="str">
        <f>IF(D9=0,D56*D7,"")</f>
        <v/>
      </c>
      <c r="G56" s="228" t="s">
        <v>159</v>
      </c>
      <c r="H56" s="227"/>
      <c r="I56" s="227"/>
      <c r="J56" s="227"/>
      <c r="K56" s="227"/>
      <c r="L56" s="227"/>
      <c r="M56" s="227"/>
      <c r="N56" s="232"/>
      <c r="Q56" s="268" t="s">
        <v>223</v>
      </c>
    </row>
    <row r="57" spans="2:17" ht="13.5" thickBot="1">
      <c r="B57" s="239"/>
      <c r="C57" s="227"/>
      <c r="D57" s="227"/>
      <c r="E57" s="227"/>
      <c r="F57" s="227"/>
      <c r="G57" s="227"/>
      <c r="H57" s="227"/>
      <c r="I57" s="227"/>
      <c r="J57" s="227"/>
      <c r="K57" s="227"/>
      <c r="L57" s="227"/>
      <c r="M57" s="227"/>
      <c r="N57" s="232"/>
      <c r="Q57" s="268" t="s">
        <v>224</v>
      </c>
    </row>
    <row r="58" spans="2:17" ht="20.25" thickBot="1">
      <c r="B58" s="239"/>
      <c r="C58" s="228" t="s">
        <v>160</v>
      </c>
      <c r="D58" s="238" t="str">
        <f>IF(D9=0,D56*(D11-D7),"")</f>
        <v/>
      </c>
      <c r="E58" s="228" t="s">
        <v>159</v>
      </c>
      <c r="F58" s="227"/>
      <c r="G58" s="237" t="s">
        <v>158</v>
      </c>
      <c r="H58" s="236" t="str">
        <f>IF(D9=0,0,"")</f>
        <v/>
      </c>
      <c r="I58" s="235" t="s">
        <v>157</v>
      </c>
      <c r="J58" s="234" t="str">
        <f>IF(D9=0,ROUNDUP(D58,0),"")</f>
        <v/>
      </c>
      <c r="K58" s="233" t="s">
        <v>156</v>
      </c>
      <c r="L58" s="228"/>
      <c r="M58" s="227"/>
      <c r="N58" s="232"/>
      <c r="Q58" s="268" t="s">
        <v>225</v>
      </c>
    </row>
    <row r="59" spans="2:17" ht="13.5" thickBot="1">
      <c r="B59" s="231"/>
      <c r="C59" s="230"/>
      <c r="D59" s="230"/>
      <c r="E59" s="230"/>
      <c r="F59" s="230"/>
      <c r="G59" s="230"/>
      <c r="H59" s="230"/>
      <c r="I59" s="230"/>
      <c r="J59" s="230"/>
      <c r="K59" s="230"/>
      <c r="L59" s="230"/>
      <c r="M59" s="230"/>
      <c r="N59" s="229"/>
      <c r="Q59" s="268" t="s">
        <v>226</v>
      </c>
    </row>
    <row r="60" spans="2:17" ht="15">
      <c r="C60" s="228"/>
      <c r="D60" s="227"/>
      <c r="E60" s="227"/>
      <c r="F60" s="227"/>
      <c r="G60" s="227"/>
      <c r="H60" s="227"/>
      <c r="I60" s="227"/>
      <c r="J60" s="227"/>
      <c r="K60" s="227"/>
      <c r="L60" s="227"/>
      <c r="M60" s="227"/>
      <c r="N60" s="227"/>
      <c r="Q60" s="268" t="s">
        <v>227</v>
      </c>
    </row>
  </sheetData>
  <mergeCells count="2">
    <mergeCell ref="B1:I1"/>
    <mergeCell ref="B3:G3"/>
  </mergeCells>
  <pageMargins left="0" right="3.937007874015748E-2" top="0" bottom="0.74803149606299213" header="0" footer="0.11811023622047245"/>
  <pageSetup scale="55" orientation="portrait" r:id="rId1"/>
  <headerFooter alignWithMargins="0">
    <oddFooter>&amp;L&amp;8Version number/date: V1.0/01.10.2017&amp;C&amp;8Procedure expert: SG/PUQ2-HU/ Zoltan Vojdyla&amp;RS&amp;8tatus: valid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a372da17e8b94792a98e5f4d79b98837 xmlns="57c07c61-8e36-48c3-9cc6-2eb82f479ea7">
      <Terms xmlns="http://schemas.microsoft.com/office/infopath/2007/PartnerControls"/>
    </a372da17e8b94792a98e5f4d79b98837>
    <LikedBy xmlns="http://schemas.microsoft.com/sharepoint/v3">
      <UserInfo>
        <DisplayName/>
        <AccountId xsi:nil="true"/>
        <AccountType/>
      </UserInfo>
    </LikedBy>
    <TaxCatchAll xmlns="57c07c61-8e36-48c3-9cc6-2eb82f479ea7"/>
    <_dlc_DocId xmlns="57c07c61-8e36-48c3-9cc6-2eb82f479ea7">P01S009901-343640804-93</_dlc_DocId>
    <_dlc_DocIdUrl xmlns="57c07c61-8e36-48c3-9cc6-2eb82f479ea7">
      <Url>https://sites.inside-share.bosch.com/sites/009901/_layouts/15/DocIdRedir.aspx?ID=P01S009901-343640804-93</Url>
      <Description>P01S009901-343640804-93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Bosch Document" ma:contentTypeID="0x010100E1FC996EC24DA3448FF667864201A88C00D15BA9C744E8EE4E956BBB41901A88B5" ma:contentTypeVersion="3" ma:contentTypeDescription="Create a new document." ma:contentTypeScope="" ma:versionID="59f25cc551ddfcc4f01efef7c65e4f29">
  <xsd:schema xmlns:xsd="http://www.w3.org/2001/XMLSchema" xmlns:xs="http://www.w3.org/2001/XMLSchema" xmlns:p="http://schemas.microsoft.com/office/2006/metadata/properties" xmlns:ns1="http://schemas.microsoft.com/sharepoint/v3" xmlns:ns2="57c07c61-8e36-48c3-9cc6-2eb82f479ea7" targetNamespace="http://schemas.microsoft.com/office/2006/metadata/properties" ma:root="true" ma:fieldsID="106d2badb767eb5818120e836bb13c6a" ns1:_="" ns2:_="">
    <xsd:import namespace="http://schemas.microsoft.com/sharepoint/v3"/>
    <xsd:import namespace="57c07c61-8e36-48c3-9cc6-2eb82f479ea7"/>
    <xsd:element name="properties">
      <xsd:complexType>
        <xsd:sequence>
          <xsd:element name="documentManagement">
            <xsd:complexType>
              <xsd:all>
                <xsd:element ref="ns2:_dlc_DocId" minOccurs="0"/>
                <xsd:element ref="ns2:_dlc_DocIdUrl" minOccurs="0"/>
                <xsd:element ref="ns2:_dlc_DocIdPersistId" minOccurs="0"/>
                <xsd:element ref="ns2:a372da17e8b94792a98e5f4d79b98837" minOccurs="0"/>
                <xsd:element ref="ns2:TaxCatchAll" minOccurs="0"/>
                <xsd:element ref="ns2:TaxCatchAllLabel"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15" nillable="true" ma:displayName="Number of Likes" ma:internalName="LikesCount">
      <xsd:simpleType>
        <xsd:restriction base="dms:Unknown"/>
      </xsd:simpleType>
    </xsd:element>
    <xsd:element name="LikedBy" ma:index="16"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c07c61-8e36-48c3-9cc6-2eb82f479ea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372da17e8b94792a98e5f4d79b98837" ma:index="11" nillable="true" ma:taxonomy="true" ma:internalName="a372da17e8b94792a98e5f4d79b98837" ma:taxonomyFieldName="DMSKeywords" ma:displayName="Keywords" ma:fieldId="{a372da17-e8b9-4792-a98e-5f4d79b98837}" ma:sspId="b81b984e-7d9a-4f77-a40b-67f8485df2c3" ma:termSetId="73b6f2cc-4df3-422c-8209-02816713398e" ma:anchorId="00000000-0000-0000-0000-000000000000" ma:open="true" ma:isKeyword="false">
      <xsd:complexType>
        <xsd:sequence>
          <xsd:element ref="pc:Terms" minOccurs="0" maxOccurs="1"/>
        </xsd:sequence>
      </xsd:complexType>
    </xsd:element>
    <xsd:element name="TaxCatchAll" ma:index="12" nillable="true" ma:displayName="Taxonomy Catch All Column" ma:hidden="true" ma:list="{93c350d1-44a2-48b9-bffb-84b66986bb00}" ma:internalName="TaxCatchAll" ma:showField="CatchAllData" ma:web="57c07c61-8e36-48c3-9cc6-2eb82f479ea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3c350d1-44a2-48b9-bffb-84b66986bb00}" ma:internalName="TaxCatchAllLabel" ma:readOnly="true" ma:showField="CatchAllDataLabel" ma:web="57c07c61-8e36-48c3-9cc6-2eb82f479e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FA9912-550F-4654-9C5C-431BEE76112A}">
  <ds:schemaRefs>
    <ds:schemaRef ds:uri="57c07c61-8e36-48c3-9cc6-2eb82f479ea7"/>
    <ds:schemaRef ds:uri="http://purl.org/dc/terms/"/>
    <ds:schemaRef ds:uri="http://purl.org/dc/dcmitype/"/>
    <ds:schemaRef ds:uri="http://purl.org/dc/elements/1.1/"/>
    <ds:schemaRef ds:uri="http://schemas.microsoft.com/sharepoint/v3"/>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46E26F5-76AF-43F7-BEA7-8E002E5E4F42}">
  <ds:schemaRefs>
    <ds:schemaRef ds:uri="http://schemas.microsoft.com/sharepoint/v3/contenttype/forms"/>
  </ds:schemaRefs>
</ds:datastoreItem>
</file>

<file path=customXml/itemProps3.xml><?xml version="1.0" encoding="utf-8"?>
<ds:datastoreItem xmlns:ds="http://schemas.openxmlformats.org/officeDocument/2006/customXml" ds:itemID="{B1E810EB-9520-4892-8FF9-4716677A0E58}">
  <ds:schemaRefs>
    <ds:schemaRef ds:uri="http://schemas.microsoft.com/sharepoint/events"/>
  </ds:schemaRefs>
</ds:datastoreItem>
</file>

<file path=customXml/itemProps4.xml><?xml version="1.0" encoding="utf-8"?>
<ds:datastoreItem xmlns:ds="http://schemas.openxmlformats.org/officeDocument/2006/customXml" ds:itemID="{2A78C628-163B-416C-A07C-F15DC61CF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c07c61-8e36-48c3-9cc6-2eb82f479e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8D Form</vt:lpstr>
      <vt:lpstr>Risk Evaluation</vt:lpstr>
      <vt:lpstr>Bosch_Material</vt:lpstr>
      <vt:lpstr>Bosch_plant</vt:lpstr>
      <vt:lpstr>Bosch_product</vt:lpstr>
      <vt:lpstr>complaint_name</vt:lpstr>
      <vt:lpstr>Date_complaint</vt:lpstr>
      <vt:lpstr>Final_report</vt:lpstr>
      <vt:lpstr>Issuer</vt:lpstr>
      <vt:lpstr>mATERIAL</vt:lpstr>
      <vt:lpstr>'8D Form'!Print_Area</vt:lpstr>
      <vt:lpstr>'Risk Evaluation'!Print_Area</vt:lpstr>
      <vt:lpstr>Product</vt:lpstr>
      <vt:lpstr>Reference_No.</vt:lpstr>
      <vt:lpstr>Report</vt:lpstr>
      <vt:lpstr>Supplier</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Nagy Zsolt</dc:creator>
  <cp:lastModifiedBy>Saravanan QAD</cp:lastModifiedBy>
  <cp:lastPrinted>2022-05-13T05:49:19Z</cp:lastPrinted>
  <dcterms:created xsi:type="dcterms:W3CDTF">2013-07-05T09:23:36Z</dcterms:created>
  <dcterms:modified xsi:type="dcterms:W3CDTF">2025-01-28T07:52:10Z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0x010100E1FC996EC24DA3448FF667864201A88C00D15BA9C744E8EE4E956BBB41901A88B5</vt:lpwstr>
  </property>
  <property fmtid="{D5CDD505-2E9C-101B-9397-08002B2CF9AE}" pid="3" name="_dlc_DocIdItemGuid">
    <vt:lpwstr>73778987-ec0e-49c4-a682-85ffdec47e37</vt:lpwstr>
  </property>
  <property fmtid="{D5CDD505-2E9C-101B-9397-08002B2CF9AE}" pid="4" name="DMSKeywords">
    <vt:lpwstr/>
  </property>
</Properties>
</file>